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Car_Calculator" sheetId="2" state="visible" r:id="rId4"/>
    <sheet name="Home_Calculator" sheetId="3" state="visible" r:id="rId5"/>
    <sheet name="Quote_Requests" sheetId="4" state="visible" r:id="rId6"/>
    <sheet name="Quote_Test" sheetId="5" state="visible" r:id="rId7"/>
    <sheet name="OK_Benchmark" sheetId="6" state="visible" r:id="rId8"/>
    <sheet name="Validation" sheetId="7" state="visible" r:id="rId9"/>
    <sheet name="Car_Data" sheetId="8" state="visible" r:id="rId10"/>
    <sheet name="Home_Data" sheetId="9" state="visible" r:id="rId11"/>
    <sheet name="OK_Official_Data" sheetId="10" state="visible" r:id="rId12"/>
    <sheet name="Fairness_Screen" sheetId="11" state="visible" r:id="rId13"/>
    <sheet name="Monitoring" sheetId="12" state="visible" r:id="rId14"/>
    <sheet name="Fairness_Rules_Audit" sheetId="13" state="visible" r:id="rId15"/>
    <sheet name="Controls_Register" sheetId="14" state="visible" r:id="rId16"/>
    <sheet name="Min_Liability" sheetId="15" state="visible" r:id="rId17"/>
    <sheet name="Home_Reference" sheetId="16" state="visible" r:id="rId18"/>
    <sheet name="Consultancy_Benchmark" sheetId="17" state="visible" r:id="rId19"/>
    <sheet name="Checklists" sheetId="18" state="visible" r:id="rId20"/>
    <sheet name="Quote_Kit" sheetId="19" state="visible" r:id="rId21"/>
    <sheet name="Limits_Next_Steps" sheetId="20" state="visible" r:id="rId22"/>
    <sheet name="Sources" sheetId="21" state="visible" r:id="rId23"/>
  </sheets>
  <definedNames>
    <definedName function="false" hidden="true" localSheetId="9" name="_xlnm._FilterDatabase" vbProcedure="false">OK_Official_Data!$A$3:$K$1803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<sst xmlns="http://schemas.openxmlformats.org/spreadsheetml/2006/main" count="11797" uniqueCount="1265">
  <si>
    <t xml:space="preserve">Car and Home Insurance Toolkit (Excel edition)</t>
  </si>
  <si>
    <t xml:space="preserve">Version 5.0 (September 29, 2026) · A learning-grade model, not a quote and not advice. Confirm anything you act on with a licensed agent and your state insurance department.</t>
  </si>
  <si>
    <t xml:space="preserve">What this workbook is</t>
  </si>
  <si>
    <t xml:space="preserve">The data, formulas and checklists behind the web tool, in one place. The two calculators are live: change the blue cells and the estimate, range and percentile recalculate. The quote sheets score themselves once real prices are entered.</t>
  </si>
  <si>
    <t xml:space="preserve">Colour legend</t>
  </si>
  <si>
    <t xml:space="preserve">Blue text on yellow</t>
  </si>
  <si>
    <t xml:space="preserve">Input: edit these</t>
  </si>
  <si>
    <t xml:space="preserve">Blue text</t>
  </si>
  <si>
    <t xml:space="preserve">Hardcoded data or assumption (change on the data sheets)</t>
  </si>
  <si>
    <t xml:space="preserve">Black text</t>
  </si>
  <si>
    <t xml:space="preserve">Formula</t>
  </si>
  <si>
    <t xml:space="preserve">Green text</t>
  </si>
  <si>
    <t xml:space="preserve">Formula that reads another sheet</t>
  </si>
  <si>
    <t xml:space="preserve">Sheet guide</t>
  </si>
  <si>
    <t xml:space="preserve">Sheet</t>
  </si>
  <si>
    <t xml:space="preserve">What it does</t>
  </si>
  <si>
    <t xml:space="preserve">Car_Calculator</t>
  </si>
  <si>
    <t xml:space="preserve">Live car price check with steps, range, percentile, and your state's legal minimum</t>
  </si>
  <si>
    <t xml:space="preserve">Home_Calculator</t>
  </si>
  <si>
    <t xml:space="preserve">Live home price check plus rebuild-cost check, storm deductibles, roof exposure and a 12-situation stress test</t>
  </si>
  <si>
    <t xml:space="preserve">Car_Data / Home_Data</t>
  </si>
  <si>
    <t xml:space="preserve">State tables (51 places plus a national row) and every factor, each marked sourced or assumed</t>
  </si>
  <si>
    <t xml:space="preserve">OK_Official_Data</t>
  </si>
  <si>
    <t xml:space="preserve">1,800 real insurer prices from the Oklahoma Insurance Department</t>
  </si>
  <si>
    <t xml:space="preserve">OK_Benchmark</t>
  </si>
  <si>
    <t xml:space="preserve">Model vs. the median insurer for 11 profiles, plus how much insurers differ (live formulas)</t>
  </si>
  <si>
    <t xml:space="preserve">Validation</t>
  </si>
  <si>
    <t xml:space="preserve">Before/after and other independent checks</t>
  </si>
  <si>
    <t xml:space="preserve">Quote_Requests / Quote_Test</t>
  </si>
  <si>
    <t xml:space="preserve">180 standardized home profiles (TX, FL, CA). Enter real quotes; the sheets score the model</t>
  </si>
  <si>
    <t xml:space="preserve">Fairness_Screen / Monitoring</t>
  </si>
  <si>
    <t xml:space="preserve">Templates: adverse impact ratios and month-by-month alerts (example rows to replace)</t>
  </si>
  <si>
    <t xml:space="preserve">Fairness_Rules_Audit / Controls_Register</t>
  </si>
  <si>
    <t xml:space="preserve">What changes the price and the 12-item governance controls with honest status</t>
  </si>
  <si>
    <t xml:space="preserve">Min_Liability / Home_Reference</t>
  </si>
  <si>
    <t xml:space="preserve">Legal minimums and home insurance facts</t>
  </si>
  <si>
    <t xml:space="preserve">Consultancy_Benchmark</t>
  </si>
  <si>
    <t xml:space="preserve">What ten consultancies point to and what was built</t>
  </si>
  <si>
    <t xml:space="preserve">Checklists / Quote_Kit / Limits_Next_Steps / Sources</t>
  </si>
  <si>
    <t xml:space="preserve">How to test, how to collect quotes, what is not done, and where every number came from</t>
  </si>
  <si>
    <t xml:space="preserve">The five findings worth knowing</t>
  </si>
  <si>
    <t xml:space="preserve">1. Insurers disagree far more than most people expect: in Oklahoma's official samples the highest insurer charged about 4.7 to 4.9 times the lowest for the same customer.</t>
  </si>
  <si>
    <t xml:space="preserve">2. The first version of the model was 12% to 51% low against those official prices; testing found it and it was corrected.</t>
  </si>
  <si>
    <t xml:space="preserve">3. The biggest home risks are gaps, not price: rebuild cost estimates run from $162 to $350 a square foot, storm deductibles can be thousands of dollars, and an older roof paid at depreciated value can leave most of a replacement to the owner.</t>
  </si>
  <si>
    <t xml:space="preserve">4. When prices rise, many households cut coverage or let policies lapse instead of shopping. Use the ranked ways to save and the "do not cut" reminders in the web tool.</t>
  </si>
  <si>
    <t xml:space="preserve">5. Regulators expect documented, tested and monitored models. The Controls_Register lists what is built and the two controls that are not.</t>
  </si>
  <si>
    <t xml:space="preserve">Not done</t>
  </si>
  <si>
    <t xml:space="preserve">No real quotes tested in Texas, Florida or California; Oklahoma's samples are partly in-sample.</t>
  </si>
  <si>
    <t xml:space="preserve">Home prices are the roughest number.</t>
  </si>
  <si>
    <t xml:space="preserve">The address lookup (in the web tool) has passed offline tests only.</t>
  </si>
  <si>
    <t xml:space="preserve">Tested in Chromium only (no Safari, Firefox, real-phone or screen-reader test); no legal review.</t>
  </si>
  <si>
    <t xml:space="preserve">Car insurance price check (live calculator)</t>
  </si>
  <si>
    <t xml:space="preserve">Change the blue cells. The estimate, range and percentile update. A learning model, not a quote.</t>
  </si>
  <si>
    <t xml:space="preserve">Your details (edit the blue cells)</t>
  </si>
  <si>
    <t xml:space="preserve">Results</t>
  </si>
  <si>
    <t xml:space="preserve">State (two-letter code)</t>
  </si>
  <si>
    <t xml:space="preserve">TX</t>
  </si>
  <si>
    <t xml:space="preserve">dropdown list of codes</t>
  </si>
  <si>
    <t xml:space="preserve">Estimate ($ per year, rounded)</t>
  </si>
  <si>
    <t xml:space="preserve">Your age (16 to 99)</t>
  </si>
  <si>
    <t xml:space="preserve">Typical range: low ($)</t>
  </si>
  <si>
    <t xml:space="preserve">Years driving</t>
  </si>
  <si>
    <t xml:space="preserve">Typical range: high ($)</t>
  </si>
  <si>
    <t xml:space="preserve">Accidents you caused, past 5 years (0 to 3)</t>
  </si>
  <si>
    <t xml:space="preserve">Your price ($)</t>
  </si>
  <si>
    <t xml:space="preserve">Tickets, past 3 years (0 to 3)</t>
  </si>
  <si>
    <t xml:space="preserve">Verdict</t>
  </si>
  <si>
    <t xml:space="preserve">DUI in the past 5 years?</t>
  </si>
  <si>
    <t xml:space="preserve">No</t>
  </si>
  <si>
    <t xml:space="preserve">Yes or No</t>
  </si>
  <si>
    <t xml:space="preserve">Share of expected insurer prices below yours</t>
  </si>
  <si>
    <t xml:space="preserve">Credit rating (blank to skip)</t>
  </si>
  <si>
    <t xml:space="preserve">good</t>
  </si>
  <si>
    <t xml:space="preserve">poor, fair, good, excellent</t>
  </si>
  <si>
    <t xml:space="preserve">Best-case yearly saving ($)</t>
  </si>
  <si>
    <t xml:space="preserve">What the car is worth ($)</t>
  </si>
  <si>
    <t xml:space="preserve">Published median, reference driver in your state ($)</t>
  </si>
  <si>
    <t xml:space="preserve">Cover on your own car</t>
  </si>
  <si>
    <t xml:space="preserve">full</t>
  </si>
  <si>
    <t xml:space="preserve">full, coll, liab</t>
  </si>
  <si>
    <t xml:space="preserve">Legal minimum liability in your state</t>
  </si>
  <si>
    <t xml:space="preserve">Deductible ($)</t>
  </si>
  <si>
    <t xml:space="preserve">500, 1000 or 2000</t>
  </si>
  <si>
    <t xml:space="preserve">Status of that minimum</t>
  </si>
  <si>
    <t xml:space="preserve">Liability limits</t>
  </si>
  <si>
    <t xml:space="preserve">l100</t>
  </si>
  <si>
    <t xml:space="preserve">min, l50, l100, unsure</t>
  </si>
  <si>
    <t xml:space="preserve">Uninsured-motorist rule</t>
  </si>
  <si>
    <t xml:space="preserve">Miles per year</t>
  </si>
  <si>
    <t xml:space="preserve">mid</t>
  </si>
  <si>
    <t xml:space="preserve">low, mid, high</t>
  </si>
  <si>
    <t xml:space="preserve">No-fault state? (PIP and lawsuit threshold)</t>
  </si>
  <si>
    <t xml:space="preserve">Use</t>
  </si>
  <si>
    <t xml:space="preserve">personal</t>
  </si>
  <si>
    <t xml:space="preserve">personal, business, commercial</t>
  </si>
  <si>
    <t xml:space="preserve">Flooding where you park?</t>
  </si>
  <si>
    <t xml:space="preserve">How to read this</t>
  </si>
  <si>
    <t xml:space="preserve">Hailstorms where you park?</t>
  </si>
  <si>
    <t xml:space="preserve">Yes</t>
  </si>
  <si>
    <t xml:space="preserve">The range is the middle half of expected insurer prices. For the same customer, insurers differed by about 4.7x to 4.9x between the highest and lowest in Oklahoma's official samples.</t>
  </si>
  <si>
    <t xml:space="preserve">Car thefts where you park?</t>
  </si>
  <si>
    <t xml:space="preserve">The percentile applies that Oklahoma spread to every state, so treat it as a rough guide.</t>
  </si>
  <si>
    <t xml:space="preserve">What you pay per year ($)</t>
  </si>
  <si>
    <t xml:space="preserve">monthly price x 12</t>
  </si>
  <si>
    <t xml:space="preserve">Credit is ignored where a state bans it. Gender, marital status, occupation, income and ZIP code are not used.</t>
  </si>
  <si>
    <t xml:space="preserve">A price below the range can mean thinner coverage. Check limits and deductibles before switching.</t>
  </si>
  <si>
    <t xml:space="preserve">Workings (formulas)</t>
  </si>
  <si>
    <t xml:space="preserve">State row</t>
  </si>
  <si>
    <t xml:space="preserve">Published state median ($)</t>
  </si>
  <si>
    <t xml:space="preserve">Liability share</t>
  </si>
  <si>
    <t xml:space="preserve">Own-car cover share</t>
  </si>
  <si>
    <t xml:space="preserve">Vehicle value factor</t>
  </si>
  <si>
    <t xml:space="preserve">Deductible factor</t>
  </si>
  <si>
    <t xml:space="preserve">Area factor (full cover only)</t>
  </si>
  <si>
    <t xml:space="preserve">Cover factor (liability + own-car)</t>
  </si>
  <si>
    <t xml:space="preserve">Age table position</t>
  </si>
  <si>
    <t xml:space="preserve">Age multiple</t>
  </si>
  <si>
    <t xml:space="preserve">Inexperience multiple</t>
  </si>
  <si>
    <t xml:space="preserve">Accident multiple</t>
  </si>
  <si>
    <t xml:space="preserve">Ticket multiple</t>
  </si>
  <si>
    <t xml:space="preserve">DUI multiple</t>
  </si>
  <si>
    <t xml:space="preserve">Mileage multiple</t>
  </si>
  <si>
    <t xml:space="preserve">Use multiple</t>
  </si>
  <si>
    <t xml:space="preserve">Credit multiple (1.00 where banned)</t>
  </si>
  <si>
    <t xml:space="preserve">Estimate before rounding ($)</t>
  </si>
  <si>
    <t xml:space="preserve">Home insurance price and coverage check (live calculator)</t>
  </si>
  <si>
    <t xml:space="preserve">Change the blue cells. Price, rebuild-cost check, storm deductibles, roof exposure and a stress test update. A learning model, not a quote.</t>
  </si>
  <si>
    <t xml:space="preserve">Your home and policy (edit the blue cells)</t>
  </si>
  <si>
    <t xml:space="preserve">FL</t>
  </si>
  <si>
    <t xml:space="preserve">Size (square feet)</t>
  </si>
  <si>
    <t xml:space="preserve">Year built</t>
  </si>
  <si>
    <t xml:space="preserve">Roof age (years)</t>
  </si>
  <si>
    <t xml:space="preserve">Built with</t>
  </si>
  <si>
    <t xml:space="preserve">frame</t>
  </si>
  <si>
    <t xml:space="preserve">frame or brick</t>
  </si>
  <si>
    <t xml:space="preserve">How the home is used</t>
  </si>
  <si>
    <t xml:space="preserve">own</t>
  </si>
  <si>
    <t xml:space="preserve">own, rental, vacation</t>
  </si>
  <si>
    <t xml:space="preserve">Claims, past 5 years (0 to 3)</t>
  </si>
  <si>
    <t xml:space="preserve">Published state average at $300,000 ($)</t>
  </si>
  <si>
    <t xml:space="preserve">House coverage limit ($)</t>
  </si>
  <si>
    <t xml:space="preserve">Dwelling / Coverage A</t>
  </si>
  <si>
    <t xml:space="preserve">Standard deductible ($)</t>
  </si>
  <si>
    <t xml:space="preserve">Personal liability ($000: 100, 300 or 500)</t>
  </si>
  <si>
    <t xml:space="preserve">Is your house cover enough to rebuild?</t>
  </si>
  <si>
    <t xml:space="preserve">Hurricane area?</t>
  </si>
  <si>
    <t xml:space="preserve">Estimate</t>
  </si>
  <si>
    <t xml:space="preserve">Rebuild cost ($)</t>
  </si>
  <si>
    <t xml:space="preserve">Your limit as a share</t>
  </si>
  <si>
    <t xml:space="preserve">Shortfall ($)</t>
  </si>
  <si>
    <t xml:space="preserve">Wildfire area?</t>
  </si>
  <si>
    <t xml:space="preserve">Low</t>
  </si>
  <si>
    <t xml:space="preserve">Hail or tornado area?</t>
  </si>
  <si>
    <t xml:space="preserve">Midpoint</t>
  </si>
  <si>
    <t xml:space="preserve">In or near a flood zone?</t>
  </si>
  <si>
    <t xml:space="preserve">High</t>
  </si>
  <si>
    <t xml:space="preserve">Earthquake area?</t>
  </si>
  <si>
    <t xml:space="preserve">Hurricane deductible (% of house limit; 0 = none)</t>
  </si>
  <si>
    <t xml:space="preserve">e.g. 2%</t>
  </si>
  <si>
    <t xml:space="preserve">Wind or hail deductible (% of limit; 0 = same as standard)</t>
  </si>
  <si>
    <t xml:space="preserve">Storm deductibles</t>
  </si>
  <si>
    <t xml:space="preserve">Roof material</t>
  </si>
  <si>
    <t xml:space="preserve">asphalt</t>
  </si>
  <si>
    <t xml:space="preserve">asphalt, tile, metal, other</t>
  </si>
  <si>
    <t xml:space="preserve">Deductible</t>
  </si>
  <si>
    <t xml:space="preserve">Amount you pay first ($)</t>
  </si>
  <si>
    <t xml:space="preserve">Note</t>
  </si>
  <si>
    <t xml:space="preserve">How the roof is paid</t>
  </si>
  <si>
    <t xml:space="preserve">unsure</t>
  </si>
  <si>
    <t xml:space="preserve">rcv, acv, sched, unsure</t>
  </si>
  <si>
    <t xml:space="preserve">Standard</t>
  </si>
  <si>
    <t xml:space="preserve">fire, theft, water</t>
  </si>
  <si>
    <t xml:space="preserve">Roof replacement cost ($)</t>
  </si>
  <si>
    <t xml:space="preserve">Get a local roofer's quote</t>
  </si>
  <si>
    <t xml:space="preserve">Wind or hail</t>
  </si>
  <si>
    <t xml:space="preserve">percentage of the house limit if set</t>
  </si>
  <si>
    <t xml:space="preserve">Extended replacement cost?</t>
  </si>
  <si>
    <t xml:space="preserve">Hurricane or named storm</t>
  </si>
  <si>
    <t xml:space="preserve">Ordinance or law (code upgrades)?</t>
  </si>
  <si>
    <t xml:space="preserve">Average wind or hail claim pays</t>
  </si>
  <si>
    <t xml:space="preserve">average claim minus the wind deductible</t>
  </si>
  <si>
    <t xml:space="preserve">Water backup cover?</t>
  </si>
  <si>
    <t xml:space="preserve">Separate flood policy?</t>
  </si>
  <si>
    <t xml:space="preserve">Your roof after a storm</t>
  </si>
  <si>
    <t xml:space="preserve">Earthquake cover?</t>
  </si>
  <si>
    <t xml:space="preserve">Depreciation (straight line over roof life)</t>
  </si>
  <si>
    <t xml:space="preserve">Umbrella policy?</t>
  </si>
  <si>
    <t xml:space="preserve">If a storm damages the roof</t>
  </si>
  <si>
    <t xml:space="preserve">You collect ($)</t>
  </si>
  <si>
    <t xml:space="preserve">You pay ($)</t>
  </si>
  <si>
    <t xml:space="preserve">Paid at replacement cost</t>
  </si>
  <si>
    <t xml:space="preserve">Paid at actual cash value</t>
  </si>
  <si>
    <t xml:space="preserve">Policy stress test: what would you actually pay?</t>
  </si>
  <si>
    <t xml:space="preserve">Price workings (formulas)</t>
  </si>
  <si>
    <t xml:space="preserve">Situation</t>
  </si>
  <si>
    <t xml:space="preserve">Loss ($)</t>
  </si>
  <si>
    <t xml:space="preserve">Loss basis</t>
  </si>
  <si>
    <t xml:space="preserve">Typical fire claim</t>
  </si>
  <si>
    <t xml:space="preserve">Average claim (IBHS/III)</t>
  </si>
  <si>
    <t xml:space="preserve">Limit used for the curve ($)</t>
  </si>
  <si>
    <t xml:space="preserve">House destroyed (rebuild at the midpoint estimate plus code upgrades)</t>
  </si>
  <si>
    <t xml:space="preserve">Midpoint estimate + assumed code upgrades</t>
  </si>
  <si>
    <t xml:space="preserve">Curve segment</t>
  </si>
  <si>
    <t xml:space="preserve">Typical wind or hail claim</t>
  </si>
  <si>
    <t xml:space="preserve">Average claim</t>
  </si>
  <si>
    <t xml:space="preserve">State price at segment start ($)</t>
  </si>
  <si>
    <t xml:space="preserve">Hurricane damage (illustrative)</t>
  </si>
  <si>
    <t xml:space="preserve">Illustrative; applies only in hurricane areas</t>
  </si>
  <si>
    <t xml:space="preserve">State price at segment end ($)</t>
  </si>
  <si>
    <t xml:space="preserve">Roof replaced after a storm</t>
  </si>
  <si>
    <t xml:space="preserve">Your roof cost; unsure or schedule treated as actual cash value</t>
  </si>
  <si>
    <t xml:space="preserve">Segment start limit ($)</t>
  </si>
  <si>
    <t xml:space="preserve">Burst pipe or other water damage</t>
  </si>
  <si>
    <t xml:space="preserve">Segment end limit ($)</t>
  </si>
  <si>
    <t xml:space="preserve">Sewer or drain backup (illustrative)</t>
  </si>
  <si>
    <t xml:space="preserve">Usually excluded without a water-backup endorsement</t>
  </si>
  <si>
    <t xml:space="preserve">State price at your house limit ($)</t>
  </si>
  <si>
    <t xml:space="preserve">Theft</t>
  </si>
  <si>
    <t xml:space="preserve">Average claim; special limits can cap jewelry and firearms</t>
  </si>
  <si>
    <t xml:space="preserve">Liability factor</t>
  </si>
  <si>
    <t xml:space="preserve">Injury lawsuit at the average size</t>
  </si>
  <si>
    <t xml:space="preserve">Large injury lawsuit (illustrative)</t>
  </si>
  <si>
    <t xml:space="preserve">Illustrative; umbrella assumed at $1 million</t>
  </si>
  <si>
    <t xml:space="preserve">Roof multiple</t>
  </si>
  <si>
    <t xml:space="preserve">House flooded (illustrative)</t>
  </si>
  <si>
    <t xml:space="preserve">Standard policies exclude flood</t>
  </si>
  <si>
    <t xml:space="preserve">House-age multiple</t>
  </si>
  <si>
    <t xml:space="preserve">Earthquake damage (illustrative)</t>
  </si>
  <si>
    <t xml:space="preserve">Standard policies exclude earthquake; applies only in earthquake areas</t>
  </si>
  <si>
    <t xml:space="preserve">Construction multiple</t>
  </si>
  <si>
    <t xml:space="preserve">Largest amount you would pay</t>
  </si>
  <si>
    <t xml:space="preserve">Situation with the largest amount you pay</t>
  </si>
  <si>
    <t xml:space="preserve">Claims multiple</t>
  </si>
  <si>
    <t xml:space="preserve">Local-hazard multiple</t>
  </si>
  <si>
    <t xml:space="preserve">Quote request sheets (TX, FL, CA): fill the yellow cells and the model scores itself</t>
  </si>
  <si>
    <t xml:space="preserve">Standardized home profiles. Ask an independent agent to price each one with 3 to 5 insurers on the same day, for the standard coverage in the Quote_Kit sheet. Copy the row once per insurer (formulas copy with it). Enter the insurer, date and annual price in the yellow cells.</t>
  </si>
  <si>
    <t xml:space="preserve">Standard coverage to request</t>
  </si>
  <si>
    <t xml:space="preserve">HO-3, owner-occupied; house cover at the listed limit at replacement cost (record the insurer's figure in the House limit column if it differs); other structures 10%, contents 50%, loss of use 20%; the listed liability and deductible; no optional endorsements; no elective discounts. Record actual property details if the insurer's data differ from the profile.</t>
  </si>
  <si>
    <t xml:space="preserve">Profile</t>
  </si>
  <si>
    <t xml:space="preserve">State</t>
  </si>
  <si>
    <t xml:space="preserve">Sq ft</t>
  </si>
  <si>
    <t xml:space="preserve">Roof age</t>
  </si>
  <si>
    <t xml:space="preserve">Build</t>
  </si>
  <si>
    <t xml:space="preserve">Claims</t>
  </si>
  <si>
    <t xml:space="preserve">House limit ($)</t>
  </si>
  <si>
    <t xml:space="preserve">Liability ($000)</t>
  </si>
  <si>
    <t xml:space="preserve">Credit</t>
  </si>
  <si>
    <t xml:space="preserve">Flood</t>
  </si>
  <si>
    <t xml:space="preserve">Hurricane</t>
  </si>
  <si>
    <t xml:space="preserve">Wildfire</t>
  </si>
  <si>
    <t xml:space="preserve">Hail</t>
  </si>
  <si>
    <t xml:space="preserve">Quake</t>
  </si>
  <si>
    <t xml:space="preserve">Location guidance</t>
  </si>
  <si>
    <t xml:space="preserve">Insurer</t>
  </si>
  <si>
    <t xml:space="preserve">Quote date</t>
  </si>
  <si>
    <t xml:space="preserve">Annual price ($)</t>
  </si>
  <si>
    <t xml:space="preserve">Range low ($)</t>
  </si>
  <si>
    <t xml:space="preserve">Range high ($)</t>
  </si>
  <si>
    <t xml:space="preserve">Inside range? (1 = yes)</t>
  </si>
  <si>
    <t xml:space="preserve">Error vs. model</t>
  </si>
  <si>
    <t xml:space="preserve">TX-1001</t>
  </si>
  <si>
    <t xml:space="preserve">brick</t>
  </si>
  <si>
    <t xml:space="preserve">hail or tornado region</t>
  </si>
  <si>
    <t xml:space="preserve">TX-1002</t>
  </si>
  <si>
    <t xml:space="preserve">excellent</t>
  </si>
  <si>
    <t xml:space="preserve">coastal or hurricane-exposed county</t>
  </si>
  <si>
    <t xml:space="preserve">TX-1003</t>
  </si>
  <si>
    <t xml:space="preserve">inland, no special hazard</t>
  </si>
  <si>
    <t xml:space="preserve">TX-1004</t>
  </si>
  <si>
    <t xml:space="preserve">coastal or hurricane-exposed county; hail or tornado region</t>
  </si>
  <si>
    <t xml:space="preserve">TX-1005</t>
  </si>
  <si>
    <t xml:space="preserve">fair</t>
  </si>
  <si>
    <t xml:space="preserve">TX-1006</t>
  </si>
  <si>
    <t xml:space="preserve">TX-1007</t>
  </si>
  <si>
    <t xml:space="preserve">TX-1008</t>
  </si>
  <si>
    <t xml:space="preserve">TX-1009</t>
  </si>
  <si>
    <t xml:space="preserve">hail or tornado region; wildfire-exposed area</t>
  </si>
  <si>
    <t xml:space="preserve">TX-1010</t>
  </si>
  <si>
    <t xml:space="preserve">TX-1011</t>
  </si>
  <si>
    <t xml:space="preserve">wildfire-exposed area</t>
  </si>
  <si>
    <t xml:space="preserve">TX-1012</t>
  </si>
  <si>
    <t xml:space="preserve">TX-1013</t>
  </si>
  <si>
    <t xml:space="preserve">TX-1014</t>
  </si>
  <si>
    <t xml:space="preserve">TX-1015</t>
  </si>
  <si>
    <t xml:space="preserve">poor</t>
  </si>
  <si>
    <t xml:space="preserve">in or near a mapped flood zone</t>
  </si>
  <si>
    <t xml:space="preserve">TX-1016</t>
  </si>
  <si>
    <t xml:space="preserve">TX-1017</t>
  </si>
  <si>
    <t xml:space="preserve">TX-1018</t>
  </si>
  <si>
    <t xml:space="preserve">TX-1019</t>
  </si>
  <si>
    <t xml:space="preserve">TX-1020</t>
  </si>
  <si>
    <t xml:space="preserve">TX-1021</t>
  </si>
  <si>
    <t xml:space="preserve">TX-1022</t>
  </si>
  <si>
    <t xml:space="preserve">TX-1023</t>
  </si>
  <si>
    <t xml:space="preserve">TX-1024</t>
  </si>
  <si>
    <t xml:space="preserve">TX-1025</t>
  </si>
  <si>
    <t xml:space="preserve">TX-1026</t>
  </si>
  <si>
    <t xml:space="preserve">TX-1027</t>
  </si>
  <si>
    <t xml:space="preserve">in or near a mapped flood zone; hail or tornado region; wildfire-exposed area</t>
  </si>
  <si>
    <t xml:space="preserve">TX-1028</t>
  </si>
  <si>
    <t xml:space="preserve">TX-1029</t>
  </si>
  <si>
    <t xml:space="preserve">TX-1030</t>
  </si>
  <si>
    <t xml:space="preserve">TX-1031</t>
  </si>
  <si>
    <t xml:space="preserve">TX-1032</t>
  </si>
  <si>
    <t xml:space="preserve">TX-1033</t>
  </si>
  <si>
    <t xml:space="preserve">TX-1034</t>
  </si>
  <si>
    <t xml:space="preserve">in or near a mapped flood zone; wildfire-exposed area</t>
  </si>
  <si>
    <t xml:space="preserve">TX-1035</t>
  </si>
  <si>
    <t xml:space="preserve">TX-1036</t>
  </si>
  <si>
    <t xml:space="preserve">TX-1037</t>
  </si>
  <si>
    <t xml:space="preserve">TX-1038</t>
  </si>
  <si>
    <t xml:space="preserve">TX-1039</t>
  </si>
  <si>
    <t xml:space="preserve">TX-1040</t>
  </si>
  <si>
    <t xml:space="preserve">TX-1041</t>
  </si>
  <si>
    <t xml:space="preserve">in or near a mapped flood zone; hail or tornado region</t>
  </si>
  <si>
    <t xml:space="preserve">TX-1042</t>
  </si>
  <si>
    <t xml:space="preserve">TX-1043</t>
  </si>
  <si>
    <t xml:space="preserve">TX-1044</t>
  </si>
  <si>
    <t xml:space="preserve">TX-1045</t>
  </si>
  <si>
    <t xml:space="preserve">TX-1046</t>
  </si>
  <si>
    <t xml:space="preserve">TX-1047</t>
  </si>
  <si>
    <t xml:space="preserve">TX-1048</t>
  </si>
  <si>
    <t xml:space="preserve">TX-1049</t>
  </si>
  <si>
    <t xml:space="preserve">TX-1050</t>
  </si>
  <si>
    <t xml:space="preserve">TX-1051</t>
  </si>
  <si>
    <t xml:space="preserve">TX-1052</t>
  </si>
  <si>
    <t xml:space="preserve">TX-1053</t>
  </si>
  <si>
    <t xml:space="preserve">TX-1054</t>
  </si>
  <si>
    <t xml:space="preserve">TX-1055</t>
  </si>
  <si>
    <t xml:space="preserve">TX-1056</t>
  </si>
  <si>
    <t xml:space="preserve">TX-1057</t>
  </si>
  <si>
    <t xml:space="preserve">TX-1058</t>
  </si>
  <si>
    <t xml:space="preserve">TX-1059</t>
  </si>
  <si>
    <t xml:space="preserve">TX-1060</t>
  </si>
  <si>
    <t xml:space="preserve">FL-1001</t>
  </si>
  <si>
    <t xml:space="preserve">FL-1002</t>
  </si>
  <si>
    <t xml:space="preserve">FL-1003</t>
  </si>
  <si>
    <t xml:space="preserve">FL-1004</t>
  </si>
  <si>
    <t xml:space="preserve">FL-1005</t>
  </si>
  <si>
    <t xml:space="preserve">FL-1006</t>
  </si>
  <si>
    <t xml:space="preserve">FL-1007</t>
  </si>
  <si>
    <t xml:space="preserve">FL-1008</t>
  </si>
  <si>
    <t xml:space="preserve">FL-1009</t>
  </si>
  <si>
    <t xml:space="preserve">coastal or hurricane-exposed county; in or near a mapped flood zone</t>
  </si>
  <si>
    <t xml:space="preserve">FL-1010</t>
  </si>
  <si>
    <t xml:space="preserve">FL-1011</t>
  </si>
  <si>
    <t xml:space="preserve">FL-1012</t>
  </si>
  <si>
    <t xml:space="preserve">FL-1013</t>
  </si>
  <si>
    <t xml:space="preserve">FL-1014</t>
  </si>
  <si>
    <t xml:space="preserve">FL-1015</t>
  </si>
  <si>
    <t xml:space="preserve">FL-1016</t>
  </si>
  <si>
    <t xml:space="preserve">FL-1017</t>
  </si>
  <si>
    <t xml:space="preserve">FL-1018</t>
  </si>
  <si>
    <t xml:space="preserve">FL-1019</t>
  </si>
  <si>
    <t xml:space="preserve">FL-1020</t>
  </si>
  <si>
    <t xml:space="preserve">FL-1021</t>
  </si>
  <si>
    <t xml:space="preserve">FL-1022</t>
  </si>
  <si>
    <t xml:space="preserve">FL-1023</t>
  </si>
  <si>
    <t xml:space="preserve">FL-1024</t>
  </si>
  <si>
    <t xml:space="preserve">coastal or hurricane-exposed county; in or near a mapped flood zone; hail or tornado region</t>
  </si>
  <si>
    <t xml:space="preserve">FL-1025</t>
  </si>
  <si>
    <t xml:space="preserve">FL-1026</t>
  </si>
  <si>
    <t xml:space="preserve">FL-1027</t>
  </si>
  <si>
    <t xml:space="preserve">FL-1028</t>
  </si>
  <si>
    <t xml:space="preserve">FL-1029</t>
  </si>
  <si>
    <t xml:space="preserve">FL-1030</t>
  </si>
  <si>
    <t xml:space="preserve">FL-1031</t>
  </si>
  <si>
    <t xml:space="preserve">FL-1032</t>
  </si>
  <si>
    <t xml:space="preserve">FL-1033</t>
  </si>
  <si>
    <t xml:space="preserve">FL-1034</t>
  </si>
  <si>
    <t xml:space="preserve">FL-1035</t>
  </si>
  <si>
    <t xml:space="preserve">FL-1036</t>
  </si>
  <si>
    <t xml:space="preserve">FL-1037</t>
  </si>
  <si>
    <t xml:space="preserve">FL-1038</t>
  </si>
  <si>
    <t xml:space="preserve">FL-1039</t>
  </si>
  <si>
    <t xml:space="preserve">FL-1040</t>
  </si>
  <si>
    <t xml:space="preserve">FL-1041</t>
  </si>
  <si>
    <t xml:space="preserve">FL-1042</t>
  </si>
  <si>
    <t xml:space="preserve">FL-1043</t>
  </si>
  <si>
    <t xml:space="preserve">FL-1044</t>
  </si>
  <si>
    <t xml:space="preserve">FL-1045</t>
  </si>
  <si>
    <t xml:space="preserve">FL-1046</t>
  </si>
  <si>
    <t xml:space="preserve">FL-1047</t>
  </si>
  <si>
    <t xml:space="preserve">FL-1048</t>
  </si>
  <si>
    <t xml:space="preserve">FL-1049</t>
  </si>
  <si>
    <t xml:space="preserve">FL-1050</t>
  </si>
  <si>
    <t xml:space="preserve">FL-1051</t>
  </si>
  <si>
    <t xml:space="preserve">FL-1052</t>
  </si>
  <si>
    <t xml:space="preserve">FL-1053</t>
  </si>
  <si>
    <t xml:space="preserve">FL-1054</t>
  </si>
  <si>
    <t xml:space="preserve">FL-1055</t>
  </si>
  <si>
    <t xml:space="preserve">FL-1056</t>
  </si>
  <si>
    <t xml:space="preserve">FL-1057</t>
  </si>
  <si>
    <t xml:space="preserve">FL-1058</t>
  </si>
  <si>
    <t xml:space="preserve">FL-1059</t>
  </si>
  <si>
    <t xml:space="preserve">FL-1060</t>
  </si>
  <si>
    <t xml:space="preserve">CA-1001</t>
  </si>
  <si>
    <t xml:space="preserve">CA</t>
  </si>
  <si>
    <t xml:space="preserve">wildfire-exposed area; earthquake region</t>
  </si>
  <si>
    <t xml:space="preserve">CA-1002</t>
  </si>
  <si>
    <t xml:space="preserve">CA-1003</t>
  </si>
  <si>
    <t xml:space="preserve">CA-1004</t>
  </si>
  <si>
    <t xml:space="preserve">CA-1005</t>
  </si>
  <si>
    <t xml:space="preserve">earthquake region</t>
  </si>
  <si>
    <t xml:space="preserve">CA-1006</t>
  </si>
  <si>
    <t xml:space="preserve">CA-1007</t>
  </si>
  <si>
    <t xml:space="preserve">CA-1008</t>
  </si>
  <si>
    <t xml:space="preserve">CA-1009</t>
  </si>
  <si>
    <t xml:space="preserve">CA-1010</t>
  </si>
  <si>
    <t xml:space="preserve">CA-1011</t>
  </si>
  <si>
    <t xml:space="preserve">CA-1012</t>
  </si>
  <si>
    <t xml:space="preserve">CA-1013</t>
  </si>
  <si>
    <t xml:space="preserve">CA-1014</t>
  </si>
  <si>
    <t xml:space="preserve">CA-1015</t>
  </si>
  <si>
    <t xml:space="preserve">CA-1016</t>
  </si>
  <si>
    <t xml:space="preserve">CA-1017</t>
  </si>
  <si>
    <t xml:space="preserve">CA-1018</t>
  </si>
  <si>
    <t xml:space="preserve">CA-1019</t>
  </si>
  <si>
    <t xml:space="preserve">CA-1020</t>
  </si>
  <si>
    <t xml:space="preserve">CA-1021</t>
  </si>
  <si>
    <t xml:space="preserve">CA-1022</t>
  </si>
  <si>
    <t xml:space="preserve">CA-1023</t>
  </si>
  <si>
    <t xml:space="preserve">CA-1024</t>
  </si>
  <si>
    <t xml:space="preserve">CA-1025</t>
  </si>
  <si>
    <t xml:space="preserve">CA-1026</t>
  </si>
  <si>
    <t xml:space="preserve">CA-1027</t>
  </si>
  <si>
    <t xml:space="preserve">CA-1028</t>
  </si>
  <si>
    <t xml:space="preserve">CA-1029</t>
  </si>
  <si>
    <t xml:space="preserve">CA-1030</t>
  </si>
  <si>
    <t xml:space="preserve">CA-1031</t>
  </si>
  <si>
    <t xml:space="preserve">CA-1032</t>
  </si>
  <si>
    <t xml:space="preserve">CA-1033</t>
  </si>
  <si>
    <t xml:space="preserve">CA-1034</t>
  </si>
  <si>
    <t xml:space="preserve">CA-1035</t>
  </si>
  <si>
    <t xml:space="preserve">CA-1036</t>
  </si>
  <si>
    <t xml:space="preserve">CA-1037</t>
  </si>
  <si>
    <t xml:space="preserve">CA-1038</t>
  </si>
  <si>
    <t xml:space="preserve">CA-1039</t>
  </si>
  <si>
    <t xml:space="preserve">CA-1040</t>
  </si>
  <si>
    <t xml:space="preserve">CA-1041</t>
  </si>
  <si>
    <t xml:space="preserve">CA-1042</t>
  </si>
  <si>
    <t xml:space="preserve">CA-1043</t>
  </si>
  <si>
    <t xml:space="preserve">CA-1044</t>
  </si>
  <si>
    <t xml:space="preserve">CA-1045</t>
  </si>
  <si>
    <t xml:space="preserve">CA-1046</t>
  </si>
  <si>
    <t xml:space="preserve">CA-1047</t>
  </si>
  <si>
    <t xml:space="preserve">CA-1048</t>
  </si>
  <si>
    <t xml:space="preserve">CA-1049</t>
  </si>
  <si>
    <t xml:space="preserve">CA-1050</t>
  </si>
  <si>
    <t xml:space="preserve">CA-1051</t>
  </si>
  <si>
    <t xml:space="preserve">CA-1052</t>
  </si>
  <si>
    <t xml:space="preserve">CA-1053</t>
  </si>
  <si>
    <t xml:space="preserve">CA-1054</t>
  </si>
  <si>
    <t xml:space="preserve">in or near a mapped flood zone; earthquake region</t>
  </si>
  <si>
    <t xml:space="preserve">CA-1055</t>
  </si>
  <si>
    <t xml:space="preserve">CA-1056</t>
  </si>
  <si>
    <t xml:space="preserve">CA-1057</t>
  </si>
  <si>
    <t xml:space="preserve">CA-1058</t>
  </si>
  <si>
    <t xml:space="preserve">CA-1059</t>
  </si>
  <si>
    <t xml:space="preserve">CA-1060</t>
  </si>
  <si>
    <t xml:space="preserve">Quote test: how well does the model match your real quotes?</t>
  </si>
  <si>
    <t xml:space="preserve">Reads the Quote_Requests sheet. Nothing to enter here. Results appear as soon as prices are entered there.</t>
  </si>
  <si>
    <t xml:space="preserve">Measure</t>
  </si>
  <si>
    <t xml:space="preserve">Value</t>
  </si>
  <si>
    <t xml:space="preserve">Quotes entered</t>
  </si>
  <si>
    <t xml:space="preserve">Inside the model's range (target 80% or more)</t>
  </si>
  <si>
    <t xml:space="preserve">Median error (target 15% or less)</t>
  </si>
  <si>
    <t xml:space="preserve">Average bias (positive = real prices higher than the model)</t>
  </si>
  <si>
    <t xml:space="preserve">90th percentile error</t>
  </si>
  <si>
    <t xml:space="preserve">By state</t>
  </si>
  <si>
    <t xml:space="preserve">Quotes</t>
  </si>
  <si>
    <t xml:space="preserve">Inside range</t>
  </si>
  <si>
    <t xml:space="preserve">Median price / model</t>
  </si>
  <si>
    <t xml:space="preserve">Suggested change to the state price level</t>
  </si>
  <si>
    <t xml:space="preserve">Notes</t>
  </si>
  <si>
    <t xml:space="preserve">Targets are starting points from the project plan, not industry standards; agree them with an actuary.</t>
  </si>
  <si>
    <t xml:space="preserve">Do not tune the model on the same quotes you use to prove it works. Hold back about a third of the profiles for the final test.</t>
  </si>
  <si>
    <t xml:space="preserve">The web tool's Test tab also compares insurers per profile and suggests a range width.</t>
  </si>
  <si>
    <t xml:space="preserve">Quotes must be for identical coverage and gathered about the same day. Declined quotes: leave the price blank and note it.</t>
  </si>
  <si>
    <t xml:space="preserve">Model vs. official Oklahoma insurer prices</t>
  </si>
  <si>
    <t xml:space="preserve">Official median = median annual premium across insurers (and cities and genders for cars). The model is set to Oklahoma with the assumptions shown. Workings are to the right.</t>
  </si>
  <si>
    <t xml:space="preserve">Workings: car (Oklahoma; car worth $12,000; minimum liability; full own-car cover, $500 deductibles; clean record; no credit answer)</t>
  </si>
  <si>
    <t xml:space="preserve">Official median insurer ($)</t>
  </si>
  <si>
    <t xml:space="preserve">Model estimate ($)</t>
  </si>
  <si>
    <t xml:space="preserve">Model / official</t>
  </si>
  <si>
    <t xml:space="preserve">Reading</t>
  </si>
  <si>
    <t xml:space="preserve">Car: 16, single, drives to school</t>
  </si>
  <si>
    <t xml:space="preserve">Car: 21, single, commutes</t>
  </si>
  <si>
    <t xml:space="preserve">Car: 36, married, commutes</t>
  </si>
  <si>
    <t xml:space="preserve">Car: 55, married, commutes</t>
  </si>
  <si>
    <t xml:space="preserve">Car: 70, married, pleasure use</t>
  </si>
  <si>
    <t xml:space="preserve">Workings: home (Oklahoma; 1% deductible; $100,000 liability; roof 5 years; built 1990; no claims; no credit answer; no local-hazard flags)</t>
  </si>
  <si>
    <t xml:space="preserve">Home: $100K house cover, frame</t>
  </si>
  <si>
    <t xml:space="preserve">Home: $200K house cover, frame</t>
  </si>
  <si>
    <t xml:space="preserve">Home: $300K house cover, frame</t>
  </si>
  <si>
    <t xml:space="preserve">Home: $400K house cover, frame</t>
  </si>
  <si>
    <t xml:space="preserve">Home: $500K house cover, frame</t>
  </si>
  <si>
    <t xml:space="preserve">Home: $300K house cover, masonry</t>
  </si>
  <si>
    <t xml:space="preserve">How much insurers differ for the same customer (price / median price of the same profile)</t>
  </si>
  <si>
    <t xml:space="preserve">Line</t>
  </si>
  <si>
    <t xml:space="preserve">Cheapest tenth (10th percentile)</t>
  </si>
  <si>
    <t xml:space="preserve">Lower quarter (25th)</t>
  </si>
  <si>
    <t xml:space="preserve">Upper quarter (75th)</t>
  </si>
  <si>
    <t xml:space="preserve">Dearest tenth (90th)</t>
  </si>
  <si>
    <t xml:space="preserve">Log standard deviation</t>
  </si>
  <si>
    <t xml:space="preserve">Prices</t>
  </si>
  <si>
    <t xml:space="preserve">Car</t>
  </si>
  <si>
    <t xml:space="preserve">Home</t>
  </si>
  <si>
    <t xml:space="preserve">Highest divided by lowest insurer price for the same profile (median across profiles)</t>
  </si>
  <si>
    <t xml:space="preserve">Documented in the report as about 4.7x (home) and 4.9x (car). Reproduce with a pivot on the Group key column.</t>
  </si>
  <si>
    <t xml:space="preserve">Caution: some model parameters (own-car and liability shares, the age-16 multiple, masonry, the sub-$200,000 slope, the spread) were set from this same data, so the fit is partly in-sample. One state, one moment, standard programs only.</t>
  </si>
  <si>
    <t xml:space="preserve">Validation summary</t>
  </si>
  <si>
    <t xml:space="preserve">Live ratios link to OK_Benchmark. "Before" values are from the first version of the model (documented in the report).</t>
  </si>
  <si>
    <t xml:space="preserve">Check</t>
  </si>
  <si>
    <t xml:space="preserve">Before the fixes</t>
  </si>
  <si>
    <t xml:space="preserve">After (live from OK_Benchmark)</t>
  </si>
  <si>
    <t xml:space="preserve">Car: 16, single, drives to school: model / median insurer</t>
  </si>
  <si>
    <t xml:space="preserve">Car: 21, single, commutes: model / median insurer</t>
  </si>
  <si>
    <t xml:space="preserve">Car: 36, married, commutes: model / median insurer</t>
  </si>
  <si>
    <t xml:space="preserve">Car: 55, married, commutes: model / median insurer</t>
  </si>
  <si>
    <t xml:space="preserve">Car: 70, married, pleasure use: model / median insurer</t>
  </si>
  <si>
    <t xml:space="preserve">Home: $100K frame: model / median insurer</t>
  </si>
  <si>
    <t xml:space="preserve">Home: $200K frame: model / median insurer</t>
  </si>
  <si>
    <t xml:space="preserve">Home: $300K frame: model / median insurer</t>
  </si>
  <si>
    <t xml:space="preserve">Home: $400K frame: model / median insurer</t>
  </si>
  <si>
    <t xml:space="preserve">Home: $500K frame: model / median insurer</t>
  </si>
  <si>
    <t xml:space="preserve">Other independent checks</t>
  </si>
  <si>
    <t xml:space="preserve">Result</t>
  </si>
  <si>
    <t xml:space="preserve">20-year-old, clean record, national (NerdWallet March 2026: $395 a month = $4,740 a year)</t>
  </si>
  <si>
    <t xml:space="preserve">Model within 1%. With Insurify's 1.48x the model was about 27% low.</t>
  </si>
  <si>
    <t xml:space="preserve">40-year-old with one speeding ticket, national ($241 a month)</t>
  </si>
  <si>
    <t xml:space="preserve">Model within 3%.</t>
  </si>
  <si>
    <t xml:space="preserve">Car state medians, March vs. September 2026 (23 states)</t>
  </si>
  <si>
    <t xml:space="preserve">22 of 23 within 20%; Florida moved 23%.</t>
  </si>
  <si>
    <t xml:space="preserve">Home coverage curve, leave-one-out over 51 states</t>
  </si>
  <si>
    <t xml:space="preserve">Interior points 1.2% mean error; end points 2.9%.</t>
  </si>
  <si>
    <t xml:space="preserve">Home vintage drift (Insurance.com earlier table vs. September 2026, 17 states)</t>
  </si>
  <si>
    <t xml:space="preserve">All within 35%; largest move 17%.</t>
  </si>
  <si>
    <t xml:space="preserve">Home cross-source: InsuranceQuotes vs. Insurance.com, ten states</t>
  </si>
  <si>
    <t xml:space="preserve">The other source is 38% to 80% of the model level; inside the range in 5 of 10 states (fail).</t>
  </si>
  <si>
    <t xml:space="preserve">Car data and factors</t>
  </si>
  <si>
    <t xml:space="preserve">Blue cells are inputs you can change; every calculator formula reads from here. Basis column says whether a figure is published (sourced) or our assumption.</t>
  </si>
  <si>
    <t xml:space="preserve">Code</t>
  </si>
  <si>
    <t xml:space="preserve">Published median ($/yr)</t>
  </si>
  <si>
    <t xml:space="preserve">Index vs. national</t>
  </si>
  <si>
    <t xml:space="preserve">Credit banned for car pricing?</t>
  </si>
  <si>
    <t xml:space="preserve">Credit limited?</t>
  </si>
  <si>
    <t xml:space="preserve">No-fault state?</t>
  </si>
  <si>
    <t xml:space="preserve">PIP and lawsuit threshold</t>
  </si>
  <si>
    <t xml:space="preserve">Uninsured-motorist status</t>
  </si>
  <si>
    <t xml:space="preserve">Minimum liability (bodily injury per person / per accident / property damage, $000)</t>
  </si>
  <si>
    <t xml:space="preserve">Status of the minimum</t>
  </si>
  <si>
    <t xml:space="preserve">Alabama</t>
  </si>
  <si>
    <t xml:space="preserve">AL</t>
  </si>
  <si>
    <t xml:space="preserve">Not tracked here</t>
  </si>
  <si>
    <t xml:space="preserve">25/50/25</t>
  </si>
  <si>
    <t xml:space="preserve">Consumer guides only; confirm with your state</t>
  </si>
  <si>
    <t xml:space="preserve">Alaska</t>
  </si>
  <si>
    <t xml:space="preserve">AK</t>
  </si>
  <si>
    <t xml:space="preserve">50/100/25</t>
  </si>
  <si>
    <t xml:space="preserve">Arizona</t>
  </si>
  <si>
    <t xml:space="preserve">AZ</t>
  </si>
  <si>
    <t xml:space="preserve">25/50/15</t>
  </si>
  <si>
    <t xml:space="preserve">Arkansas</t>
  </si>
  <si>
    <t xml:space="preserve">AR</t>
  </si>
  <si>
    <t xml:space="preserve">California</t>
  </si>
  <si>
    <t xml:space="preserve">30/60/15 since January 1, 2025 (SB 1107)</t>
  </si>
  <si>
    <t xml:space="preserve">State law identified; agency page not opened</t>
  </si>
  <si>
    <t xml:space="preserve">Colorado</t>
  </si>
  <si>
    <t xml:space="preserve">CO</t>
  </si>
  <si>
    <t xml:space="preserve">Connecticut</t>
  </si>
  <si>
    <t xml:space="preserve">CT</t>
  </si>
  <si>
    <t xml:space="preserve">Required</t>
  </si>
  <si>
    <t xml:space="preserve">25/50/25, plus 25/50 uninsured and underinsured motorist cover</t>
  </si>
  <si>
    <t xml:space="preserve">Delaware</t>
  </si>
  <si>
    <t xml:space="preserve">DE</t>
  </si>
  <si>
    <t xml:space="preserve">25/50/10, plus $15,000/$30,000 personal injury protection</t>
  </si>
  <si>
    <t xml:space="preserve">Florida</t>
  </si>
  <si>
    <t xml:space="preserve">PIP $10,000; a serious-injury (verbal) threshold</t>
  </si>
  <si>
    <t xml:space="preserve">No bodily-injury minimum. $10,000 personal injury protection and $10,000 property damage. After certain at-fault crashes, 10/20/10 with an SR-22 for three years may be required</t>
  </si>
  <si>
    <t xml:space="preserve">Checked against an official state source</t>
  </si>
  <si>
    <t xml:space="preserve">Georgia</t>
  </si>
  <si>
    <t xml:space="preserve">GA</t>
  </si>
  <si>
    <t xml:space="preserve">Hawaii</t>
  </si>
  <si>
    <t xml:space="preserve">HI</t>
  </si>
  <si>
    <t xml:space="preserve">PIP $10,000; a $5,000 medical-cost threshold</t>
  </si>
  <si>
    <t xml:space="preserve">Must be offered; may be rejected in writing</t>
  </si>
  <si>
    <t xml:space="preserve">40/80/20, plus $10,000 personal injury protection (from January 1, 2026)</t>
  </si>
  <si>
    <t xml:space="preserve">Idaho</t>
  </si>
  <si>
    <t xml:space="preserve">ID</t>
  </si>
  <si>
    <t xml:space="preserve">Illinois</t>
  </si>
  <si>
    <t xml:space="preserve">IL</t>
  </si>
  <si>
    <t xml:space="preserve">25/50/20, plus uninsured-motorist cover. The Secretary of State's brochure confirms uninsured-motorist cover is automatic</t>
  </si>
  <si>
    <t xml:space="preserve">Partly checked; confirm the limits</t>
  </si>
  <si>
    <t xml:space="preserve">Indiana</t>
  </si>
  <si>
    <t xml:space="preserve">IN</t>
  </si>
  <si>
    <t xml:space="preserve">Iowa</t>
  </si>
  <si>
    <t xml:space="preserve">IA</t>
  </si>
  <si>
    <t xml:space="preserve">20/40/15</t>
  </si>
  <si>
    <t xml:space="preserve">Kansas</t>
  </si>
  <si>
    <t xml:space="preserve">KS</t>
  </si>
  <si>
    <t xml:space="preserve">PIP $4,500 to $9,000 (sources differ); a $2,000 medical-cost threshold</t>
  </si>
  <si>
    <t xml:space="preserve">25/50/25, plus personal injury protection (guides differ: $4,500 or $9,000) and 25/50 uninsured-motorist cover</t>
  </si>
  <si>
    <t xml:space="preserve">Kentucky</t>
  </si>
  <si>
    <t xml:space="preserve">KY</t>
  </si>
  <si>
    <t xml:space="preserve">PIP $10,000; a $1,000 threshold</t>
  </si>
  <si>
    <t xml:space="preserve">25/50/25, plus $10,000 personal injury protection</t>
  </si>
  <si>
    <t xml:space="preserve">Louisiana</t>
  </si>
  <si>
    <t xml:space="preserve">LA</t>
  </si>
  <si>
    <t xml:space="preserve">15/30/25</t>
  </si>
  <si>
    <t xml:space="preserve">Maine</t>
  </si>
  <si>
    <t xml:space="preserve">ME</t>
  </si>
  <si>
    <t xml:space="preserve">50/100/25, plus 50/100 uninsured-motorist cover and $2,000 medical payments</t>
  </si>
  <si>
    <t xml:space="preserve">Maryland</t>
  </si>
  <si>
    <t xml:space="preserve">MD</t>
  </si>
  <si>
    <t xml:space="preserve">Not checked. Look up the minimum with your state insurance department</t>
  </si>
  <si>
    <t xml:space="preserve">Not checked</t>
  </si>
  <si>
    <t xml:space="preserve">Massachusetts</t>
  </si>
  <si>
    <t xml:space="preserve">MA</t>
  </si>
  <si>
    <t xml:space="preserve">PIP $8,000; a $2,000 medical-cost threshold</t>
  </si>
  <si>
    <t xml:space="preserve">25/50/30, plus $8,000 personal injury protection and 25/50 uninsured-motorist cover (policies written or renewed on or after July 1, 2025)</t>
  </si>
  <si>
    <t xml:space="preserve">Michigan</t>
  </si>
  <si>
    <t xml:space="preserve">MI</t>
  </si>
  <si>
    <t xml:space="preserve">PIP a choice of levels, unlimited by default; a serious-injury threshold</t>
  </si>
  <si>
    <t xml:space="preserve">Bodily injury 50/100 (default 250/500), $1 million property protection, and a choice of personal injury protection levels (unlimited by default)</t>
  </si>
  <si>
    <t xml:space="preserve">Minnesota</t>
  </si>
  <si>
    <t xml:space="preserve">MN</t>
  </si>
  <si>
    <t xml:space="preserve">PIP $40,000; a $4,000 threshold</t>
  </si>
  <si>
    <t xml:space="preserve">Mississippi</t>
  </si>
  <si>
    <t xml:space="preserve">MS</t>
  </si>
  <si>
    <t xml:space="preserve">Missouri</t>
  </si>
  <si>
    <t xml:space="preserve">MO</t>
  </si>
  <si>
    <t xml:space="preserve">Montana</t>
  </si>
  <si>
    <t xml:space="preserve">MT</t>
  </si>
  <si>
    <t xml:space="preserve">Nebraska</t>
  </si>
  <si>
    <t xml:space="preserve">NE</t>
  </si>
  <si>
    <t xml:space="preserve">Nevada</t>
  </si>
  <si>
    <t xml:space="preserve">NV</t>
  </si>
  <si>
    <t xml:space="preserve">25/50/20</t>
  </si>
  <si>
    <t xml:space="preserve">New Hampshire</t>
  </si>
  <si>
    <t xml:space="preserve">NH</t>
  </si>
  <si>
    <t xml:space="preserve">No general insurance requirement; drivers must show financial responsibility if in a crash</t>
  </si>
  <si>
    <t xml:space="preserve">New Jersey</t>
  </si>
  <si>
    <t xml:space="preserve">NJ</t>
  </si>
  <si>
    <t xml:space="preserve">PIP $15,000; a serious-injury (verbal) threshold</t>
  </si>
  <si>
    <t xml:space="preserve">35/70/25 on a standard policy (raised recently)</t>
  </si>
  <si>
    <t xml:space="preserve">New Mexico</t>
  </si>
  <si>
    <t xml:space="preserve">NM</t>
  </si>
  <si>
    <t xml:space="preserve">New York</t>
  </si>
  <si>
    <t xml:space="preserve">NY</t>
  </si>
  <si>
    <t xml:space="preserve">PIP $50,000; a serious-injury (verbal) threshold</t>
  </si>
  <si>
    <t xml:space="preserve">25/50/10 (injury 25/50; death 50/100), plus 25/50 uninsured-motorist cover and $50,000 personal injury protection</t>
  </si>
  <si>
    <t xml:space="preserve">North Carolina</t>
  </si>
  <si>
    <t xml:space="preserve">NC</t>
  </si>
  <si>
    <t xml:space="preserve">30/60/25, plus uninsured and underinsured motorist cover. Some websites claim a 2025 increase that we could not confirm</t>
  </si>
  <si>
    <t xml:space="preserve">North Dakota</t>
  </si>
  <si>
    <t xml:space="preserve">ND</t>
  </si>
  <si>
    <t xml:space="preserve">PIP $30,000; a $2,500 threshold</t>
  </si>
  <si>
    <t xml:space="preserve">Ohio</t>
  </si>
  <si>
    <t xml:space="preserve">OH</t>
  </si>
  <si>
    <t xml:space="preserve">Oklahoma</t>
  </si>
  <si>
    <t xml:space="preserve">OK</t>
  </si>
  <si>
    <t xml:space="preserve">Oregon</t>
  </si>
  <si>
    <t xml:space="preserve">OR</t>
  </si>
  <si>
    <t xml:space="preserve">Pennsylvania</t>
  </si>
  <si>
    <t xml:space="preserve">PA</t>
  </si>
  <si>
    <t xml:space="preserve">PIP $5,000; a serious-injury threshold if you chose limited tort</t>
  </si>
  <si>
    <t xml:space="preserve">15/30/5, plus $5,000 first-party medical benefits</t>
  </si>
  <si>
    <t xml:space="preserve">Rhode Island</t>
  </si>
  <si>
    <t xml:space="preserve">RI</t>
  </si>
  <si>
    <t xml:space="preserve">South Carolina</t>
  </si>
  <si>
    <t xml:space="preserve">SC</t>
  </si>
  <si>
    <t xml:space="preserve">South Dakota</t>
  </si>
  <si>
    <t xml:space="preserve">SD</t>
  </si>
  <si>
    <t xml:space="preserve">Tennessee</t>
  </si>
  <si>
    <t xml:space="preserve">TN</t>
  </si>
  <si>
    <t xml:space="preserve">Texas</t>
  </si>
  <si>
    <t xml:space="preserve">30/60/25</t>
  </si>
  <si>
    <t xml:space="preserve">Utah</t>
  </si>
  <si>
    <t xml:space="preserve">UT</t>
  </si>
  <si>
    <t xml:space="preserve">PIP $3,000; a $3,000 threshold</t>
  </si>
  <si>
    <t xml:space="preserve">30/65/25, plus $3,000 personal injury protection (raised in 2025)</t>
  </si>
  <si>
    <t xml:space="preserve">Vermont</t>
  </si>
  <si>
    <t xml:space="preserve">VT</t>
  </si>
  <si>
    <t xml:space="preserve">Virginia</t>
  </si>
  <si>
    <t xml:space="preserve">VA</t>
  </si>
  <si>
    <t xml:space="preserve">Washington</t>
  </si>
  <si>
    <t xml:space="preserve">WA</t>
  </si>
  <si>
    <t xml:space="preserve">25/50/10</t>
  </si>
  <si>
    <t xml:space="preserve">Washington, D.C.</t>
  </si>
  <si>
    <t xml:space="preserve">DC</t>
  </si>
  <si>
    <t xml:space="preserve">West Virginia</t>
  </si>
  <si>
    <t xml:space="preserve">WV</t>
  </si>
  <si>
    <t xml:space="preserve">Wisconsin</t>
  </si>
  <si>
    <t xml:space="preserve">WI</t>
  </si>
  <si>
    <t xml:space="preserve">Wyoming</t>
  </si>
  <si>
    <t xml:space="preserve">WY</t>
  </si>
  <si>
    <t xml:space="preserve">Another place</t>
  </si>
  <si>
    <t xml:space="preserve">OTHER</t>
  </si>
  <si>
    <t xml:space="preserve">Look up your state's minimum with your state insurance department</t>
  </si>
  <si>
    <t xml:space="preserve">Source: NerdWallet, September 2026, analysis of public rate filings (Quadrant). Reference driver: 35 years old, clean record, good credit, 2023 Toyota Camry, 12,000 miles a year, 100/300/50 liability with uninsured motorist, collision and comprehensive with $1,000 deductibles. "OTHER" row = national median. Minimums: see the Min_Liability sheet for sources.</t>
  </si>
  <si>
    <t xml:space="preserve">Age multiples (relative to a 35-year-old)</t>
  </si>
  <si>
    <t xml:space="preserve">Age (from)</t>
  </si>
  <si>
    <t xml:space="preserve">Multiple</t>
  </si>
  <si>
    <t xml:space="preserve">Basis</t>
  </si>
  <si>
    <t xml:space="preserve">Oklahoma Insurance Department official samples (teen as principal operator, median insurer, 3.6x a 36-year-old)</t>
  </si>
  <si>
    <t xml:space="preserve">Assumed (between 16 and 20)</t>
  </si>
  <si>
    <t xml:space="preserve">NerdWallet March 2026: $395 a month for a clean-record 20-year-old vs. about $194 for a 35-year-old = 2.04x</t>
  </si>
  <si>
    <t xml:space="preserve">Assumed</t>
  </si>
  <si>
    <t xml:space="preserve">Insurify average full-coverage rates by age</t>
  </si>
  <si>
    <t xml:space="preserve">Reference</t>
  </si>
  <si>
    <t xml:space="preserve">Insurify</t>
  </si>
  <si>
    <t xml:space="preserve">Insurify (70+)</t>
  </si>
  <si>
    <t xml:space="preserve">Record, credit, mileage and use multiples</t>
  </si>
  <si>
    <t xml:space="preserve">Item</t>
  </si>
  <si>
    <t xml:space="preserve">Accidents you caused: 0</t>
  </si>
  <si>
    <t xml:space="preserve">Accidents: 1</t>
  </si>
  <si>
    <t xml:space="preserve">Sourced: NerdWallet</t>
  </si>
  <si>
    <t xml:space="preserve">Accidents: 2</t>
  </si>
  <si>
    <t xml:space="preserve">Assumed (extrapolated)</t>
  </si>
  <si>
    <t xml:space="preserve">Accidents: 3 or more</t>
  </si>
  <si>
    <t xml:space="preserve">Tickets: 0</t>
  </si>
  <si>
    <t xml:space="preserve">Tickets: 1</t>
  </si>
  <si>
    <t xml:space="preserve">Tickets: 2</t>
  </si>
  <si>
    <t xml:space="preserve">Tickets: 3 or more</t>
  </si>
  <si>
    <t xml:space="preserve">DUI</t>
  </si>
  <si>
    <t xml:space="preserve">Credit: poor</t>
  </si>
  <si>
    <t xml:space="preserve">Credit: fair</t>
  </si>
  <si>
    <t xml:space="preserve">Credit: good</t>
  </si>
  <si>
    <t xml:space="preserve">Credit: excellent</t>
  </si>
  <si>
    <t xml:space="preserve">Over 15,000 miles a year</t>
  </si>
  <si>
    <t xml:space="preserve">Some business use</t>
  </si>
  <si>
    <t xml:space="preserve">Delivery or rideshare use</t>
  </si>
  <si>
    <t xml:space="preserve">Under 2 years driving</t>
  </si>
  <si>
    <t xml:space="preserve">Cover shares (share of a full 100/300/50 policy = 1.00)</t>
  </si>
  <si>
    <t xml:space="preserve">Share</t>
  </si>
  <si>
    <t xml:space="preserve">min</t>
  </si>
  <si>
    <t xml:space="preserve">Anchored: NerdWallet minimum-limit policy = 27.5% of full nationally; Oklahoma official samples</t>
  </si>
  <si>
    <t xml:space="preserve">l50</t>
  </si>
  <si>
    <t xml:space="preserve">Assumed (between minimum and 100/300)</t>
  </si>
  <si>
    <t xml:space="preserve">Anchored: liability = 1.00 minus own-car share</t>
  </si>
  <si>
    <t xml:space="preserve">liab</t>
  </si>
  <si>
    <t xml:space="preserve">No own-car cover</t>
  </si>
  <si>
    <t xml:space="preserve">coll</t>
  </si>
  <si>
    <t xml:space="preserve">Assumed split of own-car cover</t>
  </si>
  <si>
    <t xml:space="preserve">Oklahoma official samples: minimum liability + $500-deductible own-car cover cost the median insurer 0.86 of the full 100/300/50 median</t>
  </si>
  <si>
    <t xml:space="preserve">Other car factors</t>
  </si>
  <si>
    <t xml:space="preserve">Deductible saving, $500 to $1,000</t>
  </si>
  <si>
    <t xml:space="preserve">Sourced: NerdWallet average savings</t>
  </si>
  <si>
    <t xml:space="preserve">Deductible saving, $1,000 to $2,000</t>
  </si>
  <si>
    <t xml:space="preserve">Factor for a $500 deductible</t>
  </si>
  <si>
    <t xml:space="preserve">Factor for a $2,000 deductible</t>
  </si>
  <si>
    <t xml:space="preserve">Area add-on: flooding</t>
  </si>
  <si>
    <t xml:space="preserve">Assumed (full cover only)</t>
  </si>
  <si>
    <t xml:space="preserve">Area add-on: hail</t>
  </si>
  <si>
    <t xml:space="preserve">Area add-on: theft</t>
  </si>
  <si>
    <t xml:space="preserve">Reference car value ($)</t>
  </si>
  <si>
    <t xml:space="preserve">Assumed reference for the value factor</t>
  </si>
  <si>
    <t xml:space="preserve">Value exponent</t>
  </si>
  <si>
    <t xml:space="preserve">Value factor floor</t>
  </si>
  <si>
    <t xml:space="preserve">Value factor ceiling</t>
  </si>
  <si>
    <t xml:space="preserve">Total spread (sigma) for cars</t>
  </si>
  <si>
    <t xml:space="preserve">Insurer spread 0.37-0.39 in Oklahoma official samples plus an assumed 0.20 for model error, combined</t>
  </si>
  <si>
    <t xml:space="preserve">z for the middle half of prices</t>
  </si>
  <si>
    <t xml:space="preserve">Formula (0.6745)</t>
  </si>
  <si>
    <t xml:space="preserve">Car discounts (reported ranges; insurers decide)</t>
  </si>
  <si>
    <t xml:space="preserve">Discount</t>
  </si>
  <si>
    <t xml:space="preserve">Typical used</t>
  </si>
  <si>
    <t xml:space="preserve">Reported range</t>
  </si>
  <si>
    <t xml:space="preserve">Bundle car with home</t>
  </si>
  <si>
    <t xml:space="preserve">5% to 25%</t>
  </si>
  <si>
    <t xml:space="preserve">MoneyGeek; ValuePenguin averages about 18%</t>
  </si>
  <si>
    <t xml:space="preserve">More than one car</t>
  </si>
  <si>
    <t xml:space="preserve">10% to 25%</t>
  </si>
  <si>
    <t xml:space="preserve">ValuePenguin</t>
  </si>
  <si>
    <t xml:space="preserve">Safe driver</t>
  </si>
  <si>
    <t xml:space="preserve">10% to 26%</t>
  </si>
  <si>
    <t xml:space="preserve">Not added: the published reference prices already include a good-driving discount</t>
  </si>
  <si>
    <t xml:space="preserve">Defensive driving course</t>
  </si>
  <si>
    <t xml:space="preserve">4% to 15%</t>
  </si>
  <si>
    <t xml:space="preserve">Consumer-finance sites; Pennsylvania requires at least 5% for drivers 55 and older with an approved course</t>
  </si>
  <si>
    <t xml:space="preserve">Good student (under 25)</t>
  </si>
  <si>
    <t xml:space="preserve">7% to 25%</t>
  </si>
  <si>
    <t xml:space="preserve">Consumer-finance sites</t>
  </si>
  <si>
    <t xml:space="preserve">Low mileage</t>
  </si>
  <si>
    <t xml:space="preserve">2% to 15%</t>
  </si>
  <si>
    <t xml:space="preserve">Usage-based (telematics)</t>
  </si>
  <si>
    <t xml:space="preserve">15% to 30% for careful drivers; can raise prices by up to 40%</t>
  </si>
  <si>
    <t xml:space="preserve">MoneyGeek; what-if only</t>
  </si>
  <si>
    <t xml:space="preserve">Military or veteran</t>
  </si>
  <si>
    <t xml:space="preserve">varies</t>
  </si>
  <si>
    <t xml:space="preserve">No reliable published figure found (assumed)</t>
  </si>
  <si>
    <t xml:space="preserve">Employer or alumni group</t>
  </si>
  <si>
    <t xml:space="preserve">Home data and factors</t>
  </si>
  <si>
    <t xml:space="preserve">Insurance.com state averages (updated September 15, 2026; rates from Quadrant): annual premium for the dwelling coverage shown, $1,000 deductible, $300,000 liability, good credit.</t>
  </si>
  <si>
    <t xml:space="preserve">Index at $300,000</t>
  </si>
  <si>
    <t xml:space="preserve">Credit banned for home pricing?</t>
  </si>
  <si>
    <t xml:space="preserve">Average excludes hurricane cover</t>
  </si>
  <si>
    <t xml:space="preserve">National average</t>
  </si>
  <si>
    <t xml:space="preserve">Source: Insurance.com average rates by state. Another published source (InsuranceQuotes) is 38% to 80% of these figures in ten states; treat home prices as one source's view.</t>
  </si>
  <si>
    <t xml:space="preserve">Home factors</t>
  </si>
  <si>
    <t xml:space="preserve">Deductible $1,000 (x point)</t>
  </si>
  <si>
    <t xml:space="preserve">Deductible $2,500 (x point)</t>
  </si>
  <si>
    <t xml:space="preserve">Deductible $5,000 (x point)</t>
  </si>
  <si>
    <t xml:space="preserve">Deductible factor at $1,000</t>
  </si>
  <si>
    <t xml:space="preserve">Deductible factor at $2,500</t>
  </si>
  <si>
    <t xml:space="preserve">Sourced: Insurance.com averages</t>
  </si>
  <si>
    <t xml:space="preserve">Deductible factor at $5,000</t>
  </si>
  <si>
    <t xml:space="preserve">Liability $100,000</t>
  </si>
  <si>
    <t xml:space="preserve">Liability $300,000</t>
  </si>
  <si>
    <t xml:space="preserve">Liability $500,000</t>
  </si>
  <si>
    <t xml:space="preserve">Claims in 5 years: 0</t>
  </si>
  <si>
    <t xml:space="preserve">Claims: 1</t>
  </si>
  <si>
    <t xml:space="preserve">Sourced: MoneyGeek March 2026 ($3,961 vs. $3,417)</t>
  </si>
  <si>
    <t xml:space="preserve">Claims: 2</t>
  </si>
  <si>
    <t xml:space="preserve">Sourced: MoneyGeek ($4,418)</t>
  </si>
  <si>
    <t xml:space="preserve">Claims: 3 or more</t>
  </si>
  <si>
    <t xml:space="preserve">Sourced: Bankrate ($5,122 vs. $2,424 good); studies disagree widely</t>
  </si>
  <si>
    <t xml:space="preserve">Credit: fair / average</t>
  </si>
  <si>
    <t xml:space="preserve">Sourced: Bankrate ($2,601)</t>
  </si>
  <si>
    <t xml:space="preserve">Sourced: Bankrate ($2,160)</t>
  </si>
  <si>
    <t xml:space="preserve">Masonry vs. frame</t>
  </si>
  <si>
    <t xml:space="preserve">Sourced: Oklahoma Insurance Department samples, median insurer</t>
  </si>
  <si>
    <t xml:space="preserve">Roof 10 to 19 years</t>
  </si>
  <si>
    <t xml:space="preserve">Roof 20 years or more</t>
  </si>
  <si>
    <t xml:space="preserve">Assumed (contractor sites report 15% to 30% at 15 to 20 years)</t>
  </si>
  <si>
    <t xml:space="preserve">House built before 1960</t>
  </si>
  <si>
    <t xml:space="preserve">House built 1960 to 1979</t>
  </si>
  <si>
    <t xml:space="preserve">House built 2000 or later</t>
  </si>
  <si>
    <t xml:space="preserve">Rental</t>
  </si>
  <si>
    <t xml:space="preserve">Vacation home</t>
  </si>
  <si>
    <t xml:space="preserve">Hurricane area</t>
  </si>
  <si>
    <t xml:space="preserve">Wildfire area</t>
  </si>
  <si>
    <t xml:space="preserve">Hail or tornado area</t>
  </si>
  <si>
    <t xml:space="preserve">Elasticity below $200,000</t>
  </si>
  <si>
    <t xml:space="preserve">Sourced: Oklahoma samples ($100K median = 0.50 of $300K median)</t>
  </si>
  <si>
    <t xml:space="preserve">Lowest limit used below $200,000</t>
  </si>
  <si>
    <t xml:space="preserve">Total spread (sigma) for homes</t>
  </si>
  <si>
    <t xml:space="preserve">Insurer spread 0.42-0.43 in Oklahoma samples plus an assumed 0.20</t>
  </si>
  <si>
    <t xml:space="preserve">Rebuild cost per square foot</t>
  </si>
  <si>
    <t xml:space="preserve">Per sq ft</t>
  </si>
  <si>
    <t xml:space="preserve">NAHB national average for new construction (state range $154 to $230)</t>
  </si>
  <si>
    <t xml:space="preserve">NerdWallet using First Street data (NJ about $330, MT about $240)</t>
  </si>
  <si>
    <t xml:space="preserve">Insure.com survey of actual rebuilds</t>
  </si>
  <si>
    <t xml:space="preserve">Average claim sizes (Insurance Information Institute, weighted 2018 to 2022)</t>
  </si>
  <si>
    <t xml:space="preserve">Cause</t>
  </si>
  <si>
    <t xml:space="preserve">Average claim ($)</t>
  </si>
  <si>
    <t xml:space="preserve">Fire and lightning</t>
  </si>
  <si>
    <t xml:space="preserve">Sourced: Insurance Information Institute</t>
  </si>
  <si>
    <t xml:space="preserve">Bodily injury or property damage liability</t>
  </si>
  <si>
    <t xml:space="preserve">Water damage and freezing</t>
  </si>
  <si>
    <t xml:space="preserve">Wind and hail</t>
  </si>
  <si>
    <t xml:space="preserve">Roof life and illustrative assumptions</t>
  </si>
  <si>
    <t xml:space="preserve">Roof life: asphalt (years)</t>
  </si>
  <si>
    <t xml:space="preserve">Assumed (asphalt shingles are reported at 15 to 30 years)</t>
  </si>
  <si>
    <t xml:space="preserve">Roof life: tile (years)</t>
  </si>
  <si>
    <t xml:space="preserve">Roof life: metal (years)</t>
  </si>
  <si>
    <t xml:space="preserve">Roof life: other (years)</t>
  </si>
  <si>
    <t xml:space="preserve">Code-upgrade cost as a share of rebuild</t>
  </si>
  <si>
    <t xml:space="preserve">Extended replacement cost as a share of the house limit</t>
  </si>
  <si>
    <t xml:space="preserve">Ordinance-or-law cover as a share of the house limit</t>
  </si>
  <si>
    <t xml:space="preserve">Illustrative hurricane loss ($)</t>
  </si>
  <si>
    <t xml:space="preserve">Illustrative sewer-backup loss ($)</t>
  </si>
  <si>
    <t xml:space="preserve">Illustrative large lawsuit ($)</t>
  </si>
  <si>
    <t xml:space="preserve">Assumed umbrella limit ($)</t>
  </si>
  <si>
    <t xml:space="preserve">Illustrative flood loss ($)</t>
  </si>
  <si>
    <t xml:space="preserve">Illustrative earthquake loss ($)</t>
  </si>
  <si>
    <t xml:space="preserve">Maximum roof depreciation</t>
  </si>
  <si>
    <t xml:space="preserve">Oklahoma Insurance Department official insurer samples</t>
  </si>
  <si>
    <t xml:space="preserve">Real premiums from about 20 insurers for identical sample customers. Auto: six-month premium, 2018 Chevrolet Malibu, 25/50/25 liability, $500 collision and comprehensive, clean record (updated September 2026). Home: HO-3 at replacement cost, 1% deductible, $100,000 liability (updated August 2026).</t>
  </si>
  <si>
    <t xml:space="preserve">City</t>
  </si>
  <si>
    <t xml:space="preserve">Scenario</t>
  </si>
  <si>
    <t xml:space="preserve">Gender</t>
  </si>
  <si>
    <t xml:space="preserve">Construction</t>
  </si>
  <si>
    <t xml:space="preserve">Six-month premium ($)</t>
  </si>
  <si>
    <t xml:space="preserve">Annual premium ($)</t>
  </si>
  <si>
    <t xml:space="preserve">Group key</t>
  </si>
  <si>
    <t xml:space="preserve">Group median ($)</t>
  </si>
  <si>
    <t xml:space="preserve">Price / group median</t>
  </si>
  <si>
    <t xml:space="preserve">auto</t>
  </si>
  <si>
    <t xml:space="preserve">Oklahoma City</t>
  </si>
  <si>
    <t xml:space="preserve">ALLSTATE FIRE &amp; CASUALTY INS. CO.</t>
  </si>
  <si>
    <t xml:space="preserve">scenario A (age 16)</t>
  </si>
  <si>
    <t xml:space="preserve">male</t>
  </si>
  <si>
    <t xml:space="preserve">female</t>
  </si>
  <si>
    <t xml:space="preserve">scenario B (age 21)</t>
  </si>
  <si>
    <t xml:space="preserve">scenario C (age 36)</t>
  </si>
  <si>
    <t xml:space="preserve">scenario D (age 55)</t>
  </si>
  <si>
    <t xml:space="preserve">scenario E (age 70)</t>
  </si>
  <si>
    <t xml:space="preserve">AMERICAN FARMERS &amp; RANCHERS MUTUAL INS. CO.</t>
  </si>
  <si>
    <t xml:space="preserve">AMERICAN MERCURY INS. CO. (Mercury Insurance)</t>
  </si>
  <si>
    <t xml:space="preserve">CSAA GENERAL INS. CO.</t>
  </si>
  <si>
    <t xml:space="preserve">EQUITY INSURANCE COMPANY</t>
  </si>
  <si>
    <t xml:space="preserve">FARMERS INSURANCE COMPANY (**Mid-Century Insurance Company)</t>
  </si>
  <si>
    <t xml:space="preserve">GARRISON PROPERTY &amp; CASUALTY INSURANCE CO.</t>
  </si>
  <si>
    <t xml:space="preserve">GEICO SECURE INS. CO. (*GEICO CASUALTY CO.)</t>
  </si>
  <si>
    <t xml:space="preserve">OKLAHOMA FARM BUREAU MUTUAL INS. CO.</t>
  </si>
  <si>
    <t xml:space="preserve">PROGRESSIVE DIRECT INS. CO.</t>
  </si>
  <si>
    <t xml:space="preserve">PROGRESSIVE NORTHERN INS. CO.</t>
  </si>
  <si>
    <t xml:space="preserve">SAFECO INSURANCE CO. OF AMERICA</t>
  </si>
  <si>
    <t xml:space="preserve">SHELTER MUTUAL INSURANCE CO.</t>
  </si>
  <si>
    <t xml:space="preserve">STANDARD FIRE INS. CO.</t>
  </si>
  <si>
    <t xml:space="preserve">STATE FARM FIRE &amp; CASUALTY CO.</t>
  </si>
  <si>
    <t xml:space="preserve">STATE FARM MUTUAL AUTOMOBILE INS. CO.</t>
  </si>
  <si>
    <t xml:space="preserve">TRADERS INSURANCE COMPANY</t>
  </si>
  <si>
    <t xml:space="preserve">UNITED SERVICES AUTOMOBILE ASSN. (*USAA)</t>
  </si>
  <si>
    <t xml:space="preserve">USAA CASUALTY INS. CO.</t>
  </si>
  <si>
    <t xml:space="preserve">USAA GENERAL INDEMNITY CO.</t>
  </si>
  <si>
    <t xml:space="preserve">Tulsa</t>
  </si>
  <si>
    <t xml:space="preserve">Lawton</t>
  </si>
  <si>
    <t xml:space="preserve">Woodward</t>
  </si>
  <si>
    <t xml:space="preserve">McAlester</t>
  </si>
  <si>
    <t xml:space="preserve">home</t>
  </si>
  <si>
    <t xml:space="preserve">ALLSTATE INSURANCE CO.</t>
  </si>
  <si>
    <t xml:space="preserve">scenario 1 (dwelling $100,000, deductible 1%)</t>
  </si>
  <si>
    <t xml:space="preserve">masonry</t>
  </si>
  <si>
    <t xml:space="preserve">scenario 2 (dwelling $200,000, deductible 1%)</t>
  </si>
  <si>
    <t xml:space="preserve">scenario 3 (dwelling $300,000, deductible 1%)</t>
  </si>
  <si>
    <t xml:space="preserve">scenario 4 (dwelling $400,000, deductible 1%)</t>
  </si>
  <si>
    <t xml:space="preserve">scenario 5 (dwelling $500,000, deductible 1%)</t>
  </si>
  <si>
    <t xml:space="preserve">ALLSTATE VEHICLE &amp; PROPERTY INSURANCE CO.</t>
  </si>
  <si>
    <t xml:space="preserve">AMERICAN ECONOMY INSURANCE CO.</t>
  </si>
  <si>
    <t xml:space="preserve">AMERICAN MERCURY INSURANCE CO. (Mercury Insurance)</t>
  </si>
  <si>
    <t xml:space="preserve">AMERICAN STRATEGIC INSURANCE CORP.</t>
  </si>
  <si>
    <t xml:space="preserve">CSAA GENERAL INSURANCE CO.</t>
  </si>
  <si>
    <t xml:space="preserve">ENCOMPASS INSURANCE CO. OF AMERICA</t>
  </si>
  <si>
    <t xml:space="preserve">FARMERS INSURANCE CO.</t>
  </si>
  <si>
    <t xml:space="preserve">HOMESITE INDEMNITY CO.</t>
  </si>
  <si>
    <t xml:space="preserve">LIBERTY MUTUAL PERSONAL INSURANCE CO.</t>
  </si>
  <si>
    <t xml:space="preserve">MID-CENTURY INSURANCE CO.</t>
  </si>
  <si>
    <t xml:space="preserve">NORTH STAR MUTUAL INSURANCE CO.</t>
  </si>
  <si>
    <t xml:space="preserve">OKLAHOMA FARM BUREAU MUTUAL INSURANCE CO.</t>
  </si>
  <si>
    <t xml:space="preserve">STATE FARM FIRE AND CASUALTY CO.</t>
  </si>
  <si>
    <t xml:space="preserve">UNITED SERVICES AUTOMOBILE ASSOCIATION</t>
  </si>
  <si>
    <t xml:space="preserve">USAA CASUALTY INSURANCE CO.</t>
  </si>
  <si>
    <t xml:space="preserve">Fairness screen: adverse impact ratios</t>
  </si>
  <si>
    <t xml:space="preserve">Enter each group's count and favorable count. Blue rows below are EXAMPLE values only: replace them with your data. A flag is a prompt to investigate, not a finding of discrimination.</t>
  </si>
  <si>
    <t xml:space="preserve">Group</t>
  </si>
  <si>
    <t xml:space="preserve">Rows (n)</t>
  </si>
  <si>
    <t xml:space="preserve">Favorable outcomes</t>
  </si>
  <si>
    <t xml:space="preserve">Favorable rate</t>
  </si>
  <si>
    <t xml:space="preserve">Adverse impact ratio (vs. highest)</t>
  </si>
  <si>
    <t xml:space="preserve">p-value vs. highest group</t>
  </si>
  <si>
    <t xml:space="preserve">Reference group (highest rate)</t>
  </si>
  <si>
    <t xml:space="preserve">Example group A</t>
  </si>
  <si>
    <t xml:space="preserve">Rate</t>
  </si>
  <si>
    <t xml:space="preserve">Example group B</t>
  </si>
  <si>
    <t xml:space="preserve">Rows</t>
  </si>
  <si>
    <t xml:space="preserve">Example group C</t>
  </si>
  <si>
    <t xml:space="preserve">Adverse impact ratio below 0.80 (the "four-fifths" rule of thumb) is flagged. Differences can reflect real differences in risk, which regulators distinguish from unfair discrimination.</t>
  </si>
  <si>
    <t xml:space="preserve">Groups under 30 rows are unreliable. Group labels inferred from names or addresses have measurement error; prefer labels collected lawfully.</t>
  </si>
  <si>
    <t xml:space="preserve">Document what you tested, the result and what you did about it. The web tool's Trust and fairness tab also runs a proxy screen and cost-ratio tests.</t>
  </si>
  <si>
    <t xml:space="preserve">Monitoring over time</t>
  </si>
  <si>
    <t xml:space="preserve">Each month, enter the results from the Quote_Test sheet (or your own quote test). Blue rows are EXAMPLE values: replace them. Alerts follow the thresholds in the model card.</t>
  </si>
  <si>
    <t xml:space="preserve">Month</t>
  </si>
  <si>
    <t xml:space="preserve">Median error</t>
  </si>
  <si>
    <t xml:space="preserve">Average bias</t>
  </si>
  <si>
    <t xml:space="preserve">Alert</t>
  </si>
  <si>
    <t xml:space="preserve">2026-06</t>
  </si>
  <si>
    <t xml:space="preserve">2026-07</t>
  </si>
  <si>
    <t xml:space="preserve">2026-08</t>
  </si>
  <si>
    <t xml:space="preserve">2026-09</t>
  </si>
  <si>
    <t xml:space="preserve">Thresholds: bias above 10%, inside-range below 80%, median error above 15%. Also compare the mix of inputs each month (state, house size, roof age); a shift in the mix is a reason to re-check the model. Common rule of thumb for the population stability index: below 0.10 stable, 0.10 to 0.25 moderate, above 0.25 large.</t>
  </si>
  <si>
    <t xml:space="preserve">What changes the price, and how much</t>
  </si>
  <si>
    <t xml:space="preserve">Each row changes one input from a baseline and shows the multiple of the baseline estimate (computed by the web tool). Basis says whether the multiple is published or assumed.</t>
  </si>
  <si>
    <t xml:space="preserve">Input change</t>
  </si>
  <si>
    <t xml:space="preserve">Effect on estimate</t>
  </si>
  <si>
    <t xml:space="preserve">Fairness note</t>
  </si>
  <si>
    <t xml:space="preserve">Age 20</t>
  </si>
  <si>
    <t xml:space="preserve">Sourced (NerdWallet)</t>
  </si>
  <si>
    <t xml:space="preserve">Age is a permitted rating factor in most states, but rules vary</t>
  </si>
  <si>
    <t xml:space="preserve">Age 65</t>
  </si>
  <si>
    <t xml:space="preserve">Sourced (Insurify)</t>
  </si>
  <si>
    <t xml:space="preserve">One speeding ticket</t>
  </si>
  <si>
    <t xml:space="preserve">Driving record is a conduct-based factor</t>
  </si>
  <si>
    <t xml:space="preserve">One at-fault crash</t>
  </si>
  <si>
    <t xml:space="preserve">Poor credit</t>
  </si>
  <si>
    <t xml:space="preserve">Credit is banned in CA, HI, MA and MI for car pricing; the tool ignores it there. Credit is often reviewed for correlation with protected classes</t>
  </si>
  <si>
    <t xml:space="preserve">Excellent credit</t>
  </si>
  <si>
    <t xml:space="preserve">Same review point as above</t>
  </si>
  <si>
    <t xml:space="preserve">One claim in five years</t>
  </si>
  <si>
    <t xml:space="preserve">Sourced (MoneyGeek)</t>
  </si>
  <si>
    <t xml:space="preserve">Claims history is conduct- and loss-based</t>
  </si>
  <si>
    <t xml:space="preserve">Two claims</t>
  </si>
  <si>
    <t xml:space="preserve">Sourced (Bankrate)</t>
  </si>
  <si>
    <t xml:space="preserve">Credit is banned in CA, MD and MA for home pricing; the tool ignores it there. Studies disagree widely on the size</t>
  </si>
  <si>
    <t xml:space="preserve">Roof 20 years or older</t>
  </si>
  <si>
    <t xml:space="preserve">Property condition factor</t>
  </si>
  <si>
    <t xml:space="preserve">Rental instead of owner-occupied</t>
  </si>
  <si>
    <t xml:space="preserve">Area hazard ratings can correlate with neighborhood demographics; used as planning information only</t>
  </si>
  <si>
    <t xml:space="preserve">State (lowest to highest published median)</t>
  </si>
  <si>
    <t xml:space="preserve">Location is a standard factor; state-level only, the tool does not use ZIP code or address for price</t>
  </si>
  <si>
    <t xml:space="preserve">State (lowest to highest published average)</t>
  </si>
  <si>
    <t xml:space="preserve">Sourced (Insurance.com)</t>
  </si>
  <si>
    <t xml:space="preserve">Same as above</t>
  </si>
  <si>
    <t xml:space="preserve">Inputs used: state, age, driving record, claims, credit (where allowed), property facts. Not used: ZIP code, gender, marital status, occupation, income, education, race, religion, national origin.</t>
  </si>
  <si>
    <t xml:space="preserve">Governance controls register</t>
  </si>
  <si>
    <t xml:space="preserve">Control names follow the list PwC gives for AI in property and casualty insurance. Status is honest: two controls are not built.</t>
  </si>
  <si>
    <t xml:space="preserve">Control</t>
  </si>
  <si>
    <t xml:space="preserve">How it is met</t>
  </si>
  <si>
    <t xml:space="preserve">Status</t>
  </si>
  <si>
    <t xml:space="preserve">Model inventory</t>
  </si>
  <si>
    <t xml:space="preserve">This tool contains four models: car price, home price, coverage-gap scores, and the insurer-price percentile. Listed in the model card.</t>
  </si>
  <si>
    <t xml:space="preserve">Built</t>
  </si>
  <si>
    <t xml:space="preserve">Approved-use register</t>
  </si>
  <si>
    <t xml:space="preserve">Educational comparison and coverage checking only. Not for underwriting, pricing filed rates, claims decisions, or binding coverage.</t>
  </si>
  <si>
    <t xml:space="preserve">Built (stated in the model card)</t>
  </si>
  <si>
    <t xml:space="preserve">Data lineage</t>
  </si>
  <si>
    <t xml:space="preserve">Every published figure has a named source and date in the decision receipt and the model card. Assumptions are labelled.</t>
  </si>
  <si>
    <t xml:space="preserve">Validation standards</t>
  </si>
  <si>
    <t xml:space="preserve">Range coverage of at least 80% of real quotes and median error of 15% or less, per state. Tested on Oklahoma's official samples; not yet on real quotes elsewhere.</t>
  </si>
  <si>
    <t xml:space="preserve">Partial</t>
  </si>
  <si>
    <t xml:space="preserve">Monitoring</t>
  </si>
  <si>
    <t xml:space="preserve">The Monitoring tool reports error and drift by month from a file of quotes.</t>
  </si>
  <si>
    <t xml:space="preserve">Built (needs data)</t>
  </si>
  <si>
    <t xml:space="preserve">Bias and adverse-impact testing</t>
  </si>
  <si>
    <t xml:space="preserve">The Fairness screen computes adverse impact ratios and proxy checks on user data.</t>
  </si>
  <si>
    <t xml:space="preserve">Change control</t>
  </si>
  <si>
    <t xml:space="preserve">Version number and change log below. No formal approval process.</t>
  </si>
  <si>
    <t xml:space="preserve">Incident management</t>
  </si>
  <si>
    <t xml:space="preserve">No process is defined. The owner should decide how errors are reported, triaged and corrected.</t>
  </si>
  <si>
    <t xml:space="preserve">Not built</t>
  </si>
  <si>
    <t xml:space="preserve">Audit trail</t>
  </si>
  <si>
    <t xml:space="preserve">The decision receipt and the copied summary record what produced each result. Nothing is stored between sessions.</t>
  </si>
  <si>
    <t xml:space="preserve">Third-party oversight</t>
  </si>
  <si>
    <t xml:space="preserve">Public data sources are listed. There is no contract or review of them beyond reading their documentation.</t>
  </si>
  <si>
    <t xml:space="preserve">Human oversight and accountable owner</t>
  </si>
  <si>
    <t xml:space="preserve">Results tell users to confirm with a licensed agent and their state insurance department. No named owner exists.</t>
  </si>
  <si>
    <t xml:space="preserve">Consumer notice</t>
  </si>
  <si>
    <t xml:space="preserve">Every result states that it is a learning model, not a quote.</t>
  </si>
  <si>
    <t xml:space="preserve">Owner: not assigned. Incident process: not defined. Decide both before wider use.</t>
  </si>
  <si>
    <t xml:space="preserve">Legal minimum car liability by state</t>
  </si>
  <si>
    <t xml:space="preserve">Numbers read: bodily injury per person / per accident / property damage, in thousands of dollars. "Official" means read on a state agency page or document.</t>
  </si>
  <si>
    <t xml:space="preserve">Minimum</t>
  </si>
  <si>
    <t xml:space="preserve">Source</t>
  </si>
  <si>
    <t xml:space="preserve">Official</t>
  </si>
  <si>
    <t xml:space="preserve">https://www.tdi.texas.gov/bulletins/2010/cc46.html</t>
  </si>
  <si>
    <t xml:space="preserve">https://flhsmv.gov/insurance/</t>
  </si>
  <si>
    <t xml:space="preserve">https://dmv.ny.gov/insurance/new-york-state-insurance-requirements</t>
  </si>
  <si>
    <t xml:space="preserve">https://michigan.gov/-/media/Project/Websites/autoinsurance/PDFs/FIS-PUB_5100a.pdf</t>
  </si>
  <si>
    <t xml:space="preserve">https://www.pa.gov/agencies/insurance/consumer-help-center/learn-about-insurance/auto-insurance</t>
  </si>
  <si>
    <t xml:space="preserve">https://dol.wa.gov/node/192</t>
  </si>
  <si>
    <t xml:space="preserve">https://www.mass.gov/doc/2025-a-new-motor-vehicle-mandatory-coverage-limits/download</t>
  </si>
  <si>
    <t xml:space="preserve">https://cca.hawaii.gov/ins/files/2023/05/Auto-Minimum-Limits-FAQs.pdf</t>
  </si>
  <si>
    <t xml:space="preserve">https://dam.assets.ohio.gov/image/upload/publicsafety.ohio.gov/bmv3101.pdf</t>
  </si>
  <si>
    <t xml:space="preserve">https://ncdoi.gov/media/5/open</t>
  </si>
  <si>
    <t xml:space="preserve">Statute identified</t>
  </si>
  <si>
    <t xml:space="preserve">https://www.fmglaw.com/?p=35636</t>
  </si>
  <si>
    <t xml:space="preserve">Partly checked</t>
  </si>
  <si>
    <t xml:space="preserve">Illinois Secretary of State brochure (confirms automatic uninsured-motorist cover)</t>
  </si>
  <si>
    <t xml:space="preserve">All other states: see the Car_Data sheet (column J and K). Utah, New Jersey, Hawaii and Massachusetts changed recently; confirm any figure with your state insurance department. Georgia, Oklahoma, Louisiana and Colorado are from consumer guides only.</t>
  </si>
  <si>
    <t xml:space="preserve">Home insurance reference notes</t>
  </si>
  <si>
    <t xml:space="preserve">Plain-language facts used by the home calculator. Sources named in each row.</t>
  </si>
  <si>
    <t xml:space="preserve">Topic</t>
  </si>
  <si>
    <t xml:space="preserve">What to know</t>
  </si>
  <si>
    <t xml:space="preserve">Policy form</t>
  </si>
  <si>
    <t xml:space="preserve">HO-3 covers the house on an all-causes basis except exclusions; contents are usually named perils. Some forms apply a coinsurance penalty if the house is insured for less than 80% of replacement cost.</t>
  </si>
  <si>
    <t xml:space="preserve">Florida Citizens HO-3 coverage comparison worksheets</t>
  </si>
  <si>
    <t xml:space="preserve">Typical structure</t>
  </si>
  <si>
    <t xml:space="preserve">Other structures about 2% to 10% of the house limit; contents about 25% to 50%; loss of use about 10% to 20%; liability options $100,000 to $500,000; medical payments $2,000 to $5,000.</t>
  </si>
  <si>
    <t xml:space="preserve">Florida Citizens worksheets</t>
  </si>
  <si>
    <t xml:space="preserve">Special limits</t>
  </si>
  <si>
    <t xml:space="preserve">Theft of jewelry often capped at about $1,000 to $1,500; firearms about $1,000 to $2,500; silverware about $2,500; money $200.</t>
  </si>
  <si>
    <t xml:space="preserve">Ordinance or law</t>
  </si>
  <si>
    <t xml:space="preserve">Pays extra to rebuild to current codes; a common example is 10% of the house limit.</t>
  </si>
  <si>
    <t xml:space="preserve">Sure (endorsement examples)</t>
  </si>
  <si>
    <t xml:space="preserve">Extended replacement cost</t>
  </si>
  <si>
    <t xml:space="preserve">Adds roughly 10% to 50% of the house limit if rebuilding costs more.</t>
  </si>
  <si>
    <t xml:space="preserve">NerdWallet</t>
  </si>
  <si>
    <t xml:space="preserve">Water backup</t>
  </si>
  <si>
    <t xml:space="preserve">Sewer and drain backup is usually excluded from a standard policy; an example endorsement limit is $10,000.</t>
  </si>
  <si>
    <t xml:space="preserve">Sure; general policy knowledge</t>
  </si>
  <si>
    <t xml:space="preserve">Hurricane and wind or hail deductibles are usually a percentage (1% to 5%, up to 10%) of the house limit. About 19 states and D.C. use some form. Florida requires insurers to offer $500, 2%, 5% and 10% options, applied once per hurricane season and triggered only by a National Weather Service hurricane.</t>
  </si>
  <si>
    <t xml:space="preserve">Progressive; Policygenius; NC Dept. of Insurance; Florida sources</t>
  </si>
  <si>
    <t xml:space="preserve">Around 15 years insurers begin to ask for inspections, switch the roof to actual cash value, add surcharges or decline; by 20 years many restrict cover. Most sources are roofing contractors, so treat percentages as marketing-grade.</t>
  </si>
  <si>
    <t xml:space="preserve">Cedur; RoofVista; Winik; roofing-it.com</t>
  </si>
  <si>
    <t xml:space="preserve">Standard homeowners policies exclude flood. NFIP offers up to $250,000 for a home and $100,000 for contents (contents must be requested), with a 30-day wait. Lenders must require flood cover for federally backed mortgages in a Special Flood Hazard Area.</t>
  </si>
  <si>
    <t xml:space="preserve">Municipal NFIP pages (Davie FL, Lafayette LA, Somers WI); FEMA</t>
  </si>
  <si>
    <t xml:space="preserve">Earthquake</t>
  </si>
  <si>
    <t xml:space="preserve">Excluded from standard policies; sold as an add-on with a large deductible.</t>
  </si>
  <si>
    <t xml:space="preserve">General policy knowledge</t>
  </si>
  <si>
    <t xml:space="preserve">Insurer of last resort</t>
  </si>
  <si>
    <t xml:space="preserve">Florida: Citizens Property Insurance. California: the FAIR Plan (about 668,000 policies and about $724 billion of exposure at a January 2026 hearing; named perils only per a broker summary). North Carolina coastal homes can have a separate wind policy.</t>
  </si>
  <si>
    <t xml:space="preserve">Insurance Business; Falcon West (broker); NC Dept. of Insurance</t>
  </si>
  <si>
    <t xml:space="preserve">Claims raise the price</t>
  </si>
  <si>
    <t xml:space="preserve">One claim in five years pays about 16% more than a claim-free household; two claims about 29% more. Claims stay on a CLUE report five to seven years.</t>
  </si>
  <si>
    <t xml:space="preserve">MoneyGeek March 2026; Experian</t>
  </si>
  <si>
    <t xml:space="preserve">Market conditions</t>
  </si>
  <si>
    <t xml:space="preserve">All-peril claim severity in 2025 was up 25.9% from 2024 and 93.2% above 2019; fire and lightning severity up 67.3%.</t>
  </si>
  <si>
    <t xml:space="preserve">LexisNexis 2026 Home Trends Report</t>
  </si>
  <si>
    <t xml:space="preserve">What the consultancies point to, and what was built</t>
  </si>
  <si>
    <t xml:space="preserve">Ten firms with prominent US insurance practices (my selection; no authoritative ranking found). PwC, Milliman and Deloitte were read at excerpt level this round; the others from earlier excerpts. All sell to insurers; this tool serves consumers.</t>
  </si>
  <si>
    <t xml:space="preserve">Firm</t>
  </si>
  <si>
    <t xml:space="preserve">What its material emphasizes</t>
  </si>
  <si>
    <t xml:space="preserve">What the toolkit does about it</t>
  </si>
  <si>
    <t xml:space="preserve">PwC</t>
  </si>
  <si>
    <t xml:space="preserve">Govern decisions, not just models; controls: model inventory, approved-use register, data lineage, validation standards, monitoring, change control, incident management, audit trails, third-party oversight; auditable rationales; bias and adverse-impact monitoring</t>
  </si>
  <si>
    <t xml:space="preserve">12-item controls register; decision receipt; monitoring template; fairness screen</t>
  </si>
  <si>
    <t xml:space="preserve">Incident process; accountable owner</t>
  </si>
  <si>
    <t xml:space="preserve">Milliman</t>
  </si>
  <si>
    <t xml:space="preserve">Disparate-impact analysis and model review; rate-filing and validation support</t>
  </si>
  <si>
    <t xml:space="preserve">Adverse impact ratio and significance test; validation against official rates</t>
  </si>
  <si>
    <t xml:space="preserve">Independent third-party review</t>
  </si>
  <si>
    <t xml:space="preserve">Deloitte</t>
  </si>
  <si>
    <t xml:space="preserve">Trust, transparency and human oversight; a Swiss survey of 1,291 policyholders found 51% fear AI may make unfair decisions (not US data)</t>
  </si>
  <si>
    <t xml:space="preserve">Plain-language reasons; model card; "confirm with an agent" throughout</t>
  </si>
  <si>
    <t xml:space="preserve">US survey evidence</t>
  </si>
  <si>
    <t xml:space="preserve">McKinsey</t>
  </si>
  <si>
    <t xml:space="preserve">Coverage gaps and limits of AI (earlier excerpt)</t>
  </si>
  <si>
    <t xml:space="preserve">Protection-gap scores; cost-saving options that avoid new gaps</t>
  </si>
  <si>
    <t xml:space="preserve">McKinsey pages not read this round</t>
  </si>
  <si>
    <t xml:space="preserve">Oliver Wyman</t>
  </si>
  <si>
    <t xml:space="preserve">Ratemaking, predictive models and validation (earlier excerpt)</t>
  </si>
  <si>
    <t xml:space="preserve">Validation against official data; spread-based ranges</t>
  </si>
  <si>
    <t xml:space="preserve">Full GLM ratemaking pipeline</t>
  </si>
  <si>
    <t xml:space="preserve">KPMG</t>
  </si>
  <si>
    <t xml:space="preserve">Transparent actuarial models; climate and cost pressure (earlier excerpt)</t>
  </si>
  <si>
    <t xml:space="preserve">Sourced-versus-assumed tables; market-access notes</t>
  </si>
  <si>
    <t xml:space="preserve">EY</t>
  </si>
  <si>
    <t xml:space="preserve">AI roadmap gated by governance and data readiness (earlier excerpt)</t>
  </si>
  <si>
    <t xml:space="preserve">Phase gates; controls register</t>
  </si>
  <si>
    <t xml:space="preserve">BCG</t>
  </si>
  <si>
    <t xml:space="preserve">Personalization and benchmarks (earlier excerpt)</t>
  </si>
  <si>
    <t xml:space="preserve">Percentile and published-group comparison</t>
  </si>
  <si>
    <t xml:space="preserve">True peer benchmark needs a quote database</t>
  </si>
  <si>
    <t xml:space="preserve">Accenture</t>
  </si>
  <si>
    <t xml:space="preserve">Claims and customer experience (earlier excerpt)</t>
  </si>
  <si>
    <t xml:space="preserve">Guided flow; claim-readiness checklist</t>
  </si>
  <si>
    <t xml:space="preserve">Claims automation (out of scope)</t>
  </si>
  <si>
    <t xml:space="preserve">Cognizant</t>
  </si>
  <si>
    <t xml:space="preserve">Flood maps and GIS with claims history (earlier excerpt)</t>
  </si>
  <si>
    <t xml:space="preserve">FEMA flood and hazard lookup helper (in the web tool)</t>
  </si>
  <si>
    <t xml:space="preserve">Live test of the helper</t>
  </si>
  <si>
    <t xml:space="preserve">Checklists</t>
  </si>
  <si>
    <t xml:space="preserve">Tick the "Done?" cells (type x or a date).</t>
  </si>
  <si>
    <t xml:space="preserve">Step</t>
  </si>
  <si>
    <t xml:space="preserve">What to do</t>
  </si>
  <si>
    <t xml:space="preserve">Done?</t>
  </si>
  <si>
    <t xml:space="preserve">A. Try the web tool in a real browser</t>
  </si>
  <si>
    <t xml:space="preserve">Double-click insurance-price-check.html; it opens in Chrome, Edge or Safari.</t>
  </si>
  <si>
    <t xml:space="preserve">Click through the car steps and press "Check my price". Nothing overlaps or is cut off; the bar and numbers are readable.</t>
  </si>
  <si>
    <t xml:space="preserve">Repeat for Home insurance.</t>
  </si>
  <si>
    <t xml:space="preserve">Make the window narrow, like a phone. It still reads properly.</t>
  </si>
  <si>
    <t xml:space="preserve">Press Ctrl+P (Cmd+P on Mac). The preview shows results without menus and forms.</t>
  </si>
  <si>
    <t xml:space="preserve">Press "Copy summary" and paste into Notes. The text appears.</t>
  </si>
  <si>
    <t xml:space="preserve">Press Tab repeatedly. You can see where you are and press buttons with Enter.</t>
  </si>
  <si>
    <t xml:space="preserve">Optional: turn on VoiceOver (Cmd+F5) or Narrator (Ctrl+Windows+Enter) and listen to the first screen.</t>
  </si>
  <si>
    <t xml:space="preserve">B. Test the address lookup</t>
  </si>
  <si>
    <t xml:space="preserve">Check Python is 3.8 or higher: python --version (Mac: python3 --version).</t>
  </si>
  <si>
    <t xml:space="preserve">In the folder with the files, run once: python insurance_risk_service.py --live-check. Good = a block of results with a flood zone. Not good = FAILED; send me the text.</t>
  </si>
  <si>
    <t xml:space="preserve">Start the helper: python insurance_risk_service.py (leave the window open).</t>
  </si>
  <si>
    <t xml:space="preserve">In the tool choose Home insurance, go to the Risks step, open "Optional: look up my address", enter a full address, press Look up.</t>
  </si>
  <si>
    <t xml:space="preserve">Try one address you know is in a flood zone and one that is not; compare with msc.fema.gov.</t>
  </si>
  <si>
    <t xml:space="preserve">Press Ctrl+C in the helper window to stop it.</t>
  </si>
  <si>
    <t xml:space="preserve">C. Collect real quotes</t>
  </si>
  <si>
    <t xml:space="preserve">Get an independent agent to price the profiles on the Quote_Requests sheet with 3 to 5 insurers on the same day for the standard coverage.</t>
  </si>
  <si>
    <t xml:space="preserve">Copy each row once per insurer; enter insurer, date and annual price in the yellow cells.</t>
  </si>
  <si>
    <t xml:space="preserve">Read the Quote_Test sheet. Keep about a third of the profiles back for the final test.</t>
  </si>
  <si>
    <t xml:space="preserve">If a state's median price / model is outside 0.90 to 1.10, adjust that state's price level and re-test.</t>
  </si>
  <si>
    <t xml:space="preserve">Quote collection protocol</t>
  </si>
  <si>
    <t xml:space="preserve">How to collect real home quotes for identical coverage. Not legal advice.</t>
  </si>
  <si>
    <t xml:space="preserve">Guidance</t>
  </si>
  <si>
    <t xml:space="preserve">Who collects</t>
  </si>
  <si>
    <t xml:space="preserve">An independent agent or agency is best: it can rate the same home with several insurers in one sitting. Volunteers pricing their own homes also work. Do not scrape insurer websites, submit false details to consumer forms, or use addresses you have no permission to use. Ask counsel if unsure.</t>
  </si>
  <si>
    <t xml:space="preserve">How many</t>
  </si>
  <si>
    <t xml:space="preserve">60 profiles per state (this workbook), 3 to 5 insurers each = 180 to 300 quotes per state. Hold back about one third of profiles for the final test.</t>
  </si>
  <si>
    <t xml:space="preserve">Standard coverage</t>
  </si>
  <si>
    <t xml:space="preserve">HO-3, owner-occupied; house cover at the profile limit at replacement cost (record the insurer's own figure if it differs); other structures 10%, contents 50%, loss of use 20%; the profile liability and deductible; no optional endorsements; no elective discounts. Record hurricane or wind deductible percentages and roof payment basis that applied.</t>
  </si>
  <si>
    <t xml:space="preserve">Real property vs. profile</t>
  </si>
  <si>
    <t xml:space="preserve">Insurers' systems often fill in year built, size or roof from public data. If the real property differs from the profile, overwrite the profile columns with the true values so the model is tested on what the insurer used.</t>
  </si>
  <si>
    <t xml:space="preserve">Same day</t>
  </si>
  <si>
    <t xml:space="preserve">Price all insurers within a few days; rates change.</t>
  </si>
  <si>
    <t xml:space="preserve">Declines</t>
  </si>
  <si>
    <t xml:space="preserve">Leave the price blank and note it. The share of declines is itself useful, especially in Florida and California.</t>
  </si>
  <si>
    <t xml:space="preserve">Decisions</t>
  </si>
  <si>
    <t xml:space="preserve">Meets both targets on the held-back third: describe that state's estimates as validated against N quotes from a named date. Misses: adjust the state price level, re-test, and keep the "rough guide" label if it still fails.</t>
  </si>
  <si>
    <t xml:space="preserve">Where more official data exists</t>
  </si>
  <si>
    <t xml:space="preserve">Oklahoma's samples are in the OK_Official_Data sheet. Texas publishes similar sample rates on HelpInsure.com (interactive); Delaware requires insurers to submit sample homeowners rates. Copy tables into the OK_Official_Data layout to extend the benchmark.</t>
  </si>
  <si>
    <t xml:space="preserve">Limits and next steps</t>
  </si>
  <si>
    <t xml:space="preserve">Plain-language summary of what is and is not done.</t>
  </si>
  <si>
    <t xml:space="preserve">#</t>
  </si>
  <si>
    <t xml:space="preserve">Limit</t>
  </si>
  <si>
    <t xml:space="preserve">What would fix it</t>
  </si>
  <si>
    <t xml:space="preserve">1</t>
  </si>
  <si>
    <t xml:space="preserve">No real-quote validation in Texas, Florida or California. Oklahoma's official samples are the only real per-insurer data tested, and some fixes used the same data (partly in-sample).</t>
  </si>
  <si>
    <t xml:space="preserve">Fill the Quote_Requests sheet and read Quote_Test</t>
  </si>
  <si>
    <t xml:space="preserve">2</t>
  </si>
  <si>
    <t xml:space="preserve">Home prices are one source's view. Another published source is 25% to 60% lower in the states compared.</t>
  </si>
  <si>
    <t xml:space="preserve">Choose or license a home-price dataset</t>
  </si>
  <si>
    <t xml:space="preserve">3</t>
  </si>
  <si>
    <t xml:space="preserve">State-level only. City moved the same profile's price by up to about 16% (car) and 22% (home) within Oklahoma.</t>
  </si>
  <si>
    <t xml:space="preserve">Address-level data (the web tool's helper adds hazard boxes only)</t>
  </si>
  <si>
    <t xml:space="preserve">4</t>
  </si>
  <si>
    <t xml:space="preserve">The percentile borrows Oklahoma's insurer spread for every state.</t>
  </si>
  <si>
    <t xml:space="preserve">More states' official samples (Texas HelpInsure)</t>
  </si>
  <si>
    <t xml:space="preserve">5</t>
  </si>
  <si>
    <t xml:space="preserve">Address helper passed offline tests only. Tested in Chromium (desktop and phone sizes) only; Safari, Firefox, real phones and screen-reader use not tested.</t>
  </si>
  <si>
    <t xml:space="preserve">Checklists A and B</t>
  </si>
  <si>
    <t xml:space="preserve">6</t>
  </si>
  <si>
    <t xml:space="preserve">No accountable owner, no incident process, no legal review.</t>
  </si>
  <si>
    <t xml:space="preserve">You, with counsel</t>
  </si>
  <si>
    <t xml:space="preserve">Sources</t>
  </si>
  <si>
    <t xml:space="preserve">From search results reviewed on September 29, 2026. Where full pages were not opened, figures are approximate. Commercial sites are flagged.</t>
  </si>
  <si>
    <t xml:space="preserve">Link</t>
  </si>
  <si>
    <t xml:space="preserve">Official data</t>
  </si>
  <si>
    <t xml:space="preserve">Oklahoma Insurance Department auto rate comparison (Sept 2026)</t>
  </si>
  <si>
    <t xml:space="preserve">https://www.oid.ok.gov/consumers/insurance-basics/auto-insurance-rate-comparison/</t>
  </si>
  <si>
    <t xml:space="preserve">Oklahoma Insurance Department home rate comparison (Aug 2026)</t>
  </si>
  <si>
    <t xml:space="preserve">https://www.oid.ok.gov/consumers/insurance-basics/home-insurance-rate-comparison/</t>
  </si>
  <si>
    <t xml:space="preserve">Texas HelpInsure data call</t>
  </si>
  <si>
    <t xml:space="preserve">https://tdi.texas.gov/company/data-collection/dchlpins.html</t>
  </si>
  <si>
    <t xml:space="preserve">Car prices</t>
  </si>
  <si>
    <t xml:space="preserve">NerdWallet state medians and driver-profile relativities (Sept 2026)</t>
  </si>
  <si>
    <t xml:space="preserve">https://www.nerdwallet.com/insurance/auto/car-insurance-calculator</t>
  </si>
  <si>
    <t xml:space="preserve">NerdWallet full-coverage analysis</t>
  </si>
  <si>
    <t xml:space="preserve">https://www.nerdwallet.com/insurance/auto/cheap-full-coverage-insurance</t>
  </si>
  <si>
    <t xml:space="preserve">Insurify rates by age</t>
  </si>
  <si>
    <t xml:space="preserve">https://insurify.com/car-insurance/cheap-car-insurance/age/</t>
  </si>
  <si>
    <t xml:space="preserve">NerdWallet deductible savings</t>
  </si>
  <si>
    <t xml:space="preserve">https://www.nerdwallet.com/insurance/auto/news/insurance-deductible-savings</t>
  </si>
  <si>
    <t xml:space="preserve">Home prices</t>
  </si>
  <si>
    <t xml:space="preserve">Insurance.com average rates by state (Sept 15, 2026)</t>
  </si>
  <si>
    <t xml:space="preserve">https://www.insurance.com/home-and-renters-insurance/home-insurance-basics/average-homeowners-insurance-rates-by-state</t>
  </si>
  <si>
    <t xml:space="preserve">InsuranceQuotes</t>
  </si>
  <si>
    <t xml:space="preserve">https://www.insurancequotes.com/home/rates-by-state</t>
  </si>
  <si>
    <t xml:space="preserve">Compare.com</t>
  </si>
  <si>
    <t xml:space="preserve">https://www.compare.com/homeowners-insurance/average-cost-home-insurance</t>
  </si>
  <si>
    <t xml:space="preserve">Claims and credit</t>
  </si>
  <si>
    <t xml:space="preserve">MoneyGeek: costs after a claim</t>
  </si>
  <si>
    <t xml:space="preserve">https://www.moneygeek.com/insurance/homeowners/home-insurance-costs-after-a-claim/</t>
  </si>
  <si>
    <t xml:space="preserve">Bankrate: credit and home insurance</t>
  </si>
  <si>
    <t xml:space="preserve">https://www.bankrate.com/insurance/homeowners-insurance/does-credit-score-affect-home-insurance/</t>
  </si>
  <si>
    <t xml:space="preserve">Rebuild cost</t>
  </si>
  <si>
    <t xml:space="preserve">NerdWallet rebuild costs</t>
  </si>
  <si>
    <t xml:space="preserve">https://www.nerdwallet.com/insurance/homeowners/news/rebuilding-costs</t>
  </si>
  <si>
    <t xml:space="preserve">Insure.com survey</t>
  </si>
  <si>
    <t xml:space="preserve">https://www.insure.com/home-insurance/home-replacement-cost-calculator/</t>
  </si>
  <si>
    <t xml:space="preserve">Market</t>
  </si>
  <si>
    <t xml:space="preserve">https://risk.lexisnexis.com/about-us/press-room/press-release/20260722-home-trends-report</t>
  </si>
  <si>
    <t xml:space="preserve">California FAIR Plan hearing (Insurance Business)</t>
  </si>
  <si>
    <t xml:space="preserve">https://www.insurancebusinessmag.com/us/news/property/you-cannot-depopulate-the-fair-plan-if-its-cheaper-563757.aspx</t>
  </si>
  <si>
    <t xml:space="preserve">Consumers</t>
  </si>
  <si>
    <t xml:space="preserve">J.D. Power / TransUnion Q2 2026</t>
  </si>
  <si>
    <t xml:space="preserve">https://hub.jdpower.com/hubfs/FSAAS/Insurance/26-JDP_LIST%20Report%20Q2%202026_FINAL.pdf</t>
  </si>
  <si>
    <t xml:space="preserve">Flood and hazards</t>
  </si>
  <si>
    <t xml:space="preserve">FEMA Flood Map Service Center</t>
  </si>
  <si>
    <t xml:space="preserve">https://msc.fema.gov/portal/home</t>
  </si>
  <si>
    <t xml:space="preserve">FEMA National Risk Index</t>
  </si>
  <si>
    <t xml:space="preserve">https://www.fema.gov/flood-maps/products-tools/national-risk-index</t>
  </si>
  <si>
    <t xml:space="preserve">Regulation</t>
  </si>
  <si>
    <t xml:space="preserve">NYDFS Circular Letter 2024-7</t>
  </si>
  <si>
    <t xml:space="preserve">https://www.dfs.ny.gov/industry-guidance/circular-letters/cl2024-07</t>
  </si>
  <si>
    <t xml:space="preserve">Colorado SB21-169</t>
  </si>
  <si>
    <t xml:space="preserve">https://doi.colorado.gov/for-consumers/sb21-169-protecting-consumers-from-unfair-discrimination-insurance-practices</t>
  </si>
  <si>
    <t xml:space="preserve">NAIC model bulletin adoption map</t>
  </si>
  <si>
    <t xml:space="preserve">https://content.naic.org/sites/default/files/legal-adoption-map-ai-model-bulletin.pdf</t>
  </si>
  <si>
    <t xml:space="preserve">Milliman on disparate impact</t>
  </si>
  <si>
    <t xml:space="preserve">https://www.milliman.com/en/insight/the-insurance-industrys-renewed-focus-on-disparate-impacts-and-unfair-discrimination</t>
  </si>
  <si>
    <t xml:space="preserve">Consultancies</t>
  </si>
  <si>
    <t xml:space="preserve">PwC model risk management</t>
  </si>
  <si>
    <t xml:space="preserve">https://www.pwc.com/us/en/services/audit-assurance/library/future-of-insurance-model-risk-management.html</t>
  </si>
  <si>
    <t xml:space="preserve">PwC AI in P&amp;C</t>
  </si>
  <si>
    <t xml:space="preserve">https://www.pwc.com/us/en/services/audit-assurance/library/ai-adoption-in-property-casualty-insurance.html</t>
  </si>
  <si>
    <t xml:space="preserve">Deloitte 2026 global insurance outlook</t>
  </si>
  <si>
    <t xml:space="preserve">https://www.deloitte.com/content/dam/insights/articles/2025/us188426_cfs_insurance-outlook-2026/pdf/DI_2026-global-insurance-outlook.pdf</t>
  </si>
</sst>
</file>

<file path=xl/styles.xml><?xml version="1.0" encoding="utf-8"?>
<styleSheet xmlns="http://schemas.openxmlformats.org/spreadsheetml/2006/main">
  <numFmts count="14">
    <numFmt numFmtId="164" formatCode="General"/>
    <numFmt numFmtId="165" formatCode="\$#,##0;&quot;($&quot;#,##0\);\-"/>
    <numFmt numFmtId="166" formatCode="0"/>
    <numFmt numFmtId="167" formatCode="0%"/>
    <numFmt numFmtId="168" formatCode="0.00"/>
    <numFmt numFmtId="169" formatCode="0.00\x"/>
    <numFmt numFmtId="170" formatCode="0.000"/>
    <numFmt numFmtId="171" formatCode="#,##0"/>
    <numFmt numFmtId="172" formatCode="yyyy\-mm\-dd"/>
    <numFmt numFmtId="173" formatCode="General"/>
    <numFmt numFmtId="174" formatCode="0.0%"/>
    <numFmt numFmtId="175" formatCode="0.0%;\(0.0%\);\-"/>
    <numFmt numFmtId="176" formatCode="0.0000"/>
    <numFmt numFmtId="177" formatCode="\$#,##0"/>
  </numFmts>
  <fonts count="14">
    <font>
      <sz val="11"/>
      <color theme="1"/>
      <name val="Calibri"/>
      <family val="2"/>
      <charset val="1"/>
    </font>
    <font>
      <sz val="10"/>
      <name val="Arial"/>
      <family val="0"/>
    </font>
    <font>
      <sz val="10"/>
      <name val="Arial"/>
      <family val="0"/>
    </font>
    <font>
      <sz val="10"/>
      <name val="Arial"/>
      <family val="0"/>
    </font>
    <font>
      <b val="true"/>
      <sz val="16"/>
      <color rgb="FF0F5B4A"/>
      <name val="Arial"/>
      <family val="0"/>
      <charset val="1"/>
    </font>
    <font>
      <i val="true"/>
      <sz val="9"/>
      <color rgb="FF595959"/>
      <name val="Arial"/>
      <family val="0"/>
      <charset val="1"/>
    </font>
    <font>
      <b val="true"/>
      <sz val="12"/>
      <color rgb="FF0F5B4A"/>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b val="true"/>
      <sz val="10"/>
      <color rgb="FF9A3412"/>
      <name val="Arial"/>
      <family val="0"/>
      <charset val="1"/>
    </font>
    <font>
      <b val="true"/>
      <sz val="10"/>
      <name val="Arial"/>
      <family val="0"/>
      <charset val="1"/>
    </font>
    <font>
      <b val="true"/>
      <sz val="10"/>
      <color rgb="FF166534"/>
      <name val="Arial"/>
      <family val="0"/>
      <charset val="1"/>
    </font>
  </fonts>
  <fills count="6">
    <fill>
      <patternFill patternType="none"/>
    </fill>
    <fill>
      <patternFill patternType="gray125"/>
    </fill>
    <fill>
      <patternFill patternType="solid">
        <fgColor rgb="FFFFF2CC"/>
        <bgColor rgb="FFE8EEEA"/>
      </patternFill>
    </fill>
    <fill>
      <patternFill patternType="solid">
        <fgColor rgb="FF0F5B4A"/>
        <bgColor rgb="FF166534"/>
      </patternFill>
    </fill>
    <fill>
      <patternFill patternType="solid">
        <fgColor rgb="FFE8EEEA"/>
        <bgColor rgb="FFE3F2E8"/>
      </patternFill>
    </fill>
    <fill>
      <patternFill patternType="solid">
        <fgColor rgb="FFE3F2E8"/>
        <bgColor rgb="FFE8EEEA"/>
      </patternFill>
    </fill>
  </fills>
  <borders count="2">
    <border diagonalUp="false" diagonalDown="false">
      <left/>
      <right/>
      <top/>
      <bottom/>
      <diagonal/>
    </border>
    <border diagonalUp="false" diagonalDown="false">
      <left style="thin">
        <color rgb="FFD6DDD8"/>
      </left>
      <right style="thin">
        <color rgb="FFD6DDD8"/>
      </right>
      <top style="thin">
        <color rgb="FFD6DDD8"/>
      </top>
      <bottom style="thin">
        <color rgb="FFD6DD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8" fillId="2"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bottom" textRotation="0" wrapText="true" indent="0" shrinkToFit="false"/>
      <protection locked="true" hidden="false"/>
    </xf>
    <xf numFmtId="172" fontId="8" fillId="2" borderId="1" xfId="0" applyFont="true" applyBorder="tru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1" fontId="12" fillId="5" borderId="1" xfId="0" applyFont="true" applyBorder="true" applyAlignment="false" applyProtection="false">
      <alignment horizontal="general" vertical="bottom" textRotation="0" wrapText="false" indent="0" shrinkToFit="false"/>
      <protection locked="true" hidden="false"/>
    </xf>
    <xf numFmtId="174" fontId="12" fillId="5"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5" fontId="8"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77" fontId="10" fillId="3" borderId="1" xfId="0" applyFont="true" applyBorder="true" applyAlignment="true" applyProtection="false">
      <alignment horizontal="general" vertical="center" textRotation="0" wrapText="tru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F5B4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6534"/>
      <rgbColor rgb="FFC0C0C0"/>
      <rgbColor rgb="FF808080"/>
      <rgbColor rgb="FF9999FF"/>
      <rgbColor rgb="FFC2410C"/>
      <rgbColor rgb="FFFFF2CC"/>
      <rgbColor rgb="FFE3F2E8"/>
      <rgbColor rgb="FF660066"/>
      <rgbColor rgb="FFFF8080"/>
      <rgbColor rgb="FF1D4ED8"/>
      <rgbColor rgb="FFD6DDD8"/>
      <rgbColor rgb="FF000080"/>
      <rgbColor rgb="FFFF00FF"/>
      <rgbColor rgb="FFFFFF00"/>
      <rgbColor rgb="FF00FFFF"/>
      <rgbColor rgb="FF800080"/>
      <rgbColor rgb="FF800000"/>
      <rgbColor rgb="FF008080"/>
      <rgbColor rgb="FF0000FF"/>
      <rgbColor rgb="FF00CCFF"/>
      <rgbColor rgb="FFE8EEEA"/>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F5B4A"/>
      <rgbColor rgb="FF339966"/>
      <rgbColor rgb="FF003300"/>
      <rgbColor rgb="FF333300"/>
      <rgbColor rgb="FF9A3412"/>
      <rgbColor rgb="FF7C3AED"/>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5B4A"/>
    <pageSetUpPr fitToPage="false"/>
  </sheetPr>
  <dimension ref="A1:D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10"/>
    <col collapsed="false" customWidth="true" hidden="false" outlineLevel="0" max="4" min="3" style="0" width="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1.5" hidden="false" customHeight="true" outlineLevel="0" collapsed="false">
      <c r="A5" s="4" t="s">
        <v>3</v>
      </c>
      <c r="B5" s="4"/>
      <c r="C5" s="4"/>
      <c r="D5" s="4"/>
    </row>
    <row r="7" customFormat="false" ht="15" hidden="false" customHeight="false" outlineLevel="0" collapsed="false">
      <c r="A7" s="3" t="s">
        <v>4</v>
      </c>
    </row>
    <row r="8" customFormat="false" ht="15" hidden="false" customHeight="false" outlineLevel="0" collapsed="false">
      <c r="A8" s="5" t="s">
        <v>5</v>
      </c>
      <c r="B8" s="6" t="s">
        <v>6</v>
      </c>
    </row>
    <row r="9" customFormat="false" ht="15" hidden="false" customHeight="false" outlineLevel="0" collapsed="false">
      <c r="A9" s="7" t="s">
        <v>7</v>
      </c>
      <c r="B9" s="6" t="s">
        <v>8</v>
      </c>
    </row>
    <row r="10" customFormat="false" ht="15" hidden="false" customHeight="false" outlineLevel="0" collapsed="false">
      <c r="A10" s="6" t="s">
        <v>9</v>
      </c>
      <c r="B10" s="6" t="s">
        <v>10</v>
      </c>
    </row>
    <row r="11" customFormat="false" ht="15" hidden="false" customHeight="false" outlineLevel="0" collapsed="false">
      <c r="A11" s="8" t="s">
        <v>11</v>
      </c>
      <c r="B11" s="6" t="s">
        <v>12</v>
      </c>
    </row>
    <row r="13" customFormat="false" ht="15" hidden="false" customHeight="false" outlineLevel="0" collapsed="false">
      <c r="A13" s="3" t="s">
        <v>13</v>
      </c>
    </row>
    <row r="14" customFormat="false" ht="15" hidden="false" customHeight="false" outlineLevel="0" collapsed="false">
      <c r="A14" s="9" t="s">
        <v>14</v>
      </c>
      <c r="B14" s="9" t="s">
        <v>15</v>
      </c>
    </row>
    <row r="15" customFormat="false" ht="15" hidden="false" customHeight="false" outlineLevel="0" collapsed="false">
      <c r="A15" s="10" t="s">
        <v>16</v>
      </c>
      <c r="B15" s="10" t="s">
        <v>17</v>
      </c>
    </row>
    <row r="16" customFormat="false" ht="15" hidden="false" customHeight="false" outlineLevel="0" collapsed="false">
      <c r="A16" s="10" t="s">
        <v>18</v>
      </c>
      <c r="B16" s="10" t="s">
        <v>19</v>
      </c>
    </row>
    <row r="17" customFormat="false" ht="15" hidden="false" customHeight="false" outlineLevel="0" collapsed="false">
      <c r="A17" s="10" t="s">
        <v>20</v>
      </c>
      <c r="B17" s="10" t="s">
        <v>21</v>
      </c>
    </row>
    <row r="18" customFormat="false" ht="15" hidden="false" customHeight="false" outlineLevel="0" collapsed="false">
      <c r="A18" s="10" t="s">
        <v>22</v>
      </c>
      <c r="B18" s="10" t="s">
        <v>23</v>
      </c>
    </row>
    <row r="19" customFormat="false" ht="15" hidden="false" customHeight="false" outlineLevel="0" collapsed="false">
      <c r="A19" s="10" t="s">
        <v>24</v>
      </c>
      <c r="B19" s="10" t="s">
        <v>25</v>
      </c>
    </row>
    <row r="20" customFormat="false" ht="15" hidden="false" customHeight="false" outlineLevel="0" collapsed="false">
      <c r="A20" s="10" t="s">
        <v>26</v>
      </c>
      <c r="B20" s="10" t="s">
        <v>27</v>
      </c>
    </row>
    <row r="21" customFormat="false" ht="15" hidden="false" customHeight="false" outlineLevel="0" collapsed="false">
      <c r="A21" s="10" t="s">
        <v>28</v>
      </c>
      <c r="B21" s="10" t="s">
        <v>29</v>
      </c>
    </row>
    <row r="22" customFormat="false" ht="15" hidden="false" customHeight="false" outlineLevel="0" collapsed="false">
      <c r="A22" s="10" t="s">
        <v>30</v>
      </c>
      <c r="B22" s="10" t="s">
        <v>31</v>
      </c>
    </row>
    <row r="23" customFormat="false" ht="15" hidden="false" customHeight="false" outlineLevel="0" collapsed="false">
      <c r="A23" s="10" t="s">
        <v>32</v>
      </c>
      <c r="B23" s="10" t="s">
        <v>33</v>
      </c>
    </row>
    <row r="24" customFormat="false" ht="15" hidden="false" customHeight="false" outlineLevel="0" collapsed="false">
      <c r="A24" s="10" t="s">
        <v>34</v>
      </c>
      <c r="B24" s="10" t="s">
        <v>35</v>
      </c>
    </row>
    <row r="25" customFormat="false" ht="15" hidden="false" customHeight="false" outlineLevel="0" collapsed="false">
      <c r="A25" s="10" t="s">
        <v>36</v>
      </c>
      <c r="B25" s="10" t="s">
        <v>37</v>
      </c>
    </row>
    <row r="26" customFormat="false" ht="15" hidden="false" customHeight="false" outlineLevel="0" collapsed="false">
      <c r="A26" s="10" t="s">
        <v>38</v>
      </c>
      <c r="B26" s="10" t="s">
        <v>39</v>
      </c>
    </row>
    <row r="28" customFormat="false" ht="15" hidden="false" customHeight="false" outlineLevel="0" collapsed="false">
      <c r="A28" s="3" t="s">
        <v>40</v>
      </c>
    </row>
    <row r="29" customFormat="false" ht="30" hidden="false" customHeight="true" outlineLevel="0" collapsed="false">
      <c r="A29" s="4" t="s">
        <v>41</v>
      </c>
      <c r="B29" s="4"/>
      <c r="C29" s="4"/>
      <c r="D29" s="4"/>
    </row>
    <row r="30" customFormat="false" ht="30" hidden="false" customHeight="true" outlineLevel="0" collapsed="false">
      <c r="A30" s="4" t="s">
        <v>42</v>
      </c>
      <c r="B30" s="4"/>
      <c r="C30" s="4"/>
      <c r="D30" s="4"/>
    </row>
    <row r="31" customFormat="false" ht="30" hidden="false" customHeight="true" outlineLevel="0" collapsed="false">
      <c r="A31" s="4" t="s">
        <v>43</v>
      </c>
      <c r="B31" s="4"/>
      <c r="C31" s="4"/>
      <c r="D31" s="4"/>
    </row>
    <row r="32" customFormat="false" ht="30" hidden="false" customHeight="true" outlineLevel="0" collapsed="false">
      <c r="A32" s="4" t="s">
        <v>44</v>
      </c>
      <c r="B32" s="4"/>
      <c r="C32" s="4"/>
      <c r="D32" s="4"/>
    </row>
    <row r="33" customFormat="false" ht="30" hidden="false" customHeight="true" outlineLevel="0" collapsed="false">
      <c r="A33" s="4" t="s">
        <v>45</v>
      </c>
      <c r="B33" s="4"/>
      <c r="C33" s="4"/>
      <c r="D33" s="4"/>
    </row>
    <row r="35" customFormat="false" ht="15" hidden="false" customHeight="false" outlineLevel="0" collapsed="false">
      <c r="A35" s="3" t="s">
        <v>46</v>
      </c>
    </row>
    <row r="36" customFormat="false" ht="15" hidden="false" customHeight="false" outlineLevel="0" collapsed="false">
      <c r="A36" s="11" t="s">
        <v>47</v>
      </c>
    </row>
    <row r="37" customFormat="false" ht="15" hidden="false" customHeight="false" outlineLevel="0" collapsed="false">
      <c r="A37" s="11" t="s">
        <v>48</v>
      </c>
    </row>
    <row r="38" customFormat="false" ht="15" hidden="false" customHeight="false" outlineLevel="0" collapsed="false">
      <c r="A38" s="11" t="s">
        <v>49</v>
      </c>
    </row>
    <row r="39" customFormat="false" ht="15" hidden="false" customHeight="false" outlineLevel="0" collapsed="false">
      <c r="A39" s="11" t="s">
        <v>50</v>
      </c>
    </row>
  </sheetData>
  <mergeCells count="6">
    <mergeCell ref="A5:D5"/>
    <mergeCell ref="A29:D29"/>
    <mergeCell ref="A30:D30"/>
    <mergeCell ref="A31:D31"/>
    <mergeCell ref="A32:D32"/>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fals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30"/>
    <col collapsed="false" customWidth="true" hidden="false" outlineLevel="0" max="4" min="4" style="0" width="3"/>
    <col collapsed="false" customWidth="true" hidden="false" outlineLevel="0" max="5" min="5" style="0" width="50"/>
    <col collapsed="false" customWidth="true" hidden="false" outlineLevel="0" max="6" min="6" style="0" width="52"/>
  </cols>
  <sheetData>
    <row r="1" customFormat="false" ht="19.7" hidden="false" customHeight="false" outlineLevel="0" collapsed="false">
      <c r="A1" s="1" t="s">
        <v>51</v>
      </c>
    </row>
    <row r="2" customFormat="false" ht="15" hidden="false" customHeight="false" outlineLevel="0" collapsed="false">
      <c r="A2" s="2" t="s">
        <v>52</v>
      </c>
    </row>
    <row r="4" customFormat="false" ht="15" hidden="false" customHeight="false" outlineLevel="0" collapsed="false">
      <c r="A4" s="3" t="s">
        <v>53</v>
      </c>
      <c r="E4" s="3" t="s">
        <v>54</v>
      </c>
    </row>
    <row r="5" customFormat="false" ht="15" hidden="false" customHeight="false" outlineLevel="0" collapsed="false">
      <c r="A5" s="6" t="s">
        <v>55</v>
      </c>
      <c r="B5" s="5" t="s">
        <v>56</v>
      </c>
      <c r="C5" s="2" t="s">
        <v>57</v>
      </c>
      <c r="E5" s="12" t="s">
        <v>58</v>
      </c>
      <c r="F5" s="13" t="n">
        <f aca="false">ROUND($B$42,-1)</f>
        <v>3970</v>
      </c>
    </row>
    <row r="6" customFormat="false" ht="15" hidden="false" customHeight="false" outlineLevel="0" collapsed="false">
      <c r="A6" s="6" t="s">
        <v>59</v>
      </c>
      <c r="B6" s="14" t="n">
        <v>34</v>
      </c>
      <c r="C6" s="2"/>
      <c r="E6" s="12" t="s">
        <v>60</v>
      </c>
      <c r="F6" s="13" t="n">
        <f aca="false">ROUND($B$42*EXP(-Car_Data!$B$123*Car_Data!$B$122),-1)</f>
        <v>2950</v>
      </c>
    </row>
    <row r="7" customFormat="false" ht="15" hidden="false" customHeight="false" outlineLevel="0" collapsed="false">
      <c r="A7" s="6" t="s">
        <v>61</v>
      </c>
      <c r="B7" s="14" t="n">
        <v>16</v>
      </c>
      <c r="C7" s="2"/>
      <c r="E7" s="12" t="s">
        <v>62</v>
      </c>
      <c r="F7" s="13" t="n">
        <f aca="false">ROUND($B$42*EXP(Car_Data!$B$123*Car_Data!$B$122),-1)</f>
        <v>5340</v>
      </c>
    </row>
    <row r="8" customFormat="false" ht="15" hidden="false" customHeight="false" outlineLevel="0" collapsed="false">
      <c r="A8" s="6" t="s">
        <v>63</v>
      </c>
      <c r="B8" s="14" t="n">
        <v>0</v>
      </c>
      <c r="C8" s="2"/>
      <c r="E8" s="12" t="s">
        <v>64</v>
      </c>
      <c r="F8" s="13" t="n">
        <f aca="false">$B$21</f>
        <v>2280</v>
      </c>
    </row>
    <row r="9" customFormat="false" ht="15" hidden="false" customHeight="false" outlineLevel="0" collapsed="false">
      <c r="A9" s="6" t="s">
        <v>65</v>
      </c>
      <c r="B9" s="14" t="n">
        <v>0</v>
      </c>
      <c r="C9" s="2"/>
      <c r="E9" s="12" t="s">
        <v>66</v>
      </c>
      <c r="F9" s="15" t="str">
        <f aca="false">IF(F8&gt;F7,"May be overpaying",IF(F8&lt;F6,"Below typical","Inside the typical range"))</f>
        <v>Below typical</v>
      </c>
    </row>
    <row r="10" customFormat="false" ht="15" hidden="false" customHeight="false" outlineLevel="0" collapsed="false">
      <c r="A10" s="6" t="s">
        <v>67</v>
      </c>
      <c r="B10" s="5" t="s">
        <v>68</v>
      </c>
      <c r="C10" s="2" t="s">
        <v>69</v>
      </c>
      <c r="E10" s="12" t="s">
        <v>70</v>
      </c>
      <c r="F10" s="16" t="n">
        <f aca="false">IF(AND($B$21&gt;0,$B$42&gt;0),NORMSDIST(LN($B$21/$B$42)/Car_Data!$B$122),0.5)</f>
        <v>0.103880094861555</v>
      </c>
    </row>
    <row r="11" customFormat="false" ht="15" hidden="false" customHeight="false" outlineLevel="0" collapsed="false">
      <c r="A11" s="6" t="s">
        <v>71</v>
      </c>
      <c r="B11" s="5" t="s">
        <v>72</v>
      </c>
      <c r="C11" s="2" t="s">
        <v>73</v>
      </c>
      <c r="E11" s="12" t="s">
        <v>74</v>
      </c>
      <c r="F11" s="13" t="n">
        <f aca="false">MAX(0,F8-F6)</f>
        <v>0</v>
      </c>
    </row>
    <row r="12" customFormat="false" ht="15" hidden="false" customHeight="false" outlineLevel="0" collapsed="false">
      <c r="A12" s="6" t="s">
        <v>75</v>
      </c>
      <c r="B12" s="17" t="n">
        <v>31000</v>
      </c>
      <c r="C12" s="2"/>
      <c r="E12" s="12" t="s">
        <v>76</v>
      </c>
      <c r="F12" s="13" t="n">
        <f aca="false">$B$26</f>
        <v>3608</v>
      </c>
    </row>
    <row r="13" customFormat="false" ht="15" hidden="false" customHeight="false" outlineLevel="0" collapsed="false">
      <c r="A13" s="6" t="s">
        <v>77</v>
      </c>
      <c r="B13" s="5" t="s">
        <v>78</v>
      </c>
      <c r="C13" s="2" t="s">
        <v>79</v>
      </c>
      <c r="E13" s="12" t="s">
        <v>80</v>
      </c>
      <c r="F13" s="15" t="str">
        <f aca="false">INDEX(Car_Data!$J$5:$J$56,$B$25)</f>
        <v>30/60/25</v>
      </c>
    </row>
    <row r="14" customFormat="false" ht="15" hidden="false" customHeight="false" outlineLevel="0" collapsed="false">
      <c r="A14" s="6" t="s">
        <v>81</v>
      </c>
      <c r="B14" s="17" t="n">
        <v>1000</v>
      </c>
      <c r="C14" s="2" t="s">
        <v>82</v>
      </c>
      <c r="E14" s="12" t="s">
        <v>83</v>
      </c>
      <c r="F14" s="15" t="str">
        <f aca="false">INDEX(Car_Data!$K$5:$K$56,$B$25)</f>
        <v>Checked against an official state source</v>
      </c>
    </row>
    <row r="15" customFormat="false" ht="15" hidden="false" customHeight="false" outlineLevel="0" collapsed="false">
      <c r="A15" s="6" t="s">
        <v>84</v>
      </c>
      <c r="B15" s="5" t="s">
        <v>85</v>
      </c>
      <c r="C15" s="2" t="s">
        <v>86</v>
      </c>
      <c r="E15" s="12" t="s">
        <v>87</v>
      </c>
      <c r="F15" s="15" t="str">
        <f aca="false">INDEX(Car_Data!$I$5:$I$56,$B$25)</f>
        <v>Must be offered; may be rejected in writing</v>
      </c>
    </row>
    <row r="16" customFormat="false" ht="15" hidden="false" customHeight="false" outlineLevel="0" collapsed="false">
      <c r="A16" s="6" t="s">
        <v>88</v>
      </c>
      <c r="B16" s="5" t="s">
        <v>89</v>
      </c>
      <c r="C16" s="2" t="s">
        <v>90</v>
      </c>
      <c r="E16" s="12" t="s">
        <v>91</v>
      </c>
      <c r="F16" s="15" t="str">
        <f aca="false">INDEX(Car_Data!$G$5:$G$56,$B$25)&amp;IF(INDEX(Car_Data!$G$5:$G$56,$B$25)="Yes"," - "&amp;INDEX(Car_Data!$H$5:$H$56,$B$25),"")</f>
        <v>No</v>
      </c>
    </row>
    <row r="17" customFormat="false" ht="15" hidden="false" customHeight="false" outlineLevel="0" collapsed="false">
      <c r="A17" s="6" t="s">
        <v>92</v>
      </c>
      <c r="B17" s="5" t="s">
        <v>93</v>
      </c>
      <c r="C17" s="2" t="s">
        <v>94</v>
      </c>
    </row>
    <row r="18" customFormat="false" ht="15" hidden="false" customHeight="false" outlineLevel="0" collapsed="false">
      <c r="A18" s="6" t="s">
        <v>95</v>
      </c>
      <c r="B18" s="5" t="s">
        <v>68</v>
      </c>
      <c r="C18" s="2" t="s">
        <v>69</v>
      </c>
      <c r="E18" s="3" t="s">
        <v>96</v>
      </c>
    </row>
    <row r="19" customFormat="false" ht="15" hidden="false" customHeight="false" outlineLevel="0" collapsed="false">
      <c r="A19" s="6" t="s">
        <v>97</v>
      </c>
      <c r="B19" s="5" t="s">
        <v>98</v>
      </c>
      <c r="C19" s="2" t="s">
        <v>69</v>
      </c>
      <c r="E19" s="2" t="s">
        <v>99</v>
      </c>
    </row>
    <row r="20" customFormat="false" ht="15" hidden="false" customHeight="false" outlineLevel="0" collapsed="false">
      <c r="A20" s="6" t="s">
        <v>100</v>
      </c>
      <c r="B20" s="5" t="s">
        <v>68</v>
      </c>
      <c r="C20" s="2" t="s">
        <v>69</v>
      </c>
      <c r="E20" s="2" t="s">
        <v>101</v>
      </c>
    </row>
    <row r="21" customFormat="false" ht="15" hidden="false" customHeight="false" outlineLevel="0" collapsed="false">
      <c r="A21" s="6" t="s">
        <v>102</v>
      </c>
      <c r="B21" s="17" t="n">
        <v>2280</v>
      </c>
      <c r="C21" s="2" t="s">
        <v>103</v>
      </c>
      <c r="E21" s="2" t="s">
        <v>104</v>
      </c>
    </row>
    <row r="22" customFormat="false" ht="15" hidden="false" customHeight="false" outlineLevel="0" collapsed="false">
      <c r="E22" s="2" t="s">
        <v>105</v>
      </c>
    </row>
    <row r="24" customFormat="false" ht="15" hidden="false" customHeight="false" outlineLevel="0" collapsed="false">
      <c r="A24" s="3" t="s">
        <v>106</v>
      </c>
    </row>
    <row r="25" customFormat="false" ht="15" hidden="false" customHeight="false" outlineLevel="0" collapsed="false">
      <c r="A25" s="6" t="s">
        <v>107</v>
      </c>
      <c r="B25" s="8" t="n">
        <f aca="false">MATCH($B$5,Car_Data!$B$5:$B$56,0)</f>
        <v>43</v>
      </c>
    </row>
    <row r="26" customFormat="false" ht="15" hidden="false" customHeight="false" outlineLevel="0" collapsed="false">
      <c r="A26" s="6" t="s">
        <v>108</v>
      </c>
      <c r="B26" s="18" t="n">
        <f aca="false">INDEX(Car_Data!$C$5:$C$56,$B$25)</f>
        <v>3608</v>
      </c>
    </row>
    <row r="27" customFormat="false" ht="15" hidden="false" customHeight="false" outlineLevel="0" collapsed="false">
      <c r="A27" s="6" t="s">
        <v>109</v>
      </c>
      <c r="B27" s="19" t="n">
        <f aca="false">INDEX(Car_Data!$B$100:$B$103,MATCH($B$15,Car_Data!$A$100:$A$103,0))</f>
        <v>0.36</v>
      </c>
    </row>
    <row r="28" customFormat="false" ht="15" hidden="false" customHeight="false" outlineLevel="0" collapsed="false">
      <c r="A28" s="6" t="s">
        <v>110</v>
      </c>
      <c r="B28" s="19" t="n">
        <f aca="false">INDEX(Car_Data!$B$104:$B$106,MATCH($B$13,Car_Data!$A$104:$A$106,0))</f>
        <v>0.64</v>
      </c>
    </row>
    <row r="29" customFormat="false" ht="15" hidden="false" customHeight="false" outlineLevel="0" collapsed="false">
      <c r="A29" s="6" t="s">
        <v>111</v>
      </c>
      <c r="B29" s="20" t="n">
        <f aca="false">IF($B$28=0,1,MIN(Car_Data!$B$121,MAX(Car_Data!$B$120,(MAX($B$12,1000)/Car_Data!$B$118)^Car_Data!$B$119)))</f>
        <v>1.08985488227126</v>
      </c>
    </row>
    <row r="30" customFormat="false" ht="15" hidden="false" customHeight="false" outlineLevel="0" collapsed="false">
      <c r="A30" s="6" t="s">
        <v>112</v>
      </c>
      <c r="B30" s="20" t="n">
        <f aca="false">IF($B$28=0,1,IF($B$14&lt;=500,Car_Data!$B$113,IF($B$14&gt;=2000,Car_Data!$B$114,1)))</f>
        <v>1</v>
      </c>
    </row>
    <row r="31" customFormat="false" ht="15" hidden="false" customHeight="false" outlineLevel="0" collapsed="false">
      <c r="A31" s="6" t="s">
        <v>113</v>
      </c>
      <c r="B31" s="20" t="n">
        <f aca="false">IF($B$13="full",1+IF(($B$18="Yes"),Car_Data!$B$115,0)+IF(($B$19="Yes"),Car_Data!$B$116,0)+IF(($B$20="Yes"),Car_Data!$B$117,0),1)</f>
        <v>1.03</v>
      </c>
    </row>
    <row r="32" customFormat="false" ht="15" hidden="false" customHeight="false" outlineLevel="0" collapsed="false">
      <c r="A32" s="6" t="s">
        <v>114</v>
      </c>
      <c r="B32" s="21" t="n">
        <f aca="false">$B$27+$B$28*$B$29*$B$30*$B$31</f>
        <v>1.07843233839322</v>
      </c>
    </row>
    <row r="33" customFormat="false" ht="15" hidden="false" customHeight="false" outlineLevel="0" collapsed="false">
      <c r="A33" s="6" t="s">
        <v>115</v>
      </c>
      <c r="B33" s="22" t="n">
        <f aca="false">IFERROR(MATCH($B$6,Car_Data!$A$61:$A$74,1),1)</f>
        <v>5</v>
      </c>
    </row>
    <row r="34" customFormat="false" ht="15" hidden="false" customHeight="false" outlineLevel="0" collapsed="false">
      <c r="A34" s="6" t="s">
        <v>116</v>
      </c>
      <c r="B34" s="20" t="n">
        <f aca="false">IF($B$33&gt;=ROWS(Car_Data!$A$61:$A$74),INDEX(Car_Data!$B$61:$B$74,ROWS(Car_Data!$A$61:$A$74)),INDEX(Car_Data!$B$61:$B$74,$B$33)+(INDEX(Car_Data!$B$61:$B$74,$B$33+1)-INDEX(Car_Data!$B$61:$B$74,$B$33))*($B$6-INDEX(Car_Data!$A$61:$A$74,$B$33))/(INDEX(Car_Data!$A$61:$A$74,$B$33+1)-INDEX(Car_Data!$A$61:$A$74,$B$33)))</f>
        <v>1.02</v>
      </c>
    </row>
    <row r="35" customFormat="false" ht="15" hidden="false" customHeight="false" outlineLevel="0" collapsed="false">
      <c r="A35" s="6" t="s">
        <v>117</v>
      </c>
      <c r="B35" s="20" t="n">
        <f aca="false">IF($B$7&lt;2,Car_Data!$B$95,1)</f>
        <v>1</v>
      </c>
    </row>
    <row r="36" customFormat="false" ht="15" hidden="false" customHeight="false" outlineLevel="0" collapsed="false">
      <c r="A36" s="6" t="s">
        <v>118</v>
      </c>
      <c r="B36" s="20" t="n">
        <f aca="false">INDEX(Car_Data!$B$79:$B$82,MIN(3,MAX(0,$B$8))+1)</f>
        <v>1</v>
      </c>
    </row>
    <row r="37" customFormat="false" ht="15" hidden="false" customHeight="false" outlineLevel="0" collapsed="false">
      <c r="A37" s="6" t="s">
        <v>119</v>
      </c>
      <c r="B37" s="20" t="n">
        <f aca="false">INDEX(Car_Data!$B$83:$B$86,MIN(3,MAX(0,$B$9))+1)</f>
        <v>1</v>
      </c>
    </row>
    <row r="38" customFormat="false" ht="15" hidden="false" customHeight="false" outlineLevel="0" collapsed="false">
      <c r="A38" s="6" t="s">
        <v>120</v>
      </c>
      <c r="B38" s="20" t="n">
        <f aca="false">IF(($B$10="Yes"),Car_Data!$B$87,1)</f>
        <v>1</v>
      </c>
    </row>
    <row r="39" customFormat="false" ht="15" hidden="false" customHeight="false" outlineLevel="0" collapsed="false">
      <c r="A39" s="6" t="s">
        <v>121</v>
      </c>
      <c r="B39" s="20" t="n">
        <f aca="false">IF($B$16="high",Car_Data!$B$92,1)</f>
        <v>1</v>
      </c>
    </row>
    <row r="40" customFormat="false" ht="15" hidden="false" customHeight="false" outlineLevel="0" collapsed="false">
      <c r="A40" s="6" t="s">
        <v>122</v>
      </c>
      <c r="B40" s="20" t="n">
        <f aca="false">IF($B$17="commercial",Car_Data!$B$94,IF($B$17="business",Car_Data!$B$93,1))</f>
        <v>1</v>
      </c>
    </row>
    <row r="41" customFormat="false" ht="15" hidden="false" customHeight="false" outlineLevel="0" collapsed="false">
      <c r="A41" s="6" t="s">
        <v>123</v>
      </c>
      <c r="B41" s="20" t="n">
        <f aca="false">IF(INDEX(Car_Data!$E$5:$E$56,$B$25)="Yes",1,IF($B$11="poor",Car_Data!$B$88,IF($B$11="fair",Car_Data!$B$89,IF($B$11="excellent",Car_Data!$B$91,Car_Data!$B$90))))</f>
        <v>1</v>
      </c>
    </row>
    <row r="42" customFormat="false" ht="15" hidden="false" customHeight="false" outlineLevel="0" collapsed="false">
      <c r="A42" s="6" t="s">
        <v>124</v>
      </c>
      <c r="B42" s="23" t="n">
        <f aca="false">$B$26*$B$32*$B$34*$B$35*$B$36*$B$37*$B$38*$B$39*$B$40*$B$41</f>
        <v>3968.80355446118</v>
      </c>
    </row>
  </sheetData>
  <dataValidations count="12">
    <dataValidation allowBlank="false" errorStyle="stop" operator="between" showDropDown="false" showErrorMessage="false" showInputMessage="false" sqref="B5" type="list">
      <formula1>Car_Data!$B$5:$B$56</formula1>
      <formula2>0</formula2>
    </dataValidation>
    <dataValidation allowBlank="false" errorStyle="stop" operator="between" showDropDown="false" showErrorMessage="false" showInputMessage="false" sqref="B10" type="list">
      <formula1>"Yes,No"</formula1>
      <formula2>0</formula2>
    </dataValidation>
    <dataValidation allowBlank="true" errorStyle="stop" operator="between" showDropDown="false" showErrorMessage="false" showInputMessage="false" sqref="B11" type="list">
      <formula1>"poor,fair,good,excellent"</formula1>
      <formula2>0</formula2>
    </dataValidation>
    <dataValidation allowBlank="false" errorStyle="stop" operator="between" showDropDown="false" showErrorMessage="false" showInputMessage="false" sqref="B13" type="list">
      <formula1>"full,coll,liab"</formula1>
      <formula2>0</formula2>
    </dataValidation>
    <dataValidation allowBlank="false" errorStyle="stop" operator="between" showDropDown="false" showErrorMessage="false" showInputMessage="false" sqref="B14" type="list">
      <formula1>"500,1000,2000"</formula1>
      <formula2>0</formula2>
    </dataValidation>
    <dataValidation allowBlank="false" errorStyle="stop" operator="between" showDropDown="false" showErrorMessage="false" showInputMessage="false" sqref="B15" type="list">
      <formula1>"min,l50,l100,unsure"</formula1>
      <formula2>0</formula2>
    </dataValidation>
    <dataValidation allowBlank="false" errorStyle="stop" operator="between" showDropDown="false" showErrorMessage="false" showInputMessage="false" sqref="B16" type="list">
      <formula1>"low,mid,high"</formula1>
      <formula2>0</formula2>
    </dataValidation>
    <dataValidation allowBlank="false" errorStyle="stop" operator="between" showDropDown="false" showErrorMessage="false" showInputMessage="false" sqref="B17" type="list">
      <formula1>"personal,business,commercial"</formula1>
      <formula2>0</formula2>
    </dataValidation>
    <dataValidation allowBlank="false" errorStyle="stop" operator="between" showDropDown="false" showErrorMessage="false" showInputMessage="false" sqref="B18" type="list">
      <formula1>"Yes,No"</formula1>
      <formula2>0</formula2>
    </dataValidation>
    <dataValidation allowBlank="false" errorStyle="stop" operator="between" showDropDown="false" showErrorMessage="false" showInputMessage="false" sqref="B19" type="list">
      <formula1>"Yes,No"</formula1>
      <formula2>0</formula2>
    </dataValidation>
    <dataValidation allowBlank="false" errorStyle="stop" operator="between" showDropDown="false" showErrorMessage="false" showInputMessage="false" sqref="B20" type="list">
      <formula1>"Yes,No"</formula1>
      <formula2>0</formula2>
    </dataValidation>
    <dataValidation allowBlank="false" errorStyle="stop" operator="between" showDropDown="false" showErrorMessage="false" showInputMessage="false" sqref="B6" type="whole">
      <formula1>16</formula1>
      <formula2>99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fals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24"/>
    <col collapsed="false" customWidth="true" hidden="false" outlineLevel="0" max="4" min="4" style="0" width="3"/>
    <col collapsed="false" customWidth="true" hidden="false" outlineLevel="0" max="5" min="5" style="0" width="64"/>
    <col collapsed="false" customWidth="true" hidden="false" outlineLevel="0" max="6" min="6" style="0" width="22"/>
    <col collapsed="false" customWidth="true" hidden="false" outlineLevel="0" max="7" min="7" style="0" width="18"/>
    <col collapsed="false" customWidth="true" hidden="false" outlineLevel="0" max="8" min="8" style="0" width="16"/>
    <col collapsed="false" customWidth="true" hidden="false" outlineLevel="0" max="9" min="9" style="0" width="60"/>
  </cols>
  <sheetData>
    <row r="1" customFormat="false" ht="19.7" hidden="false" customHeight="false" outlineLevel="0" collapsed="false">
      <c r="A1" s="1" t="s">
        <v>125</v>
      </c>
    </row>
    <row r="2" customFormat="false" ht="15" hidden="false" customHeight="false" outlineLevel="0" collapsed="false">
      <c r="A2" s="2" t="s">
        <v>126</v>
      </c>
    </row>
    <row r="4" customFormat="false" ht="15" hidden="false" customHeight="false" outlineLevel="0" collapsed="false">
      <c r="A4" s="3" t="s">
        <v>127</v>
      </c>
      <c r="E4" s="3" t="s">
        <v>54</v>
      </c>
    </row>
    <row r="5" customFormat="false" ht="15" hidden="false" customHeight="false" outlineLevel="0" collapsed="false">
      <c r="A5" s="6" t="s">
        <v>55</v>
      </c>
      <c r="B5" s="5" t="s">
        <v>128</v>
      </c>
      <c r="C5" s="2"/>
      <c r="E5" s="12" t="s">
        <v>58</v>
      </c>
      <c r="F5" s="13" t="n">
        <f aca="false">ROUND($B$54,-1)</f>
        <v>11300</v>
      </c>
    </row>
    <row r="6" customFormat="false" ht="15" hidden="false" customHeight="false" outlineLevel="0" collapsed="false">
      <c r="A6" s="6" t="s">
        <v>129</v>
      </c>
      <c r="B6" s="24" t="n">
        <v>2100</v>
      </c>
      <c r="C6" s="2"/>
      <c r="E6" s="12" t="s">
        <v>60</v>
      </c>
      <c r="F6" s="13" t="n">
        <f aca="false">ROUND($B$54*EXP(-Car_Data!$B$123*Home_Data!$B$91),-1)</f>
        <v>8230</v>
      </c>
    </row>
    <row r="7" customFormat="false" ht="15" hidden="false" customHeight="false" outlineLevel="0" collapsed="false">
      <c r="A7" s="6" t="s">
        <v>130</v>
      </c>
      <c r="B7" s="14" t="n">
        <v>1998</v>
      </c>
      <c r="C7" s="2"/>
      <c r="E7" s="12" t="s">
        <v>62</v>
      </c>
      <c r="F7" s="13" t="n">
        <f aca="false">ROUND($B$54*EXP(Car_Data!$B$123*Home_Data!$B$91),-1)</f>
        <v>15520</v>
      </c>
    </row>
    <row r="8" customFormat="false" ht="15" hidden="false" customHeight="false" outlineLevel="0" collapsed="false">
      <c r="A8" s="6" t="s">
        <v>131</v>
      </c>
      <c r="B8" s="14" t="n">
        <v>17</v>
      </c>
      <c r="C8" s="2"/>
      <c r="E8" s="12" t="s">
        <v>64</v>
      </c>
      <c r="F8" s="13" t="n">
        <f aca="false">$B$32</f>
        <v>3900</v>
      </c>
    </row>
    <row r="9" customFormat="false" ht="15" hidden="false" customHeight="false" outlineLevel="0" collapsed="false">
      <c r="A9" s="6" t="s">
        <v>132</v>
      </c>
      <c r="B9" s="5" t="s">
        <v>133</v>
      </c>
      <c r="C9" s="2" t="s">
        <v>134</v>
      </c>
      <c r="E9" s="12" t="s">
        <v>66</v>
      </c>
      <c r="F9" s="15" t="str">
        <f aca="false">IF(F8&gt;F7,"May be above typical",IF(F8&lt;F6,"Below typical","Inside the typical range"))</f>
        <v>Below typical</v>
      </c>
    </row>
    <row r="10" customFormat="false" ht="15" hidden="false" customHeight="false" outlineLevel="0" collapsed="false">
      <c r="A10" s="6" t="s">
        <v>135</v>
      </c>
      <c r="B10" s="5" t="s">
        <v>136</v>
      </c>
      <c r="C10" s="2" t="s">
        <v>137</v>
      </c>
      <c r="E10" s="12" t="s">
        <v>70</v>
      </c>
      <c r="F10" s="16" t="n">
        <f aca="false">IF(AND($B$32&gt;0,$B$54&gt;0),NORMSDIST(LN($B$32/$B$54)/Home_Data!$B$91),0.5)</f>
        <v>0.0117788840435905</v>
      </c>
    </row>
    <row r="11" customFormat="false" ht="15" hidden="false" customHeight="false" outlineLevel="0" collapsed="false">
      <c r="A11" s="6" t="s">
        <v>71</v>
      </c>
      <c r="B11" s="5" t="s">
        <v>72</v>
      </c>
      <c r="C11" s="2" t="s">
        <v>73</v>
      </c>
      <c r="E11" s="12" t="s">
        <v>74</v>
      </c>
      <c r="F11" s="13" t="n">
        <f aca="false">MAX(0,F8-F6)</f>
        <v>0</v>
      </c>
    </row>
    <row r="12" customFormat="false" ht="15" hidden="false" customHeight="false" outlineLevel="0" collapsed="false">
      <c r="A12" s="6" t="s">
        <v>138</v>
      </c>
      <c r="B12" s="14" t="n">
        <v>0</v>
      </c>
      <c r="C12" s="2"/>
      <c r="E12" s="12" t="s">
        <v>139</v>
      </c>
      <c r="F12" s="13" t="n">
        <f aca="false">INDEX(Home_Data!$D$5:$D$56,$B$37)</f>
        <v>8471</v>
      </c>
    </row>
    <row r="13" customFormat="false" ht="15" hidden="false" customHeight="false" outlineLevel="0" collapsed="false">
      <c r="A13" s="6" t="s">
        <v>140</v>
      </c>
      <c r="B13" s="17" t="n">
        <v>350000</v>
      </c>
      <c r="C13" s="2" t="s">
        <v>141</v>
      </c>
    </row>
    <row r="14" customFormat="false" ht="15" hidden="false" customHeight="false" outlineLevel="0" collapsed="false">
      <c r="A14" s="6" t="s">
        <v>142</v>
      </c>
      <c r="B14" s="17" t="n">
        <v>2500</v>
      </c>
      <c r="C14" s="2"/>
    </row>
    <row r="15" customFormat="false" ht="15" hidden="false" customHeight="false" outlineLevel="0" collapsed="false">
      <c r="A15" s="6" t="s">
        <v>143</v>
      </c>
      <c r="B15" s="14" t="n">
        <v>300</v>
      </c>
      <c r="C15" s="2"/>
      <c r="E15" s="3" t="s">
        <v>144</v>
      </c>
    </row>
    <row r="16" customFormat="false" ht="23.85" hidden="false" customHeight="false" outlineLevel="0" collapsed="false">
      <c r="A16" s="6" t="s">
        <v>145</v>
      </c>
      <c r="B16" s="5" t="s">
        <v>98</v>
      </c>
      <c r="C16" s="2" t="s">
        <v>69</v>
      </c>
      <c r="E16" s="9" t="s">
        <v>146</v>
      </c>
      <c r="F16" s="9" t="s">
        <v>147</v>
      </c>
      <c r="G16" s="9" t="s">
        <v>148</v>
      </c>
      <c r="H16" s="9" t="s">
        <v>149</v>
      </c>
    </row>
    <row r="17" customFormat="false" ht="15" hidden="false" customHeight="false" outlineLevel="0" collapsed="false">
      <c r="A17" s="6" t="s">
        <v>150</v>
      </c>
      <c r="B17" s="5" t="s">
        <v>68</v>
      </c>
      <c r="C17" s="2" t="s">
        <v>69</v>
      </c>
      <c r="E17" s="6" t="s">
        <v>151</v>
      </c>
      <c r="F17" s="23" t="n">
        <f aca="false">$B$6*Home_Data!$B$95</f>
        <v>340200</v>
      </c>
      <c r="G17" s="25" t="n">
        <f aca="false">IF(F17&gt;0,$B$13/F17,0)</f>
        <v>1.02880658436214</v>
      </c>
      <c r="H17" s="23" t="n">
        <f aca="false">MAX(0,F17-$B$13)</f>
        <v>0</v>
      </c>
    </row>
    <row r="18" customFormat="false" ht="15" hidden="false" customHeight="false" outlineLevel="0" collapsed="false">
      <c r="A18" s="6" t="s">
        <v>152</v>
      </c>
      <c r="B18" s="5" t="s">
        <v>68</v>
      </c>
      <c r="C18" s="2" t="s">
        <v>69</v>
      </c>
      <c r="E18" s="6" t="s">
        <v>153</v>
      </c>
      <c r="F18" s="23" t="n">
        <f aca="false">$B$6*Home_Data!$B$96</f>
        <v>588000</v>
      </c>
      <c r="G18" s="25" t="n">
        <f aca="false">IF(F18&gt;0,$B$13/F18,0)</f>
        <v>0.595238095238095</v>
      </c>
      <c r="H18" s="23" t="n">
        <f aca="false">MAX(0,F18-$B$13)</f>
        <v>238000</v>
      </c>
    </row>
    <row r="19" customFormat="false" ht="15" hidden="false" customHeight="false" outlineLevel="0" collapsed="false">
      <c r="A19" s="6" t="s">
        <v>154</v>
      </c>
      <c r="B19" s="5" t="s">
        <v>98</v>
      </c>
      <c r="C19" s="2" t="s">
        <v>69</v>
      </c>
      <c r="E19" s="6" t="s">
        <v>155</v>
      </c>
      <c r="F19" s="23" t="n">
        <f aca="false">$B$6*Home_Data!$B$97</f>
        <v>735000</v>
      </c>
      <c r="G19" s="25" t="n">
        <f aca="false">IF(F19&gt;0,$B$13/F19,0)</f>
        <v>0.476190476190476</v>
      </c>
      <c r="H19" s="23" t="n">
        <f aca="false">MAX(0,F19-$B$13)</f>
        <v>385000</v>
      </c>
    </row>
    <row r="20" customFormat="false" ht="15" hidden="false" customHeight="false" outlineLevel="0" collapsed="false">
      <c r="A20" s="6" t="s">
        <v>156</v>
      </c>
      <c r="B20" s="5" t="s">
        <v>68</v>
      </c>
      <c r="C20" s="2" t="s">
        <v>69</v>
      </c>
      <c r="E20" s="12" t="s">
        <v>66</v>
      </c>
      <c r="F20" s="26" t="str">
        <f aca="false">IF($B$13&lt;=0,"Enter a limit",IF($B$13&gt;=F18,"Meets the midpoint estimate",IF($B$13&gt;=0.8*F18,"Close, but below the midpoint",IF($B$13&gt;=F17,"May be short (under 80% of midpoint)","Below even the lowest estimate"))))</f>
        <v>May be short (under 80% of midpoint)</v>
      </c>
      <c r="G20" s="26"/>
      <c r="H20" s="26"/>
    </row>
    <row r="21" customFormat="false" ht="15" hidden="false" customHeight="false" outlineLevel="0" collapsed="false">
      <c r="A21" s="6" t="s">
        <v>157</v>
      </c>
      <c r="B21" s="27" t="n">
        <v>0.02</v>
      </c>
      <c r="C21" s="2" t="s">
        <v>158</v>
      </c>
    </row>
    <row r="22" customFormat="false" ht="15" hidden="false" customHeight="false" outlineLevel="0" collapsed="false">
      <c r="A22" s="6" t="s">
        <v>159</v>
      </c>
      <c r="B22" s="27" t="n">
        <v>0</v>
      </c>
      <c r="C22" s="2"/>
      <c r="E22" s="3" t="s">
        <v>160</v>
      </c>
    </row>
    <row r="23" customFormat="false" ht="15" hidden="false" customHeight="false" outlineLevel="0" collapsed="false">
      <c r="A23" s="6" t="s">
        <v>161</v>
      </c>
      <c r="B23" s="5" t="s">
        <v>162</v>
      </c>
      <c r="C23" s="2" t="s">
        <v>163</v>
      </c>
      <c r="E23" s="9" t="s">
        <v>164</v>
      </c>
      <c r="F23" s="9" t="s">
        <v>165</v>
      </c>
      <c r="G23" s="9" t="s">
        <v>166</v>
      </c>
    </row>
    <row r="24" customFormat="false" ht="15" hidden="false" customHeight="false" outlineLevel="0" collapsed="false">
      <c r="A24" s="6" t="s">
        <v>167</v>
      </c>
      <c r="B24" s="5" t="s">
        <v>168</v>
      </c>
      <c r="C24" s="2" t="s">
        <v>169</v>
      </c>
      <c r="E24" s="6" t="s">
        <v>170</v>
      </c>
      <c r="F24" s="23" t="n">
        <f aca="false">$B$14</f>
        <v>2500</v>
      </c>
      <c r="G24" s="6" t="s">
        <v>171</v>
      </c>
    </row>
    <row r="25" customFormat="false" ht="15" hidden="false" customHeight="false" outlineLevel="0" collapsed="false">
      <c r="A25" s="6" t="s">
        <v>172</v>
      </c>
      <c r="B25" s="17" t="n">
        <v>20000</v>
      </c>
      <c r="C25" s="2" t="s">
        <v>173</v>
      </c>
      <c r="E25" s="6" t="s">
        <v>174</v>
      </c>
      <c r="F25" s="23" t="n">
        <f aca="false">IF($B$22&gt;0,$B$13*$B$22,$F$24)</f>
        <v>2500</v>
      </c>
      <c r="G25" s="6" t="s">
        <v>175</v>
      </c>
    </row>
    <row r="26" customFormat="false" ht="15" hidden="false" customHeight="false" outlineLevel="0" collapsed="false">
      <c r="A26" s="6" t="s">
        <v>176</v>
      </c>
      <c r="B26" s="5" t="s">
        <v>68</v>
      </c>
      <c r="C26" s="2" t="s">
        <v>69</v>
      </c>
      <c r="E26" s="6" t="s">
        <v>177</v>
      </c>
      <c r="F26" s="23" t="n">
        <f aca="false">IF($B$21&gt;0,$B$13*$B$21,$F$24)</f>
        <v>7000</v>
      </c>
      <c r="G26" s="6" t="s">
        <v>175</v>
      </c>
    </row>
    <row r="27" customFormat="false" ht="15" hidden="false" customHeight="false" outlineLevel="0" collapsed="false">
      <c r="A27" s="6" t="s">
        <v>178</v>
      </c>
      <c r="B27" s="5" t="s">
        <v>68</v>
      </c>
      <c r="C27" s="2" t="s">
        <v>69</v>
      </c>
      <c r="E27" s="6" t="s">
        <v>179</v>
      </c>
      <c r="F27" s="23" t="n">
        <f aca="false">MAX(0,Home_Data!$B$104-$F$25)</f>
        <v>11011</v>
      </c>
      <c r="G27" s="6" t="s">
        <v>180</v>
      </c>
    </row>
    <row r="28" customFormat="false" ht="15" hidden="false" customHeight="false" outlineLevel="0" collapsed="false">
      <c r="A28" s="6" t="s">
        <v>181</v>
      </c>
      <c r="B28" s="5" t="s">
        <v>68</v>
      </c>
      <c r="C28" s="2" t="s">
        <v>69</v>
      </c>
    </row>
    <row r="29" customFormat="false" ht="15" hidden="false" customHeight="false" outlineLevel="0" collapsed="false">
      <c r="A29" s="6" t="s">
        <v>182</v>
      </c>
      <c r="B29" s="5" t="s">
        <v>68</v>
      </c>
      <c r="C29" s="2" t="s">
        <v>69</v>
      </c>
      <c r="E29" s="3" t="s">
        <v>183</v>
      </c>
    </row>
    <row r="30" customFormat="false" ht="15" hidden="false" customHeight="false" outlineLevel="0" collapsed="false">
      <c r="A30" s="6" t="s">
        <v>184</v>
      </c>
      <c r="B30" s="5" t="s">
        <v>68</v>
      </c>
      <c r="C30" s="2" t="s">
        <v>69</v>
      </c>
      <c r="E30" s="6" t="s">
        <v>185</v>
      </c>
      <c r="F30" s="25" t="n">
        <f aca="false">MIN(Home_Data!$B$122,$B$8/IF($B$23="tile",Home_Data!$B$110,IF($B$23="metal",Home_Data!$B$111,IF($B$23="other",Home_Data!$B$112,Home_Data!$B$109))))</f>
        <v>0.85</v>
      </c>
    </row>
    <row r="31" customFormat="false" ht="15" hidden="false" customHeight="false" outlineLevel="0" collapsed="false">
      <c r="A31" s="6" t="s">
        <v>186</v>
      </c>
      <c r="B31" s="5" t="s">
        <v>68</v>
      </c>
      <c r="C31" s="2" t="s">
        <v>69</v>
      </c>
      <c r="E31" s="9" t="s">
        <v>187</v>
      </c>
      <c r="F31" s="9" t="s">
        <v>188</v>
      </c>
      <c r="G31" s="9" t="s">
        <v>189</v>
      </c>
    </row>
    <row r="32" customFormat="false" ht="15" hidden="false" customHeight="false" outlineLevel="0" collapsed="false">
      <c r="A32" s="6" t="s">
        <v>102</v>
      </c>
      <c r="B32" s="17" t="n">
        <v>3900</v>
      </c>
      <c r="C32" s="2"/>
      <c r="E32" s="6" t="s">
        <v>190</v>
      </c>
      <c r="F32" s="23" t="n">
        <f aca="false">MAX(0,$B$25-$F$25)</f>
        <v>17500</v>
      </c>
      <c r="G32" s="23" t="n">
        <f aca="false">$B$25-F32</f>
        <v>2500</v>
      </c>
    </row>
    <row r="33" customFormat="false" ht="15" hidden="false" customHeight="false" outlineLevel="0" collapsed="false">
      <c r="E33" s="6" t="s">
        <v>191</v>
      </c>
      <c r="F33" s="23" t="n">
        <f aca="false">MAX(0,$B$25*(1-$F$30)-$F$25)</f>
        <v>500</v>
      </c>
      <c r="G33" s="23" t="n">
        <f aca="false">$B$25-F33</f>
        <v>19500</v>
      </c>
    </row>
    <row r="35" customFormat="false" ht="15" hidden="false" customHeight="false" outlineLevel="0" collapsed="false">
      <c r="E35" s="3" t="s">
        <v>192</v>
      </c>
    </row>
    <row r="36" customFormat="false" ht="15" hidden="false" customHeight="false" outlineLevel="0" collapsed="false">
      <c r="A36" s="3" t="s">
        <v>193</v>
      </c>
      <c r="E36" s="9" t="s">
        <v>194</v>
      </c>
      <c r="F36" s="9" t="s">
        <v>195</v>
      </c>
      <c r="G36" s="9" t="s">
        <v>188</v>
      </c>
      <c r="H36" s="9" t="s">
        <v>189</v>
      </c>
      <c r="I36" s="9" t="s">
        <v>196</v>
      </c>
    </row>
    <row r="37" customFormat="false" ht="15" hidden="false" customHeight="false" outlineLevel="0" collapsed="false">
      <c r="A37" s="6" t="s">
        <v>107</v>
      </c>
      <c r="B37" s="8" t="n">
        <f aca="false">MATCH($B$5,Home_Data!$B$5:$B$56,0)</f>
        <v>9</v>
      </c>
      <c r="E37" s="6" t="s">
        <v>197</v>
      </c>
      <c r="F37" s="23" t="n">
        <f aca="false">Home_Data!$B$101</f>
        <v>83991</v>
      </c>
      <c r="G37" s="23" t="n">
        <f aca="false">MAX(0,F37-$B$14)</f>
        <v>81491</v>
      </c>
      <c r="H37" s="23" t="n">
        <f aca="false">F37-G37</f>
        <v>2500</v>
      </c>
      <c r="I37" s="2" t="s">
        <v>198</v>
      </c>
    </row>
    <row r="38" customFormat="false" ht="15" hidden="false" customHeight="false" outlineLevel="0" collapsed="false">
      <c r="A38" s="6" t="s">
        <v>199</v>
      </c>
      <c r="B38" s="23" t="n">
        <f aca="false">MIN(MAX($B$13,50000),3000000)</f>
        <v>350000</v>
      </c>
      <c r="E38" s="6" t="s">
        <v>200</v>
      </c>
      <c r="F38" s="23" t="n">
        <f aca="false">F18*(1+Home_Data!$B$113)</f>
        <v>646800</v>
      </c>
      <c r="G38" s="23" t="n">
        <f aca="false">MAX(0,MIN($B$13+IF($B$26="Yes",Home_Data!$B$114*$B$13,0)+IF($B$27="Yes",Home_Data!$B$115*$B$13,0),F38-$B$14))</f>
        <v>350000</v>
      </c>
      <c r="H38" s="23" t="n">
        <f aca="false">F38-G38</f>
        <v>296800</v>
      </c>
      <c r="I38" s="2" t="s">
        <v>201</v>
      </c>
    </row>
    <row r="39" customFormat="false" ht="15" hidden="false" customHeight="false" outlineLevel="0" collapsed="false">
      <c r="A39" s="6" t="s">
        <v>202</v>
      </c>
      <c r="B39" s="22" t="n">
        <f aca="false">IFERROR(MIN(3,MAX(1,MATCH($B$38,Home_Data!$C$4:$F$4,1))),1)</f>
        <v>2</v>
      </c>
      <c r="E39" s="6" t="s">
        <v>203</v>
      </c>
      <c r="F39" s="23" t="n">
        <f aca="false">Home_Data!$B$104</f>
        <v>13511</v>
      </c>
      <c r="G39" s="23" t="n">
        <f aca="false">MAX(0,F39-$F$25)</f>
        <v>11011</v>
      </c>
      <c r="H39" s="23" t="n">
        <f aca="false">F39-G39</f>
        <v>2500</v>
      </c>
      <c r="I39" s="2" t="s">
        <v>204</v>
      </c>
    </row>
    <row r="40" customFormat="false" ht="15" hidden="false" customHeight="false" outlineLevel="0" collapsed="false">
      <c r="A40" s="6" t="s">
        <v>205</v>
      </c>
      <c r="B40" s="18" t="n">
        <f aca="false">INDEX(Home_Data!$C$5:$F$56,$B$37,$B$39)</f>
        <v>8471</v>
      </c>
      <c r="E40" s="6" t="s">
        <v>206</v>
      </c>
      <c r="F40" s="23" t="n">
        <f aca="false">Home_Data!$B$116</f>
        <v>40000</v>
      </c>
      <c r="G40" s="23" t="n">
        <f aca="false">MAX(0,F40-$F$26)</f>
        <v>33000</v>
      </c>
      <c r="H40" s="23" t="n">
        <f aca="false">F40-G40</f>
        <v>7000</v>
      </c>
      <c r="I40" s="2" t="s">
        <v>207</v>
      </c>
    </row>
    <row r="41" customFormat="false" ht="15" hidden="false" customHeight="false" outlineLevel="0" collapsed="false">
      <c r="A41" s="6" t="s">
        <v>208</v>
      </c>
      <c r="B41" s="18" t="n">
        <f aca="false">INDEX(Home_Data!$C$5:$F$56,$B$37,$B$39+1)</f>
        <v>11161</v>
      </c>
      <c r="E41" s="6" t="s">
        <v>209</v>
      </c>
      <c r="F41" s="23" t="n">
        <f aca="false">$B$25</f>
        <v>20000</v>
      </c>
      <c r="G41" s="23" t="n">
        <f aca="false">IF($B$24="rcv",F32,F33)</f>
        <v>500</v>
      </c>
      <c r="H41" s="23" t="n">
        <f aca="false">F41-G41</f>
        <v>19500</v>
      </c>
      <c r="I41" s="2" t="s">
        <v>210</v>
      </c>
    </row>
    <row r="42" customFormat="false" ht="15" hidden="false" customHeight="false" outlineLevel="0" collapsed="false">
      <c r="A42" s="6" t="s">
        <v>211</v>
      </c>
      <c r="B42" s="18" t="n">
        <f aca="false">INDEX(Home_Data!$C$4:$F$4,$B$39)</f>
        <v>300000</v>
      </c>
      <c r="E42" s="6" t="s">
        <v>212</v>
      </c>
      <c r="F42" s="23" t="n">
        <f aca="false">Home_Data!$B$103</f>
        <v>13954</v>
      </c>
      <c r="G42" s="23" t="n">
        <f aca="false">MAX(0,F42-$B$14)</f>
        <v>11454</v>
      </c>
      <c r="H42" s="23" t="n">
        <f aca="false">F42-G42</f>
        <v>2500</v>
      </c>
      <c r="I42" s="2" t="s">
        <v>204</v>
      </c>
    </row>
    <row r="43" customFormat="false" ht="15" hidden="false" customHeight="false" outlineLevel="0" collapsed="false">
      <c r="A43" s="6" t="s">
        <v>213</v>
      </c>
      <c r="B43" s="18" t="n">
        <f aca="false">INDEX(Home_Data!$C$4:$F$4,$B$39+1)</f>
        <v>400000</v>
      </c>
      <c r="E43" s="6" t="s">
        <v>214</v>
      </c>
      <c r="F43" s="23" t="n">
        <f aca="false">Home_Data!$B$117</f>
        <v>10000</v>
      </c>
      <c r="G43" s="23" t="n">
        <f aca="false">IF($B$28="Yes",MAX(0,F43-$B$14),0)</f>
        <v>0</v>
      </c>
      <c r="H43" s="23" t="n">
        <f aca="false">F43-G43</f>
        <v>10000</v>
      </c>
      <c r="I43" s="2" t="s">
        <v>215</v>
      </c>
    </row>
    <row r="44" customFormat="false" ht="15" hidden="false" customHeight="false" outlineLevel="0" collapsed="false">
      <c r="A44" s="6" t="s">
        <v>216</v>
      </c>
      <c r="B44" s="18" t="n">
        <f aca="false">IF($B$13&lt;200000,INDEX(Home_Data!$C$5:$F$56,$B$37,1)*(MAX($B$13,Home_Data!$B$90)/200000)^Home_Data!$B$89,$B$40*($B$38/$B$42)^(LN($B$41/$B$40)/LN($B$43/$B$42)))</f>
        <v>9819.98960800433</v>
      </c>
      <c r="E44" s="6" t="s">
        <v>217</v>
      </c>
      <c r="F44" s="23" t="n">
        <f aca="false">Home_Data!$B$105</f>
        <v>5024</v>
      </c>
      <c r="G44" s="23" t="n">
        <f aca="false">MAX(0,F44-$B$14)</f>
        <v>2524</v>
      </c>
      <c r="H44" s="23" t="n">
        <f aca="false">F44-G44</f>
        <v>2500</v>
      </c>
      <c r="I44" s="2" t="s">
        <v>218</v>
      </c>
    </row>
    <row r="45" customFormat="false" ht="15" hidden="false" customHeight="false" outlineLevel="0" collapsed="false">
      <c r="A45" s="6" t="s">
        <v>219</v>
      </c>
      <c r="B45" s="28" t="n">
        <f aca="false">IF($B$15=100,Home_Data!$B$67,IF($B$15=500,Home_Data!$B$69,Home_Data!$B$68))</f>
        <v>1</v>
      </c>
      <c r="E45" s="6" t="s">
        <v>220</v>
      </c>
      <c r="F45" s="23" t="n">
        <f aca="false">Home_Data!$B$102</f>
        <v>31690</v>
      </c>
      <c r="G45" s="23" t="n">
        <f aca="false">MIN(F45,$B$15*1000)</f>
        <v>31690</v>
      </c>
      <c r="H45" s="23" t="n">
        <f aca="false">F45-G45</f>
        <v>0</v>
      </c>
      <c r="I45" s="2" t="s">
        <v>204</v>
      </c>
    </row>
    <row r="46" customFormat="false" ht="15" hidden="false" customHeight="false" outlineLevel="0" collapsed="false">
      <c r="A46" s="6" t="s">
        <v>112</v>
      </c>
      <c r="B46" s="28" t="n">
        <f aca="false">IF($B$14&lt;=Home_Data!$B$61,Home_Data!$B$64,IF($B$14&gt;=Home_Data!$B$63,Home_Data!$B$66,IF($B$14&lt;=Home_Data!$B$62,Home_Data!$B$64+(Home_Data!$B$65-Home_Data!$B$64)*(LN($B$14)-LN(Home_Data!$B$61))/(LN(Home_Data!$B$62)-LN(Home_Data!$B$61)),Home_Data!$B$65+(Home_Data!$B$66-Home_Data!$B$65)*(LN($B$14)-LN(Home_Data!$B$62))/(LN(Home_Data!$B$63)-LN(Home_Data!$B$62)))))</f>
        <v>0.91</v>
      </c>
      <c r="E46" s="6" t="s">
        <v>221</v>
      </c>
      <c r="F46" s="23" t="n">
        <f aca="false">Home_Data!$B$118</f>
        <v>500000</v>
      </c>
      <c r="G46" s="23" t="n">
        <f aca="false">MIN(F46,$B$15*1000+IF($B$31="Yes",Home_Data!$B$119,0))</f>
        <v>300000</v>
      </c>
      <c r="H46" s="23" t="n">
        <f aca="false">F46-G46</f>
        <v>200000</v>
      </c>
      <c r="I46" s="2" t="s">
        <v>222</v>
      </c>
    </row>
    <row r="47" customFormat="false" ht="15" hidden="false" customHeight="false" outlineLevel="0" collapsed="false">
      <c r="A47" s="6" t="s">
        <v>223</v>
      </c>
      <c r="B47" s="20" t="n">
        <f aca="false">IF($B$8&gt;=20,Home_Data!$B$80,IF($B$8&gt;=10,Home_Data!$B$79,1))</f>
        <v>1.1</v>
      </c>
      <c r="E47" s="6" t="s">
        <v>224</v>
      </c>
      <c r="F47" s="23" t="n">
        <f aca="false">Home_Data!$B$120</f>
        <v>50000</v>
      </c>
      <c r="G47" s="23" t="n">
        <f aca="false">IF($B$29="Yes",F47,0)</f>
        <v>0</v>
      </c>
      <c r="H47" s="23" t="n">
        <f aca="false">F47-G47</f>
        <v>50000</v>
      </c>
      <c r="I47" s="2" t="s">
        <v>225</v>
      </c>
    </row>
    <row r="48" customFormat="false" ht="15" hidden="false" customHeight="false" outlineLevel="0" collapsed="false">
      <c r="A48" s="6" t="s">
        <v>226</v>
      </c>
      <c r="B48" s="20" t="n">
        <f aca="false">IF($B$7&lt;1960,Home_Data!$B$81,IF($B$7&lt;1980,Home_Data!$B$82,IF($B$7&gt;=2000,Home_Data!$B$83,1)))</f>
        <v>1</v>
      </c>
      <c r="E48" s="6" t="s">
        <v>227</v>
      </c>
      <c r="F48" s="23" t="n">
        <f aca="false">Home_Data!$B$121</f>
        <v>50000</v>
      </c>
      <c r="G48" s="23" t="n">
        <f aca="false">IF($B$30="Yes",F48,0)</f>
        <v>0</v>
      </c>
      <c r="H48" s="23" t="n">
        <f aca="false">F48-G48</f>
        <v>50000</v>
      </c>
      <c r="I48" s="2" t="s">
        <v>228</v>
      </c>
    </row>
    <row r="49" customFormat="false" ht="15" hidden="false" customHeight="false" outlineLevel="0" collapsed="false">
      <c r="A49" s="6" t="s">
        <v>229</v>
      </c>
      <c r="B49" s="20" t="n">
        <f aca="false">IF($B$9="brick",Home_Data!$B$78,1)</f>
        <v>1</v>
      </c>
      <c r="E49" s="12" t="s">
        <v>230</v>
      </c>
      <c r="H49" s="13" t="n">
        <f aca="false">MAX(H37:H48)</f>
        <v>296800</v>
      </c>
    </row>
    <row r="50" customFormat="false" ht="23.85" hidden="false" customHeight="false" outlineLevel="0" collapsed="false">
      <c r="A50" s="6" t="s">
        <v>122</v>
      </c>
      <c r="B50" s="20" t="n">
        <f aca="false">IF($B$10="rental",Home_Data!$B$84,IF($B$10="vacation",Home_Data!$B$85,1))</f>
        <v>1</v>
      </c>
      <c r="E50" s="12" t="s">
        <v>231</v>
      </c>
      <c r="F50" s="26" t="str">
        <f aca="false">INDEX(E37:E48,MATCH(H49,H37:H48,0))</f>
        <v>House destroyed (rebuild at the midpoint estimate plus code upgrades)</v>
      </c>
      <c r="G50" s="26"/>
      <c r="H50" s="26"/>
    </row>
    <row r="51" customFormat="false" ht="15" hidden="false" customHeight="false" outlineLevel="0" collapsed="false">
      <c r="A51" s="6" t="s">
        <v>232</v>
      </c>
      <c r="B51" s="20" t="n">
        <f aca="false">INDEX(Home_Data!$B$70:$B$73,MIN(3,MAX(0,$B$12))+1)</f>
        <v>1</v>
      </c>
    </row>
    <row r="52" customFormat="false" ht="15" hidden="false" customHeight="false" outlineLevel="0" collapsed="false">
      <c r="A52" s="6" t="s">
        <v>123</v>
      </c>
      <c r="B52" s="20" t="n">
        <f aca="false">IF(INDEX(Home_Data!$H$5:$H$56,$B$37)="Yes",1,IF($B$11="poor",Home_Data!$B$74,IF($B$11="fair",Home_Data!$B$75,IF($B$11="excellent",Home_Data!$B$77,Home_Data!$B$76))))</f>
        <v>1</v>
      </c>
    </row>
    <row r="53" customFormat="false" ht="15" hidden="false" customHeight="false" outlineLevel="0" collapsed="false">
      <c r="A53" s="6" t="s">
        <v>233</v>
      </c>
      <c r="B53" s="20" t="n">
        <f aca="false">IF(($B$16="Yes"),Home_Data!$B$86,1)*IF(($B$17="Yes"),Home_Data!$B$87,1)*IF(($B$18="Yes"),Home_Data!$B$88,1)</f>
        <v>1.15</v>
      </c>
    </row>
    <row r="54" customFormat="false" ht="15" hidden="false" customHeight="false" outlineLevel="0" collapsed="false">
      <c r="A54" s="6" t="s">
        <v>124</v>
      </c>
      <c r="B54" s="23" t="n">
        <f aca="false">$B$44*$B$45*$B$46*$B$47*$B$48*$B$49*$B$50*$B$51*$B$52*$B$53</f>
        <v>11304.2810372542</v>
      </c>
    </row>
  </sheetData>
  <mergeCells count="2">
    <mergeCell ref="F20:H20"/>
    <mergeCell ref="F50:H50"/>
  </mergeCells>
  <dataValidations count="18">
    <dataValidation allowBlank="false" errorStyle="stop" operator="between" showDropDown="false" showErrorMessage="false" showInputMessage="false" sqref="B16" type="list">
      <formula1>"Yes,No"</formula1>
      <formula2>0</formula2>
    </dataValidation>
    <dataValidation allowBlank="false" errorStyle="stop" operator="between" showDropDown="false" showErrorMessage="false" showInputMessage="false" sqref="B17" type="list">
      <formula1>"Yes,No"</formula1>
      <formula2>0</formula2>
    </dataValidation>
    <dataValidation allowBlank="false" errorStyle="stop" operator="between" showDropDown="false" showErrorMessage="false" showInputMessage="false" sqref="B18" type="list">
      <formula1>"Yes,No"</formula1>
      <formula2>0</formula2>
    </dataValidation>
    <dataValidation allowBlank="false" errorStyle="stop" operator="between" showDropDown="false" showErrorMessage="false" showInputMessage="false" sqref="B19" type="list">
      <formula1>"Yes,No"</formula1>
      <formula2>0</formula2>
    </dataValidation>
    <dataValidation allowBlank="false" errorStyle="stop" operator="between" showDropDown="false" showErrorMessage="false" showInputMessage="false" sqref="B20" type="list">
      <formula1>"Yes,No"</formula1>
      <formula2>0</formula2>
    </dataValidation>
    <dataValidation allowBlank="false" errorStyle="stop" operator="between" showDropDown="false" showErrorMessage="false" showInputMessage="false" sqref="B26" type="list">
      <formula1>"Yes,No"</formula1>
      <formula2>0</formula2>
    </dataValidation>
    <dataValidation allowBlank="false" errorStyle="stop" operator="between" showDropDown="false" showErrorMessage="false" showInputMessage="false" sqref="B27" type="list">
      <formula1>"Yes,No"</formula1>
      <formula2>0</formula2>
    </dataValidation>
    <dataValidation allowBlank="false" errorStyle="stop" operator="between" showDropDown="false" showErrorMessage="false" showInputMessage="false" sqref="B28" type="list">
      <formula1>"Yes,No"</formula1>
      <formula2>0</formula2>
    </dataValidation>
    <dataValidation allowBlank="false" errorStyle="stop" operator="between" showDropDown="false" showErrorMessage="false" showInputMessage="false" sqref="B29" type="list">
      <formula1>"Yes,No"</formula1>
      <formula2>0</formula2>
    </dataValidation>
    <dataValidation allowBlank="false" errorStyle="stop" operator="between" showDropDown="false" showErrorMessage="false" showInputMessage="false" sqref="B30" type="list">
      <formula1>"Yes,No"</formula1>
      <formula2>0</formula2>
    </dataValidation>
    <dataValidation allowBlank="false" errorStyle="stop" operator="between" showDropDown="false" showErrorMessage="false" showInputMessage="false" sqref="B31" type="list">
      <formula1>"Yes,No"</formula1>
      <formula2>0</formula2>
    </dataValidation>
    <dataValidation allowBlank="false" errorStyle="stop" operator="between" showDropDown="false" showErrorMessage="false" showInputMessage="false" sqref="B9" type="list">
      <formula1>"frame,brick"</formula1>
      <formula2>0</formula2>
    </dataValidation>
    <dataValidation allowBlank="false" errorStyle="stop" operator="between" showDropDown="false" showErrorMessage="false" showInputMessage="false" sqref="B10" type="list">
      <formula1>"own,rental,vacation"</formula1>
      <formula2>0</formula2>
    </dataValidation>
    <dataValidation allowBlank="true" errorStyle="stop" operator="between" showDropDown="false" showErrorMessage="false" showInputMessage="false" sqref="B11" type="list">
      <formula1>"poor,fair,good,excellent"</formula1>
      <formula2>0</formula2>
    </dataValidation>
    <dataValidation allowBlank="false" errorStyle="stop" operator="between" showDropDown="false" showErrorMessage="false" showInputMessage="false" sqref="B23" type="list">
      <formula1>"asphalt,tile,metal,other"</formula1>
      <formula2>0</formula2>
    </dataValidation>
    <dataValidation allowBlank="false" errorStyle="stop" operator="between" showDropDown="false" showErrorMessage="false" showInputMessage="false" sqref="B24" type="list">
      <formula1>"rcv,acv,sched,unsure"</formula1>
      <formula2>0</formula2>
    </dataValidation>
    <dataValidation allowBlank="false" errorStyle="stop" operator="between" showDropDown="false" showErrorMessage="false" showInputMessage="false" sqref="B15" type="list">
      <formula1>"100,300,500"</formula1>
      <formula2>0</formula2>
    </dataValidation>
    <dataValidation allowBlank="false" errorStyle="stop" operator="between" showDropDown="false" showErrorMessage="false" showInputMessage="false" sqref="B5" type="list">
      <formula1>Home_Data!$B$5:$B$56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AQ1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
    <col collapsed="false" customWidth="true" hidden="false" outlineLevel="0" max="3" min="3" style="0" width="8"/>
    <col collapsed="false" customWidth="true" hidden="false" outlineLevel="0" max="4" min="4" style="0" width="9"/>
    <col collapsed="false" customWidth="true" hidden="false" outlineLevel="0" max="8" min="5" style="0" width="8"/>
    <col collapsed="false" customWidth="true" hidden="false" outlineLevel="0" max="9" min="9" style="0" width="14"/>
    <col collapsed="false" customWidth="true" hidden="false" outlineLevel="0" max="10" min="10" style="0" width="13"/>
    <col collapsed="false" customWidth="true" hidden="false" outlineLevel="0" max="12" min="11" style="0" width="10"/>
    <col collapsed="false" customWidth="true" hidden="false" outlineLevel="0" max="13" min="13" style="0" width="7"/>
    <col collapsed="false" customWidth="true" hidden="false" outlineLevel="0" max="14" min="14" style="0" width="10"/>
    <col collapsed="false" customWidth="true" hidden="false" outlineLevel="0" max="15" min="15" style="0" width="9"/>
    <col collapsed="false" customWidth="true" hidden="false" outlineLevel="0" max="17" min="16" style="0" width="7"/>
    <col collapsed="false" customWidth="true" hidden="false" outlineLevel="0" max="18" min="18" style="0" width="34"/>
    <col collapsed="false" customWidth="true" hidden="false" outlineLevel="0" max="19" min="19" style="0" width="18"/>
    <col collapsed="false" customWidth="true" hidden="false" outlineLevel="0" max="20" min="20" style="0" width="12"/>
    <col collapsed="false" customWidth="true" hidden="false" outlineLevel="0" max="21" min="21" style="0" width="14"/>
    <col collapsed="false" customWidth="true" hidden="false" outlineLevel="0" max="43" min="22" style="0" width="13"/>
  </cols>
  <sheetData>
    <row r="1" customFormat="false" ht="19.7" hidden="false" customHeight="false" outlineLevel="0" collapsed="false">
      <c r="A1" s="1" t="s">
        <v>234</v>
      </c>
    </row>
    <row r="2" customFormat="false" ht="15" hidden="false" customHeight="false" outlineLevel="0" collapsed="false">
      <c r="A2" s="2" t="s">
        <v>235</v>
      </c>
    </row>
    <row r="4" customFormat="false" ht="15" hidden="false" customHeight="false" outlineLevel="0" collapsed="false">
      <c r="A4" s="29" t="s">
        <v>236</v>
      </c>
    </row>
    <row r="5" customFormat="false" ht="39.75" hidden="false" customHeight="true" outlineLevel="0" collapsed="false">
      <c r="A5" s="30" t="s">
        <v>237</v>
      </c>
      <c r="B5" s="30"/>
      <c r="C5" s="30"/>
      <c r="D5" s="30"/>
      <c r="E5" s="30"/>
      <c r="F5" s="30"/>
      <c r="G5" s="30"/>
      <c r="H5" s="30"/>
      <c r="I5" s="30"/>
      <c r="J5" s="30"/>
      <c r="K5" s="30"/>
      <c r="L5" s="30"/>
      <c r="M5" s="30"/>
      <c r="N5" s="30"/>
      <c r="O5" s="30"/>
      <c r="P5" s="30"/>
      <c r="Q5" s="30"/>
      <c r="R5" s="30"/>
      <c r="S5" s="30"/>
      <c r="T5" s="30"/>
      <c r="U5" s="30"/>
    </row>
    <row r="7" customFormat="false" ht="46.25" hidden="false" customHeight="false" outlineLevel="0" collapsed="false">
      <c r="A7" s="9" t="s">
        <v>238</v>
      </c>
      <c r="B7" s="9" t="s">
        <v>239</v>
      </c>
      <c r="C7" s="9" t="s">
        <v>240</v>
      </c>
      <c r="D7" s="9" t="s">
        <v>130</v>
      </c>
      <c r="E7" s="9" t="s">
        <v>241</v>
      </c>
      <c r="F7" s="9" t="s">
        <v>242</v>
      </c>
      <c r="G7" s="9" t="s">
        <v>92</v>
      </c>
      <c r="H7" s="9" t="s">
        <v>243</v>
      </c>
      <c r="I7" s="9" t="s">
        <v>244</v>
      </c>
      <c r="J7" s="9" t="s">
        <v>81</v>
      </c>
      <c r="K7" s="9" t="s">
        <v>245</v>
      </c>
      <c r="L7" s="9" t="s">
        <v>246</v>
      </c>
      <c r="M7" s="9" t="s">
        <v>247</v>
      </c>
      <c r="N7" s="9" t="s">
        <v>248</v>
      </c>
      <c r="O7" s="9" t="s">
        <v>249</v>
      </c>
      <c r="P7" s="9" t="s">
        <v>250</v>
      </c>
      <c r="Q7" s="9" t="s">
        <v>251</v>
      </c>
      <c r="R7" s="9" t="s">
        <v>252</v>
      </c>
      <c r="S7" s="9" t="s">
        <v>253</v>
      </c>
      <c r="T7" s="9" t="s">
        <v>254</v>
      </c>
      <c r="U7" s="9" t="s">
        <v>255</v>
      </c>
      <c r="V7" s="31" t="s">
        <v>107</v>
      </c>
      <c r="W7" s="31" t="s">
        <v>199</v>
      </c>
      <c r="X7" s="31" t="s">
        <v>202</v>
      </c>
      <c r="Y7" s="31" t="s">
        <v>205</v>
      </c>
      <c r="Z7" s="31" t="s">
        <v>208</v>
      </c>
      <c r="AA7" s="31" t="s">
        <v>211</v>
      </c>
      <c r="AB7" s="31" t="s">
        <v>213</v>
      </c>
      <c r="AC7" s="31" t="s">
        <v>216</v>
      </c>
      <c r="AD7" s="31" t="s">
        <v>219</v>
      </c>
      <c r="AE7" s="31" t="s">
        <v>112</v>
      </c>
      <c r="AF7" s="31" t="s">
        <v>223</v>
      </c>
      <c r="AG7" s="31" t="s">
        <v>226</v>
      </c>
      <c r="AH7" s="31" t="s">
        <v>229</v>
      </c>
      <c r="AI7" s="31" t="s">
        <v>122</v>
      </c>
      <c r="AJ7" s="31" t="s">
        <v>232</v>
      </c>
      <c r="AK7" s="31" t="s">
        <v>123</v>
      </c>
      <c r="AL7" s="31" t="s">
        <v>233</v>
      </c>
      <c r="AM7" s="31" t="s">
        <v>124</v>
      </c>
      <c r="AN7" s="31" t="s">
        <v>256</v>
      </c>
      <c r="AO7" s="31" t="s">
        <v>257</v>
      </c>
      <c r="AP7" s="31" t="s">
        <v>258</v>
      </c>
      <c r="AQ7" s="31" t="s">
        <v>259</v>
      </c>
    </row>
    <row r="8" customFormat="false" ht="15" hidden="false" customHeight="false" outlineLevel="0" collapsed="false">
      <c r="A8" s="6" t="s">
        <v>260</v>
      </c>
      <c r="B8" s="6" t="s">
        <v>56</v>
      </c>
      <c r="C8" s="6" t="n">
        <v>2400</v>
      </c>
      <c r="D8" s="6" t="n">
        <v>2017</v>
      </c>
      <c r="E8" s="6" t="n">
        <v>8</v>
      </c>
      <c r="F8" s="6" t="s">
        <v>261</v>
      </c>
      <c r="G8" s="6" t="s">
        <v>136</v>
      </c>
      <c r="H8" s="6" t="n">
        <v>1</v>
      </c>
      <c r="I8" s="23" t="n">
        <v>625000</v>
      </c>
      <c r="J8" s="23" t="n">
        <v>5000</v>
      </c>
      <c r="K8" s="6" t="n">
        <v>300</v>
      </c>
      <c r="L8" s="6" t="s">
        <v>72</v>
      </c>
      <c r="M8" s="6" t="n">
        <v>0</v>
      </c>
      <c r="N8" s="6" t="n">
        <v>0</v>
      </c>
      <c r="O8" s="6" t="n">
        <v>0</v>
      </c>
      <c r="P8" s="6" t="n">
        <v>1</v>
      </c>
      <c r="Q8" s="6" t="n">
        <v>0</v>
      </c>
      <c r="R8" s="6" t="s">
        <v>262</v>
      </c>
      <c r="S8" s="5"/>
      <c r="T8" s="32"/>
      <c r="U8" s="17"/>
      <c r="V8" s="33" t="n">
        <f aca="false">MATCH($B8,Home_Data!$B$5:$B$56,0)</f>
        <v>43</v>
      </c>
      <c r="W8" s="34" t="n">
        <f aca="false">MIN(MAX($I8,50000),3000000)</f>
        <v>625000</v>
      </c>
      <c r="X8" s="35" t="n">
        <f aca="false">IFERROR(MIN(3,MAX(1,MATCH(W8,Home_Data!$C$4:$F$4,1))),1)</f>
        <v>3</v>
      </c>
      <c r="Y8" s="36" t="n">
        <f aca="false">INDEX(Home_Data!$C$5:$F$56,V8,X8)</f>
        <v>5733</v>
      </c>
      <c r="Z8" s="36" t="n">
        <f aca="false">INDEX(Home_Data!$C$5:$F$56,V8,X8+1)</f>
        <v>7858</v>
      </c>
      <c r="AA8" s="36" t="n">
        <f aca="false">INDEX(Home_Data!$C$4:$F$4,X8)</f>
        <v>400000</v>
      </c>
      <c r="AB8" s="36" t="n">
        <f aca="false">INDEX(Home_Data!$C$4:$F$4,X8+1)</f>
        <v>600000</v>
      </c>
      <c r="AC8" s="36" t="n">
        <f aca="false">IF($I8&lt;200000,INDEX(Home_Data!$C$5:$F$56,V8,1)*(MAX($I8,Home_Data!$B$90)/200000)^Home_Data!$B$89,Y8*(W8/AA8)^(LN(Z8/Y8)/LN(AB8/AA8)))</f>
        <v>8111.44199080565</v>
      </c>
      <c r="AD8" s="37" t="n">
        <f aca="false">IF($K8=100,Home_Data!$B$67,IF($K8=500,Home_Data!$B$69,Home_Data!$B$68))</f>
        <v>1</v>
      </c>
      <c r="AE8" s="37" t="n">
        <f aca="false">IF($J8&lt;=Home_Data!$B$61,Home_Data!$B$64,IF($J8&gt;=Home_Data!$B$63,Home_Data!$B$66,IF($J8&lt;=Home_Data!$B$62,Home_Data!$B$64+(Home_Data!$B$65-Home_Data!$B$64)*(LN($J8)-LN(Home_Data!$B$61))/(LN(Home_Data!$B$62)-LN(Home_Data!$B$61)),Home_Data!$B$65+(Home_Data!$B$66-Home_Data!$B$65)*(LN($J8)-LN(Home_Data!$B$62))/(LN(Home_Data!$B$63)-LN(Home_Data!$B$62)))))</f>
        <v>0.84</v>
      </c>
      <c r="AF8" s="38" t="n">
        <f aca="false">IF($E8&gt;=20,Home_Data!$B$80,IF($E8&gt;=10,Home_Data!$B$79,1))</f>
        <v>1</v>
      </c>
      <c r="AG8" s="38" t="n">
        <f aca="false">IF($D8&lt;1960,Home_Data!$B$81,IF($D8&lt;1980,Home_Data!$B$82,IF($D8&gt;=2000,Home_Data!$B$83,1)))</f>
        <v>0.95</v>
      </c>
      <c r="AH8" s="38" t="n">
        <f aca="false">IF($F8="brick",Home_Data!$B$78,1)</f>
        <v>0.98</v>
      </c>
      <c r="AI8" s="38" t="n">
        <f aca="false">IF($G8="rental",Home_Data!$B$84,IF($G8="vacation",Home_Data!$B$85,1))</f>
        <v>1</v>
      </c>
      <c r="AJ8" s="38" t="n">
        <f aca="false">INDEX(Home_Data!$B$70:$B$73,MIN(3,MAX(0,$H8))+1)</f>
        <v>1.16</v>
      </c>
      <c r="AK8" s="38" t="n">
        <f aca="false">IF(INDEX(Home_Data!$H$5:$H$56,V8)="Yes",1,IF($L8="poor",Home_Data!$B$74,IF($L8="fair",Home_Data!$B$75,IF($L8="excellent",Home_Data!$B$77,Home_Data!$B$76))))</f>
        <v>1</v>
      </c>
      <c r="AL8" s="38" t="n">
        <f aca="false">IF(($N8=1),Home_Data!$B$86,1)*IF(($O8=1),Home_Data!$B$87,1)*IF(($P8=1),Home_Data!$B$88,1)</f>
        <v>1.08</v>
      </c>
      <c r="AM8" s="34" t="n">
        <f aca="false">AC8*AD8*AE8*AF8*AG8*AH8*AI8*AJ8*AK8*AL8</f>
        <v>7947.10183997663</v>
      </c>
      <c r="AN8" s="34" t="n">
        <f aca="false">AM8*EXP(-Car_Data!$B$123*Home_Data!$B$91)</f>
        <v>5788.05974641918</v>
      </c>
      <c r="AO8" s="34" t="n">
        <f aca="false">AM8*EXP(Car_Data!$B$123*Home_Data!$B$91)</f>
        <v>10911.5023724543</v>
      </c>
      <c r="AP8" s="39" t="str">
        <f aca="false">IF($U8&gt;0,IF(AND($U8&gt;=AN8,$U8&lt;=AO8),1,0),"")</f>
        <v/>
      </c>
      <c r="AQ8" s="40" t="str">
        <f aca="false">IF($U8&gt;0,$U8/AM8-1,"")</f>
        <v/>
      </c>
    </row>
    <row r="9" customFormat="false" ht="15" hidden="false" customHeight="false" outlineLevel="0" collapsed="false">
      <c r="A9" s="6" t="s">
        <v>263</v>
      </c>
      <c r="B9" s="6" t="s">
        <v>56</v>
      </c>
      <c r="C9" s="6" t="n">
        <v>1300</v>
      </c>
      <c r="D9" s="6" t="n">
        <v>2004</v>
      </c>
      <c r="E9" s="6" t="n">
        <v>22</v>
      </c>
      <c r="F9" s="6" t="s">
        <v>133</v>
      </c>
      <c r="G9" s="6" t="s">
        <v>136</v>
      </c>
      <c r="H9" s="6" t="n">
        <v>1</v>
      </c>
      <c r="I9" s="23" t="n">
        <v>310000</v>
      </c>
      <c r="J9" s="23" t="n">
        <v>2500</v>
      </c>
      <c r="K9" s="6" t="n">
        <v>300</v>
      </c>
      <c r="L9" s="6" t="s">
        <v>264</v>
      </c>
      <c r="M9" s="6" t="n">
        <v>0</v>
      </c>
      <c r="N9" s="6" t="n">
        <v>1</v>
      </c>
      <c r="O9" s="6" t="n">
        <v>0</v>
      </c>
      <c r="P9" s="6" t="n">
        <v>0</v>
      </c>
      <c r="Q9" s="6" t="n">
        <v>0</v>
      </c>
      <c r="R9" s="6" t="s">
        <v>265</v>
      </c>
      <c r="S9" s="5"/>
      <c r="T9" s="32"/>
      <c r="U9" s="17"/>
      <c r="V9" s="33" t="n">
        <f aca="false">MATCH($B9,Home_Data!$B$5:$B$56,0)</f>
        <v>43</v>
      </c>
      <c r="W9" s="34" t="n">
        <f aca="false">MIN(MAX($I9,50000),3000000)</f>
        <v>310000</v>
      </c>
      <c r="X9" s="35" t="n">
        <f aca="false">IFERROR(MIN(3,MAX(1,MATCH(W9,Home_Data!$C$4:$F$4,1))),1)</f>
        <v>2</v>
      </c>
      <c r="Y9" s="36" t="n">
        <f aca="false">INDEX(Home_Data!$C$5:$F$56,V9,X9)</f>
        <v>4582</v>
      </c>
      <c r="Z9" s="36" t="n">
        <f aca="false">INDEX(Home_Data!$C$5:$F$56,V9,X9+1)</f>
        <v>5733</v>
      </c>
      <c r="AA9" s="36" t="n">
        <f aca="false">INDEX(Home_Data!$C$4:$F$4,X9)</f>
        <v>300000</v>
      </c>
      <c r="AB9" s="36" t="n">
        <f aca="false">INDEX(Home_Data!$C$4:$F$4,X9+1)</f>
        <v>400000</v>
      </c>
      <c r="AC9" s="36" t="n">
        <f aca="false">IF($I9&lt;200000,INDEX(Home_Data!$C$5:$F$56,V9,1)*(MAX($I9,Home_Data!$B$90)/200000)^Home_Data!$B$89,Y9*(W9/AA9)^(LN(Z9/Y9)/LN(AB9/AA9)))</f>
        <v>4700.54634732635</v>
      </c>
      <c r="AD9" s="37" t="n">
        <f aca="false">IF($K9=100,Home_Data!$B$67,IF($K9=500,Home_Data!$B$69,Home_Data!$B$68))</f>
        <v>1</v>
      </c>
      <c r="AE9" s="37" t="n">
        <f aca="false">IF($J9&lt;=Home_Data!$B$61,Home_Data!$B$64,IF($J9&gt;=Home_Data!$B$63,Home_Data!$B$66,IF($J9&lt;=Home_Data!$B$62,Home_Data!$B$64+(Home_Data!$B$65-Home_Data!$B$64)*(LN($J9)-LN(Home_Data!$B$61))/(LN(Home_Data!$B$62)-LN(Home_Data!$B$61)),Home_Data!$B$65+(Home_Data!$B$66-Home_Data!$B$65)*(LN($J9)-LN(Home_Data!$B$62))/(LN(Home_Data!$B$63)-LN(Home_Data!$B$62)))))</f>
        <v>0.91</v>
      </c>
      <c r="AF9" s="38" t="n">
        <f aca="false">IF($E9&gt;=20,Home_Data!$B$80,IF($E9&gt;=10,Home_Data!$B$79,1))</f>
        <v>1.3</v>
      </c>
      <c r="AG9" s="38" t="n">
        <f aca="false">IF($D9&lt;1960,Home_Data!$B$81,IF($D9&lt;1980,Home_Data!$B$82,IF($D9&gt;=2000,Home_Data!$B$83,1)))</f>
        <v>0.95</v>
      </c>
      <c r="AH9" s="38" t="n">
        <f aca="false">IF($F9="brick",Home_Data!$B$78,1)</f>
        <v>1</v>
      </c>
      <c r="AI9" s="38" t="n">
        <f aca="false">IF($G9="rental",Home_Data!$B$84,IF($G9="vacation",Home_Data!$B$85,1))</f>
        <v>1</v>
      </c>
      <c r="AJ9" s="38" t="n">
        <f aca="false">INDEX(Home_Data!$B$70:$B$73,MIN(3,MAX(0,$H9))+1)</f>
        <v>1.16</v>
      </c>
      <c r="AK9" s="38" t="n">
        <f aca="false">IF(INDEX(Home_Data!$H$5:$H$56,V9)="Yes",1,IF($L9="poor",Home_Data!$B$74,IF($L9="fair",Home_Data!$B$75,IF($L9="excellent",Home_Data!$B$77,Home_Data!$B$76))))</f>
        <v>0.89</v>
      </c>
      <c r="AL9" s="38" t="n">
        <f aca="false">IF(($N9=1),Home_Data!$B$86,1)*IF(($O9=1),Home_Data!$B$87,1)*IF(($P9=1),Home_Data!$B$88,1)</f>
        <v>1.15</v>
      </c>
      <c r="AM9" s="34" t="n">
        <f aca="false">AC9*AD9*AE9*AF9*AG9*AH9*AI9*AJ9*AK9*AL9</f>
        <v>6271.94910211274</v>
      </c>
      <c r="AN9" s="34" t="n">
        <f aca="false">AM9*EXP(-Car_Data!$B$123*Home_Data!$B$91)</f>
        <v>4568.00691126356</v>
      </c>
      <c r="AO9" s="34" t="n">
        <f aca="false">AM9*EXP(Car_Data!$B$123*Home_Data!$B$91)</f>
        <v>8611.4899350298</v>
      </c>
      <c r="AP9" s="39" t="str">
        <f aca="false">IF($U9&gt;0,IF(AND($U9&gt;=AN9,$U9&lt;=AO9),1,0),"")</f>
        <v/>
      </c>
      <c r="AQ9" s="40" t="str">
        <f aca="false">IF($U9&gt;0,$U9/AM9-1,"")</f>
        <v/>
      </c>
    </row>
    <row r="10" customFormat="false" ht="15" hidden="false" customHeight="false" outlineLevel="0" collapsed="false">
      <c r="A10" s="6" t="s">
        <v>266</v>
      </c>
      <c r="B10" s="6" t="s">
        <v>56</v>
      </c>
      <c r="C10" s="6" t="n">
        <v>3100</v>
      </c>
      <c r="D10" s="6" t="n">
        <v>2017</v>
      </c>
      <c r="E10" s="6" t="n">
        <v>0</v>
      </c>
      <c r="F10" s="6" t="s">
        <v>133</v>
      </c>
      <c r="G10" s="6" t="s">
        <v>136</v>
      </c>
      <c r="H10" s="6" t="n">
        <v>2</v>
      </c>
      <c r="I10" s="23" t="n">
        <v>660000</v>
      </c>
      <c r="J10" s="23" t="n">
        <v>1000</v>
      </c>
      <c r="K10" s="6" t="n">
        <v>300</v>
      </c>
      <c r="L10" s="6" t="s">
        <v>264</v>
      </c>
      <c r="M10" s="6" t="n">
        <v>0</v>
      </c>
      <c r="N10" s="6" t="n">
        <v>0</v>
      </c>
      <c r="O10" s="6" t="n">
        <v>0</v>
      </c>
      <c r="P10" s="6" t="n">
        <v>0</v>
      </c>
      <c r="Q10" s="6" t="n">
        <v>0</v>
      </c>
      <c r="R10" s="6" t="s">
        <v>267</v>
      </c>
      <c r="S10" s="5"/>
      <c r="T10" s="32"/>
      <c r="U10" s="17"/>
      <c r="V10" s="33" t="n">
        <f aca="false">MATCH($B10,Home_Data!$B$5:$B$56,0)</f>
        <v>43</v>
      </c>
      <c r="W10" s="34" t="n">
        <f aca="false">MIN(MAX($I10,50000),3000000)</f>
        <v>660000</v>
      </c>
      <c r="X10" s="35" t="n">
        <f aca="false">IFERROR(MIN(3,MAX(1,MATCH(W10,Home_Data!$C$4:$F$4,1))),1)</f>
        <v>3</v>
      </c>
      <c r="Y10" s="36" t="n">
        <f aca="false">INDEX(Home_Data!$C$5:$F$56,V10,X10)</f>
        <v>5733</v>
      </c>
      <c r="Z10" s="36" t="n">
        <f aca="false">INDEX(Home_Data!$C$5:$F$56,V10,X10+1)</f>
        <v>7858</v>
      </c>
      <c r="AA10" s="36" t="n">
        <f aca="false">INDEX(Home_Data!$C$4:$F$4,X10)</f>
        <v>400000</v>
      </c>
      <c r="AB10" s="36" t="n">
        <f aca="false">INDEX(Home_Data!$C$4:$F$4,X10+1)</f>
        <v>600000</v>
      </c>
      <c r="AC10" s="36" t="n">
        <f aca="false">IF($I10&lt;200000,INDEX(Home_Data!$C$5:$F$56,V10,1)*(MAX($I10,Home_Data!$B$90)/200000)^Home_Data!$B$89,Y10*(W10/AA10)^(LN(Z10/Y10)/LN(AB10/AA10)))</f>
        <v>8462.51270422052</v>
      </c>
      <c r="AD10" s="37" t="n">
        <f aca="false">IF($K10=100,Home_Data!$B$67,IF($K10=500,Home_Data!$B$69,Home_Data!$B$68))</f>
        <v>1</v>
      </c>
      <c r="AE10" s="37" t="n">
        <f aca="false">IF($J10&lt;=Home_Data!$B$61,Home_Data!$B$64,IF($J10&gt;=Home_Data!$B$63,Home_Data!$B$66,IF($J10&lt;=Home_Data!$B$62,Home_Data!$B$64+(Home_Data!$B$65-Home_Data!$B$64)*(LN($J10)-LN(Home_Data!$B$61))/(LN(Home_Data!$B$62)-LN(Home_Data!$B$61)),Home_Data!$B$65+(Home_Data!$B$66-Home_Data!$B$65)*(LN($J10)-LN(Home_Data!$B$62))/(LN(Home_Data!$B$63)-LN(Home_Data!$B$62)))))</f>
        <v>1</v>
      </c>
      <c r="AF10" s="38" t="n">
        <f aca="false">IF($E10&gt;=20,Home_Data!$B$80,IF($E10&gt;=10,Home_Data!$B$79,1))</f>
        <v>1</v>
      </c>
      <c r="AG10" s="38" t="n">
        <f aca="false">IF($D10&lt;1960,Home_Data!$B$81,IF($D10&lt;1980,Home_Data!$B$82,IF($D10&gt;=2000,Home_Data!$B$83,1)))</f>
        <v>0.95</v>
      </c>
      <c r="AH10" s="38" t="n">
        <f aca="false">IF($F10="brick",Home_Data!$B$78,1)</f>
        <v>1</v>
      </c>
      <c r="AI10" s="38" t="n">
        <f aca="false">IF($G10="rental",Home_Data!$B$84,IF($G10="vacation",Home_Data!$B$85,1))</f>
        <v>1</v>
      </c>
      <c r="AJ10" s="38" t="n">
        <f aca="false">INDEX(Home_Data!$B$70:$B$73,MIN(3,MAX(0,$H10))+1)</f>
        <v>1.29</v>
      </c>
      <c r="AK10" s="38" t="n">
        <f aca="false">IF(INDEX(Home_Data!$H$5:$H$56,V10)="Yes",1,IF($L10="poor",Home_Data!$B$74,IF($L10="fair",Home_Data!$B$75,IF($L10="excellent",Home_Data!$B$77,Home_Data!$B$76))))</f>
        <v>0.89</v>
      </c>
      <c r="AL10" s="38" t="n">
        <f aca="false">IF(($N10=1),Home_Data!$B$86,1)*IF(($O10=1),Home_Data!$B$87,1)*IF(($P10=1),Home_Data!$B$88,1)</f>
        <v>1</v>
      </c>
      <c r="AM10" s="34" t="n">
        <f aca="false">AC10*AD10*AE10*AF10*AG10*AH10*AI10*AJ10*AK10*AL10</f>
        <v>9230.0202939298</v>
      </c>
      <c r="AN10" s="34" t="n">
        <f aca="false">AM10*EXP(-Car_Data!$B$123*Home_Data!$B$91)</f>
        <v>6722.43919829827</v>
      </c>
      <c r="AO10" s="34" t="n">
        <f aca="false">AM10*EXP(Car_Data!$B$123*Home_Data!$B$91)</f>
        <v>12672.9706455243</v>
      </c>
      <c r="AP10" s="39" t="str">
        <f aca="false">IF($U10&gt;0,IF(AND($U10&gt;=AN10,$U10&lt;=AO10),1,0),"")</f>
        <v/>
      </c>
      <c r="AQ10" s="40" t="str">
        <f aca="false">IF($U10&gt;0,$U10/AM10-1,"")</f>
        <v/>
      </c>
    </row>
    <row r="11" customFormat="false" ht="15" hidden="false" customHeight="false" outlineLevel="0" collapsed="false">
      <c r="A11" s="6" t="s">
        <v>268</v>
      </c>
      <c r="B11" s="6" t="s">
        <v>56</v>
      </c>
      <c r="C11" s="6" t="n">
        <v>2500</v>
      </c>
      <c r="D11" s="6" t="n">
        <v>2010</v>
      </c>
      <c r="E11" s="6" t="n">
        <v>11</v>
      </c>
      <c r="F11" s="6" t="s">
        <v>133</v>
      </c>
      <c r="G11" s="6" t="s">
        <v>136</v>
      </c>
      <c r="H11" s="6" t="n">
        <v>0</v>
      </c>
      <c r="I11" s="23" t="n">
        <v>685000</v>
      </c>
      <c r="J11" s="23" t="n">
        <v>2500</v>
      </c>
      <c r="K11" s="6" t="n">
        <v>500</v>
      </c>
      <c r="L11" s="6" t="s">
        <v>72</v>
      </c>
      <c r="M11" s="6" t="n">
        <v>0</v>
      </c>
      <c r="N11" s="6" t="n">
        <v>1</v>
      </c>
      <c r="O11" s="6" t="n">
        <v>0</v>
      </c>
      <c r="P11" s="6" t="n">
        <v>1</v>
      </c>
      <c r="Q11" s="6" t="n">
        <v>0</v>
      </c>
      <c r="R11" s="6" t="s">
        <v>269</v>
      </c>
      <c r="S11" s="5"/>
      <c r="T11" s="32"/>
      <c r="U11" s="17"/>
      <c r="V11" s="33" t="n">
        <f aca="false">MATCH($B11,Home_Data!$B$5:$B$56,0)</f>
        <v>43</v>
      </c>
      <c r="W11" s="34" t="n">
        <f aca="false">MIN(MAX($I11,50000),3000000)</f>
        <v>685000</v>
      </c>
      <c r="X11" s="35" t="n">
        <f aca="false">IFERROR(MIN(3,MAX(1,MATCH(W11,Home_Data!$C$4:$F$4,1))),1)</f>
        <v>3</v>
      </c>
      <c r="Y11" s="36" t="n">
        <f aca="false">INDEX(Home_Data!$C$5:$F$56,V11,X11)</f>
        <v>5733</v>
      </c>
      <c r="Z11" s="36" t="n">
        <f aca="false">INDEX(Home_Data!$C$5:$F$56,V11,X11+1)</f>
        <v>7858</v>
      </c>
      <c r="AA11" s="36" t="n">
        <f aca="false">INDEX(Home_Data!$C$4:$F$4,X11)</f>
        <v>400000</v>
      </c>
      <c r="AB11" s="36" t="n">
        <f aca="false">INDEX(Home_Data!$C$4:$F$4,X11+1)</f>
        <v>600000</v>
      </c>
      <c r="AC11" s="36" t="n">
        <f aca="false">IF($I11&lt;200000,INDEX(Home_Data!$C$5:$F$56,V11,1)*(MAX($I11,Home_Data!$B$90)/200000)^Home_Data!$B$89,Y11*(W11/AA11)^(LN(Z11/Y11)/LN(AB11/AA11)))</f>
        <v>8710.74092487665</v>
      </c>
      <c r="AD11" s="37" t="n">
        <f aca="false">IF($K11=100,Home_Data!$B$67,IF($K11=500,Home_Data!$B$69,Home_Data!$B$68))</f>
        <v>1.005</v>
      </c>
      <c r="AE11" s="37" t="n">
        <f aca="false">IF($J11&lt;=Home_Data!$B$61,Home_Data!$B$64,IF($J11&gt;=Home_Data!$B$63,Home_Data!$B$66,IF($J11&lt;=Home_Data!$B$62,Home_Data!$B$64+(Home_Data!$B$65-Home_Data!$B$64)*(LN($J11)-LN(Home_Data!$B$61))/(LN(Home_Data!$B$62)-LN(Home_Data!$B$61)),Home_Data!$B$65+(Home_Data!$B$66-Home_Data!$B$65)*(LN($J11)-LN(Home_Data!$B$62))/(LN(Home_Data!$B$63)-LN(Home_Data!$B$62)))))</f>
        <v>0.91</v>
      </c>
      <c r="AF11" s="38" t="n">
        <f aca="false">IF($E11&gt;=20,Home_Data!$B$80,IF($E11&gt;=10,Home_Data!$B$79,1))</f>
        <v>1.1</v>
      </c>
      <c r="AG11" s="38" t="n">
        <f aca="false">IF($D11&lt;1960,Home_Data!$B$81,IF($D11&lt;1980,Home_Data!$B$82,IF($D11&gt;=2000,Home_Data!$B$83,1)))</f>
        <v>0.95</v>
      </c>
      <c r="AH11" s="38" t="n">
        <f aca="false">IF($F11="brick",Home_Data!$B$78,1)</f>
        <v>1</v>
      </c>
      <c r="AI11" s="38" t="n">
        <f aca="false">IF($G11="rental",Home_Data!$B$84,IF($G11="vacation",Home_Data!$B$85,1))</f>
        <v>1</v>
      </c>
      <c r="AJ11" s="38" t="n">
        <f aca="false">INDEX(Home_Data!$B$70:$B$73,MIN(3,MAX(0,$H11))+1)</f>
        <v>1</v>
      </c>
      <c r="AK11" s="38" t="n">
        <f aca="false">IF(INDEX(Home_Data!$H$5:$H$56,V11)="Yes",1,IF($L11="poor",Home_Data!$B$74,IF($L11="fair",Home_Data!$B$75,IF($L11="excellent",Home_Data!$B$77,Home_Data!$B$76))))</f>
        <v>1</v>
      </c>
      <c r="AL11" s="38" t="n">
        <f aca="false">IF(($N11=1),Home_Data!$B$86,1)*IF(($O11=1),Home_Data!$B$87,1)*IF(($P11=1),Home_Data!$B$88,1)</f>
        <v>1.242</v>
      </c>
      <c r="AM11" s="34" t="n">
        <f aca="false">AC11*AD11*AE11*AF11*AG11*AH11*AI11*AJ11*AK11*AL11</f>
        <v>10339.5214255816</v>
      </c>
      <c r="AN11" s="34" t="n">
        <f aca="false">AM11*EXP(-Car_Data!$B$123*Home_Data!$B$91)</f>
        <v>7530.51476698121</v>
      </c>
      <c r="AO11" s="34" t="n">
        <f aca="false">AM11*EXP(Car_Data!$B$123*Home_Data!$B$91)</f>
        <v>14196.3340645459</v>
      </c>
      <c r="AP11" s="39" t="str">
        <f aca="false">IF($U11&gt;0,IF(AND($U11&gt;=AN11,$U11&lt;=AO11),1,0),"")</f>
        <v/>
      </c>
      <c r="AQ11" s="40" t="str">
        <f aca="false">IF($U11&gt;0,$U11/AM11-1,"")</f>
        <v/>
      </c>
    </row>
    <row r="12" customFormat="false" ht="15" hidden="false" customHeight="false" outlineLevel="0" collapsed="false">
      <c r="A12" s="6" t="s">
        <v>270</v>
      </c>
      <c r="B12" s="6" t="s">
        <v>56</v>
      </c>
      <c r="C12" s="6" t="n">
        <v>3750</v>
      </c>
      <c r="D12" s="6" t="n">
        <v>1987</v>
      </c>
      <c r="E12" s="6" t="n">
        <v>23</v>
      </c>
      <c r="F12" s="6" t="s">
        <v>261</v>
      </c>
      <c r="G12" s="6" t="s">
        <v>136</v>
      </c>
      <c r="H12" s="6" t="n">
        <v>0</v>
      </c>
      <c r="I12" s="23" t="n">
        <v>905000</v>
      </c>
      <c r="J12" s="23" t="n">
        <v>5000</v>
      </c>
      <c r="K12" s="6" t="n">
        <v>300</v>
      </c>
      <c r="L12" s="6" t="s">
        <v>271</v>
      </c>
      <c r="M12" s="6" t="n">
        <v>0</v>
      </c>
      <c r="N12" s="6" t="n">
        <v>0</v>
      </c>
      <c r="O12" s="6" t="n">
        <v>0</v>
      </c>
      <c r="P12" s="6" t="n">
        <v>1</v>
      </c>
      <c r="Q12" s="6" t="n">
        <v>0</v>
      </c>
      <c r="R12" s="6" t="s">
        <v>262</v>
      </c>
      <c r="S12" s="5"/>
      <c r="T12" s="32"/>
      <c r="U12" s="17"/>
      <c r="V12" s="33" t="n">
        <f aca="false">MATCH($B12,Home_Data!$B$5:$B$56,0)</f>
        <v>43</v>
      </c>
      <c r="W12" s="34" t="n">
        <f aca="false">MIN(MAX($I12,50000),3000000)</f>
        <v>905000</v>
      </c>
      <c r="X12" s="35" t="n">
        <f aca="false">IFERROR(MIN(3,MAX(1,MATCH(W12,Home_Data!$C$4:$F$4,1))),1)</f>
        <v>3</v>
      </c>
      <c r="Y12" s="36" t="n">
        <f aca="false">INDEX(Home_Data!$C$5:$F$56,V12,X12)</f>
        <v>5733</v>
      </c>
      <c r="Z12" s="36" t="n">
        <f aca="false">INDEX(Home_Data!$C$5:$F$56,V12,X12+1)</f>
        <v>7858</v>
      </c>
      <c r="AA12" s="36" t="n">
        <f aca="false">INDEX(Home_Data!$C$4:$F$4,X12)</f>
        <v>400000</v>
      </c>
      <c r="AB12" s="36" t="n">
        <f aca="false">INDEX(Home_Data!$C$4:$F$4,X12+1)</f>
        <v>600000</v>
      </c>
      <c r="AC12" s="36" t="n">
        <f aca="false">IF($I12&lt;200000,INDEX(Home_Data!$C$5:$F$56,V12,1)*(MAX($I12,Home_Data!$B$90)/200000)^Home_Data!$B$89,Y12*(W12/AA12)^(LN(Z12/Y12)/LN(AB12/AA12)))</f>
        <v>10817.1558716021</v>
      </c>
      <c r="AD12" s="37" t="n">
        <f aca="false">IF($K12=100,Home_Data!$B$67,IF($K12=500,Home_Data!$B$69,Home_Data!$B$68))</f>
        <v>1</v>
      </c>
      <c r="AE12" s="37" t="n">
        <f aca="false">IF($J12&lt;=Home_Data!$B$61,Home_Data!$B$64,IF($J12&gt;=Home_Data!$B$63,Home_Data!$B$66,IF($J12&lt;=Home_Data!$B$62,Home_Data!$B$64+(Home_Data!$B$65-Home_Data!$B$64)*(LN($J12)-LN(Home_Data!$B$61))/(LN(Home_Data!$B$62)-LN(Home_Data!$B$61)),Home_Data!$B$65+(Home_Data!$B$66-Home_Data!$B$65)*(LN($J12)-LN(Home_Data!$B$62))/(LN(Home_Data!$B$63)-LN(Home_Data!$B$62)))))</f>
        <v>0.84</v>
      </c>
      <c r="AF12" s="38" t="n">
        <f aca="false">IF($E12&gt;=20,Home_Data!$B$80,IF($E12&gt;=10,Home_Data!$B$79,1))</f>
        <v>1.3</v>
      </c>
      <c r="AG12" s="38" t="n">
        <f aca="false">IF($D12&lt;1960,Home_Data!$B$81,IF($D12&lt;1980,Home_Data!$B$82,IF($D12&gt;=2000,Home_Data!$B$83,1)))</f>
        <v>1</v>
      </c>
      <c r="AH12" s="38" t="n">
        <f aca="false">IF($F12="brick",Home_Data!$B$78,1)</f>
        <v>0.98</v>
      </c>
      <c r="AI12" s="38" t="n">
        <f aca="false">IF($G12="rental",Home_Data!$B$84,IF($G12="vacation",Home_Data!$B$85,1))</f>
        <v>1</v>
      </c>
      <c r="AJ12" s="38" t="n">
        <f aca="false">INDEX(Home_Data!$B$70:$B$73,MIN(3,MAX(0,$H12))+1)</f>
        <v>1</v>
      </c>
      <c r="AK12" s="38" t="n">
        <f aca="false">IF(INDEX(Home_Data!$H$5:$H$56,V12)="Yes",1,IF($L12="poor",Home_Data!$B$74,IF($L12="fair",Home_Data!$B$75,IF($L12="excellent",Home_Data!$B$77,Home_Data!$B$76))))</f>
        <v>1.07</v>
      </c>
      <c r="AL12" s="38" t="n">
        <f aca="false">IF(($N12=1),Home_Data!$B$86,1)*IF(($O12=1),Home_Data!$B$87,1)*IF(($P12=1),Home_Data!$B$88,1)</f>
        <v>1.08</v>
      </c>
      <c r="AM12" s="34" t="n">
        <f aca="false">AC12*AD12*AE12*AF12*AG12*AH12*AI12*AJ12*AK12*AL12</f>
        <v>13377.326746841</v>
      </c>
      <c r="AN12" s="34" t="n">
        <f aca="false">AM12*EXP(-Car_Data!$B$123*Home_Data!$B$91)</f>
        <v>9743.01928139312</v>
      </c>
      <c r="AO12" s="34" t="n">
        <f aca="false">AM12*EXP(Car_Data!$B$123*Home_Data!$B$91)</f>
        <v>18367.2910545816</v>
      </c>
      <c r="AP12" s="39" t="str">
        <f aca="false">IF($U12&gt;0,IF(AND($U12&gt;=AN12,$U12&lt;=AO12),1,0),"")</f>
        <v/>
      </c>
      <c r="AQ12" s="40" t="str">
        <f aca="false">IF($U12&gt;0,$U12/AM12-1,"")</f>
        <v/>
      </c>
    </row>
    <row r="13" customFormat="false" ht="15" hidden="false" customHeight="false" outlineLevel="0" collapsed="false">
      <c r="A13" s="6" t="s">
        <v>272</v>
      </c>
      <c r="B13" s="6" t="s">
        <v>56</v>
      </c>
      <c r="C13" s="6" t="n">
        <v>3150</v>
      </c>
      <c r="D13" s="6" t="n">
        <v>1978</v>
      </c>
      <c r="E13" s="6" t="n">
        <v>21</v>
      </c>
      <c r="F13" s="6" t="s">
        <v>133</v>
      </c>
      <c r="G13" s="6" t="s">
        <v>136</v>
      </c>
      <c r="H13" s="6" t="n">
        <v>0</v>
      </c>
      <c r="I13" s="23" t="n">
        <v>825000</v>
      </c>
      <c r="J13" s="23" t="n">
        <v>5000</v>
      </c>
      <c r="K13" s="6" t="n">
        <v>300</v>
      </c>
      <c r="L13" s="6" t="s">
        <v>72</v>
      </c>
      <c r="M13" s="6" t="n">
        <v>0</v>
      </c>
      <c r="N13" s="6" t="n">
        <v>1</v>
      </c>
      <c r="O13" s="6" t="n">
        <v>0</v>
      </c>
      <c r="P13" s="6" t="n">
        <v>1</v>
      </c>
      <c r="Q13" s="6" t="n">
        <v>0</v>
      </c>
      <c r="R13" s="6" t="s">
        <v>269</v>
      </c>
      <c r="S13" s="5"/>
      <c r="T13" s="32"/>
      <c r="U13" s="17"/>
      <c r="V13" s="33" t="n">
        <f aca="false">MATCH($B13,Home_Data!$B$5:$B$56,0)</f>
        <v>43</v>
      </c>
      <c r="W13" s="34" t="n">
        <f aca="false">MIN(MAX($I13,50000),3000000)</f>
        <v>825000</v>
      </c>
      <c r="X13" s="35" t="n">
        <f aca="false">IFERROR(MIN(3,MAX(1,MATCH(W13,Home_Data!$C$4:$F$4,1))),1)</f>
        <v>3</v>
      </c>
      <c r="Y13" s="36" t="n">
        <f aca="false">INDEX(Home_Data!$C$5:$F$56,V13,X13)</f>
        <v>5733</v>
      </c>
      <c r="Z13" s="36" t="n">
        <f aca="false">INDEX(Home_Data!$C$5:$F$56,V13,X13+1)</f>
        <v>7858</v>
      </c>
      <c r="AA13" s="36" t="n">
        <f aca="false">INDEX(Home_Data!$C$4:$F$4,X13)</f>
        <v>400000</v>
      </c>
      <c r="AB13" s="36" t="n">
        <f aca="false">INDEX(Home_Data!$C$4:$F$4,X13+1)</f>
        <v>600000</v>
      </c>
      <c r="AC13" s="36" t="n">
        <f aca="false">IF($I13&lt;200000,INDEX(Home_Data!$C$5:$F$56,V13,1)*(MAX($I13,Home_Data!$B$90)/200000)^Home_Data!$B$89,Y13*(W13/AA13)^(LN(Z13/Y13)/LN(AB13/AA13)))</f>
        <v>10066.0108948487</v>
      </c>
      <c r="AD13" s="37" t="n">
        <f aca="false">IF($K13=100,Home_Data!$B$67,IF($K13=500,Home_Data!$B$69,Home_Data!$B$68))</f>
        <v>1</v>
      </c>
      <c r="AE13" s="37" t="n">
        <f aca="false">IF($J13&lt;=Home_Data!$B$61,Home_Data!$B$64,IF($J13&gt;=Home_Data!$B$63,Home_Data!$B$66,IF($J13&lt;=Home_Data!$B$62,Home_Data!$B$64+(Home_Data!$B$65-Home_Data!$B$64)*(LN($J13)-LN(Home_Data!$B$61))/(LN(Home_Data!$B$62)-LN(Home_Data!$B$61)),Home_Data!$B$65+(Home_Data!$B$66-Home_Data!$B$65)*(LN($J13)-LN(Home_Data!$B$62))/(LN(Home_Data!$B$63)-LN(Home_Data!$B$62)))))</f>
        <v>0.84</v>
      </c>
      <c r="AF13" s="38" t="n">
        <f aca="false">IF($E13&gt;=20,Home_Data!$B$80,IF($E13&gt;=10,Home_Data!$B$79,1))</f>
        <v>1.3</v>
      </c>
      <c r="AG13" s="38" t="n">
        <f aca="false">IF($D13&lt;1960,Home_Data!$B$81,IF($D13&lt;1980,Home_Data!$B$82,IF($D13&gt;=2000,Home_Data!$B$83,1)))</f>
        <v>1.08</v>
      </c>
      <c r="AH13" s="38" t="n">
        <f aca="false">IF($F13="brick",Home_Data!$B$78,1)</f>
        <v>1</v>
      </c>
      <c r="AI13" s="38" t="n">
        <f aca="false">IF($G13="rental",Home_Data!$B$84,IF($G13="vacation",Home_Data!$B$85,1))</f>
        <v>1</v>
      </c>
      <c r="AJ13" s="38" t="n">
        <f aca="false">INDEX(Home_Data!$B$70:$B$73,MIN(3,MAX(0,$H13))+1)</f>
        <v>1</v>
      </c>
      <c r="AK13" s="38" t="n">
        <f aca="false">IF(INDEX(Home_Data!$H$5:$H$56,V13)="Yes",1,IF($L13="poor",Home_Data!$B$74,IF($L13="fair",Home_Data!$B$75,IF($L13="excellent",Home_Data!$B$77,Home_Data!$B$76))))</f>
        <v>1</v>
      </c>
      <c r="AL13" s="38" t="n">
        <f aca="false">IF(($N13=1),Home_Data!$B$86,1)*IF(($O13=1),Home_Data!$B$87,1)*IF(($P13=1),Home_Data!$B$88,1)</f>
        <v>1.242</v>
      </c>
      <c r="AM13" s="34" t="n">
        <f aca="false">AC13*AD13*AE13*AF13*AG13*AH13*AI13*AJ13*AK13*AL13</f>
        <v>14744.3416563144</v>
      </c>
      <c r="AN13" s="34" t="n">
        <f aca="false">AM13*EXP(-Car_Data!$B$123*Home_Data!$B$91)</f>
        <v>10738.6481445437</v>
      </c>
      <c r="AO13" s="34" t="n">
        <f aca="false">AM13*EXP(Car_Data!$B$123*Home_Data!$B$91)</f>
        <v>20244.2251531061</v>
      </c>
      <c r="AP13" s="39" t="str">
        <f aca="false">IF($U13&gt;0,IF(AND($U13&gt;=AN13,$U13&lt;=AO13),1,0),"")</f>
        <v/>
      </c>
      <c r="AQ13" s="40" t="str">
        <f aca="false">IF($U13&gt;0,$U13/AM13-1,"")</f>
        <v/>
      </c>
    </row>
    <row r="14" customFormat="false" ht="15" hidden="false" customHeight="false" outlineLevel="0" collapsed="false">
      <c r="A14" s="6" t="s">
        <v>273</v>
      </c>
      <c r="B14" s="6" t="s">
        <v>56</v>
      </c>
      <c r="C14" s="6" t="n">
        <v>1200</v>
      </c>
      <c r="D14" s="6" t="n">
        <v>1976</v>
      </c>
      <c r="E14" s="6" t="n">
        <v>16</v>
      </c>
      <c r="F14" s="6" t="s">
        <v>133</v>
      </c>
      <c r="G14" s="6" t="s">
        <v>136</v>
      </c>
      <c r="H14" s="6" t="n">
        <v>0</v>
      </c>
      <c r="I14" s="23" t="n">
        <v>295000</v>
      </c>
      <c r="J14" s="23" t="n">
        <v>1000</v>
      </c>
      <c r="K14" s="6" t="n">
        <v>100</v>
      </c>
      <c r="L14" s="6" t="s">
        <v>72</v>
      </c>
      <c r="M14" s="6" t="n">
        <v>0</v>
      </c>
      <c r="N14" s="6" t="n">
        <v>0</v>
      </c>
      <c r="O14" s="6" t="n">
        <v>0</v>
      </c>
      <c r="P14" s="6" t="n">
        <v>1</v>
      </c>
      <c r="Q14" s="6" t="n">
        <v>0</v>
      </c>
      <c r="R14" s="6" t="s">
        <v>262</v>
      </c>
      <c r="S14" s="5"/>
      <c r="T14" s="32"/>
      <c r="U14" s="17"/>
      <c r="V14" s="33" t="n">
        <f aca="false">MATCH($B14,Home_Data!$B$5:$B$56,0)</f>
        <v>43</v>
      </c>
      <c r="W14" s="34" t="n">
        <f aca="false">MIN(MAX($I14,50000),3000000)</f>
        <v>295000</v>
      </c>
      <c r="X14" s="35" t="n">
        <f aca="false">IFERROR(MIN(3,MAX(1,MATCH(W14,Home_Data!$C$4:$F$4,1))),1)</f>
        <v>1</v>
      </c>
      <c r="Y14" s="36" t="n">
        <f aca="false">INDEX(Home_Data!$C$5:$F$56,V14,X14)</f>
        <v>3294</v>
      </c>
      <c r="Z14" s="36" t="n">
        <f aca="false">INDEX(Home_Data!$C$5:$F$56,V14,X14+1)</f>
        <v>4582</v>
      </c>
      <c r="AA14" s="36" t="n">
        <f aca="false">INDEX(Home_Data!$C$4:$F$4,X14)</f>
        <v>200000</v>
      </c>
      <c r="AB14" s="36" t="n">
        <f aca="false">INDEX(Home_Data!$C$4:$F$4,X14+1)</f>
        <v>300000</v>
      </c>
      <c r="AC14" s="36" t="n">
        <f aca="false">IF($I14&lt;200000,INDEX(Home_Data!$C$5:$F$56,V14,1)*(MAX($I14,Home_Data!$B$90)/200000)^Home_Data!$B$89,Y14*(W14/AA14)^(LN(Z14/Y14)/LN(AB14/AA14)))</f>
        <v>4519.74347203849</v>
      </c>
      <c r="AD14" s="37" t="n">
        <f aca="false">IF($K14=100,Home_Data!$B$67,IF($K14=500,Home_Data!$B$69,Home_Data!$B$68))</f>
        <v>0.991</v>
      </c>
      <c r="AE14" s="37" t="n">
        <f aca="false">IF($J14&lt;=Home_Data!$B$61,Home_Data!$B$64,IF($J14&gt;=Home_Data!$B$63,Home_Data!$B$66,IF($J14&lt;=Home_Data!$B$62,Home_Data!$B$64+(Home_Data!$B$65-Home_Data!$B$64)*(LN($J14)-LN(Home_Data!$B$61))/(LN(Home_Data!$B$62)-LN(Home_Data!$B$61)),Home_Data!$B$65+(Home_Data!$B$66-Home_Data!$B$65)*(LN($J14)-LN(Home_Data!$B$62))/(LN(Home_Data!$B$63)-LN(Home_Data!$B$62)))))</f>
        <v>1</v>
      </c>
      <c r="AF14" s="38" t="n">
        <f aca="false">IF($E14&gt;=20,Home_Data!$B$80,IF($E14&gt;=10,Home_Data!$B$79,1))</f>
        <v>1.1</v>
      </c>
      <c r="AG14" s="38" t="n">
        <f aca="false">IF($D14&lt;1960,Home_Data!$B$81,IF($D14&lt;1980,Home_Data!$B$82,IF($D14&gt;=2000,Home_Data!$B$83,1)))</f>
        <v>1.08</v>
      </c>
      <c r="AH14" s="38" t="n">
        <f aca="false">IF($F14="brick",Home_Data!$B$78,1)</f>
        <v>1</v>
      </c>
      <c r="AI14" s="38" t="n">
        <f aca="false">IF($G14="rental",Home_Data!$B$84,IF($G14="vacation",Home_Data!$B$85,1))</f>
        <v>1</v>
      </c>
      <c r="AJ14" s="38" t="n">
        <f aca="false">INDEX(Home_Data!$B$70:$B$73,MIN(3,MAX(0,$H14))+1)</f>
        <v>1</v>
      </c>
      <c r="AK14" s="38" t="n">
        <f aca="false">IF(INDEX(Home_Data!$H$5:$H$56,V14)="Yes",1,IF($L14="poor",Home_Data!$B$74,IF($L14="fair",Home_Data!$B$75,IF($L14="excellent",Home_Data!$B$77,Home_Data!$B$76))))</f>
        <v>1</v>
      </c>
      <c r="AL14" s="38" t="n">
        <f aca="false">IF(($N14=1),Home_Data!$B$86,1)*IF(($O14=1),Home_Data!$B$87,1)*IF(($P14=1),Home_Data!$B$88,1)</f>
        <v>1.08</v>
      </c>
      <c r="AM14" s="34" t="n">
        <f aca="false">AC14*AD14*AE14*AF14*AG14*AH14*AI14*AJ14*AK14*AL14</f>
        <v>5746.82055938499</v>
      </c>
      <c r="AN14" s="34" t="n">
        <f aca="false">AM14*EXP(-Car_Data!$B$123*Home_Data!$B$91)</f>
        <v>4185.54353768898</v>
      </c>
      <c r="AO14" s="34" t="n">
        <f aca="false">AM14*EXP(Car_Data!$B$123*Home_Data!$B$91)</f>
        <v>7890.4797535579</v>
      </c>
      <c r="AP14" s="39" t="str">
        <f aca="false">IF($U14&gt;0,IF(AND($U14&gt;=AN14,$U14&lt;=AO14),1,0),"")</f>
        <v/>
      </c>
      <c r="AQ14" s="40" t="str">
        <f aca="false">IF($U14&gt;0,$U14/AM14-1,"")</f>
        <v/>
      </c>
    </row>
    <row r="15" customFormat="false" ht="15" hidden="false" customHeight="false" outlineLevel="0" collapsed="false">
      <c r="A15" s="6" t="s">
        <v>274</v>
      </c>
      <c r="B15" s="6" t="s">
        <v>56</v>
      </c>
      <c r="C15" s="6" t="n">
        <v>3750</v>
      </c>
      <c r="D15" s="6" t="n">
        <v>2018</v>
      </c>
      <c r="E15" s="6" t="n">
        <v>1</v>
      </c>
      <c r="F15" s="6" t="s">
        <v>133</v>
      </c>
      <c r="G15" s="6" t="s">
        <v>136</v>
      </c>
      <c r="H15" s="6" t="n">
        <v>0</v>
      </c>
      <c r="I15" s="23" t="n">
        <v>1035000</v>
      </c>
      <c r="J15" s="23" t="n">
        <v>1000</v>
      </c>
      <c r="K15" s="6" t="n">
        <v>300</v>
      </c>
      <c r="L15" s="6" t="s">
        <v>72</v>
      </c>
      <c r="M15" s="6" t="n">
        <v>0</v>
      </c>
      <c r="N15" s="6" t="n">
        <v>0</v>
      </c>
      <c r="O15" s="6" t="n">
        <v>0</v>
      </c>
      <c r="P15" s="6" t="n">
        <v>0</v>
      </c>
      <c r="Q15" s="6" t="n">
        <v>0</v>
      </c>
      <c r="R15" s="6" t="s">
        <v>267</v>
      </c>
      <c r="S15" s="5"/>
      <c r="T15" s="32"/>
      <c r="U15" s="17"/>
      <c r="V15" s="33" t="n">
        <f aca="false">MATCH($B15,Home_Data!$B$5:$B$56,0)</f>
        <v>43</v>
      </c>
      <c r="W15" s="34" t="n">
        <f aca="false">MIN(MAX($I15,50000),3000000)</f>
        <v>1035000</v>
      </c>
      <c r="X15" s="35" t="n">
        <f aca="false">IFERROR(MIN(3,MAX(1,MATCH(W15,Home_Data!$C$4:$F$4,1))),1)</f>
        <v>3</v>
      </c>
      <c r="Y15" s="36" t="n">
        <f aca="false">INDEX(Home_Data!$C$5:$F$56,V15,X15)</f>
        <v>5733</v>
      </c>
      <c r="Z15" s="36" t="n">
        <f aca="false">INDEX(Home_Data!$C$5:$F$56,V15,X15+1)</f>
        <v>7858</v>
      </c>
      <c r="AA15" s="36" t="n">
        <f aca="false">INDEX(Home_Data!$C$4:$F$4,X15)</f>
        <v>400000</v>
      </c>
      <c r="AB15" s="36" t="n">
        <f aca="false">INDEX(Home_Data!$C$4:$F$4,X15+1)</f>
        <v>600000</v>
      </c>
      <c r="AC15" s="36" t="n">
        <f aca="false">IF($I15&lt;200000,INDEX(Home_Data!$C$5:$F$56,V15,1)*(MAX($I15,Home_Data!$B$90)/200000)^Home_Data!$B$89,Y15*(W15/AA15)^(LN(Z15/Y15)/LN(AB15/AA15)))</f>
        <v>12007.1869243625</v>
      </c>
      <c r="AD15" s="37" t="n">
        <f aca="false">IF($K15=100,Home_Data!$B$67,IF($K15=500,Home_Data!$B$69,Home_Data!$B$68))</f>
        <v>1</v>
      </c>
      <c r="AE15" s="37" t="n">
        <f aca="false">IF($J15&lt;=Home_Data!$B$61,Home_Data!$B$64,IF($J15&gt;=Home_Data!$B$63,Home_Data!$B$66,IF($J15&lt;=Home_Data!$B$62,Home_Data!$B$64+(Home_Data!$B$65-Home_Data!$B$64)*(LN($J15)-LN(Home_Data!$B$61))/(LN(Home_Data!$B$62)-LN(Home_Data!$B$61)),Home_Data!$B$65+(Home_Data!$B$66-Home_Data!$B$65)*(LN($J15)-LN(Home_Data!$B$62))/(LN(Home_Data!$B$63)-LN(Home_Data!$B$62)))))</f>
        <v>1</v>
      </c>
      <c r="AF15" s="38" t="n">
        <f aca="false">IF($E15&gt;=20,Home_Data!$B$80,IF($E15&gt;=10,Home_Data!$B$79,1))</f>
        <v>1</v>
      </c>
      <c r="AG15" s="38" t="n">
        <f aca="false">IF($D15&lt;1960,Home_Data!$B$81,IF($D15&lt;1980,Home_Data!$B$82,IF($D15&gt;=2000,Home_Data!$B$83,1)))</f>
        <v>0.95</v>
      </c>
      <c r="AH15" s="38" t="n">
        <f aca="false">IF($F15="brick",Home_Data!$B$78,1)</f>
        <v>1</v>
      </c>
      <c r="AI15" s="38" t="n">
        <f aca="false">IF($G15="rental",Home_Data!$B$84,IF($G15="vacation",Home_Data!$B$85,1))</f>
        <v>1</v>
      </c>
      <c r="AJ15" s="38" t="n">
        <f aca="false">INDEX(Home_Data!$B$70:$B$73,MIN(3,MAX(0,$H15))+1)</f>
        <v>1</v>
      </c>
      <c r="AK15" s="38" t="n">
        <f aca="false">IF(INDEX(Home_Data!$H$5:$H$56,V15)="Yes",1,IF($L15="poor",Home_Data!$B$74,IF($L15="fair",Home_Data!$B$75,IF($L15="excellent",Home_Data!$B$77,Home_Data!$B$76))))</f>
        <v>1</v>
      </c>
      <c r="AL15" s="38" t="n">
        <f aca="false">IF(($N15=1),Home_Data!$B$86,1)*IF(($O15=1),Home_Data!$B$87,1)*IF(($P15=1),Home_Data!$B$88,1)</f>
        <v>1</v>
      </c>
      <c r="AM15" s="34" t="n">
        <f aca="false">AC15*AD15*AE15*AF15*AG15*AH15*AI15*AJ15*AK15*AL15</f>
        <v>11406.8275781444</v>
      </c>
      <c r="AN15" s="34" t="n">
        <f aca="false">AM15*EXP(-Car_Data!$B$123*Home_Data!$B$91)</f>
        <v>8307.85874761054</v>
      </c>
      <c r="AO15" s="34" t="n">
        <f aca="false">AM15*EXP(Car_Data!$B$123*Home_Data!$B$91)</f>
        <v>15661.7630788365</v>
      </c>
      <c r="AP15" s="39" t="str">
        <f aca="false">IF($U15&gt;0,IF(AND($U15&gt;=AN15,$U15&lt;=AO15),1,0),"")</f>
        <v/>
      </c>
      <c r="AQ15" s="40" t="str">
        <f aca="false">IF($U15&gt;0,$U15/AM15-1,"")</f>
        <v/>
      </c>
    </row>
    <row r="16" customFormat="false" ht="15" hidden="false" customHeight="false" outlineLevel="0" collapsed="false">
      <c r="A16" s="6" t="s">
        <v>275</v>
      </c>
      <c r="B16" s="6" t="s">
        <v>56</v>
      </c>
      <c r="C16" s="6" t="n">
        <v>1500</v>
      </c>
      <c r="D16" s="6" t="n">
        <v>1972</v>
      </c>
      <c r="E16" s="6" t="n">
        <v>1</v>
      </c>
      <c r="F16" s="6" t="s">
        <v>133</v>
      </c>
      <c r="G16" s="6" t="s">
        <v>136</v>
      </c>
      <c r="H16" s="6" t="n">
        <v>0</v>
      </c>
      <c r="I16" s="23" t="n">
        <v>335000</v>
      </c>
      <c r="J16" s="23" t="n">
        <v>1000</v>
      </c>
      <c r="K16" s="6" t="n">
        <v>100</v>
      </c>
      <c r="L16" s="6" t="s">
        <v>72</v>
      </c>
      <c r="M16" s="6" t="n">
        <v>0</v>
      </c>
      <c r="N16" s="6" t="n">
        <v>0</v>
      </c>
      <c r="O16" s="6" t="n">
        <v>1</v>
      </c>
      <c r="P16" s="6" t="n">
        <v>1</v>
      </c>
      <c r="Q16" s="6" t="n">
        <v>0</v>
      </c>
      <c r="R16" s="6" t="s">
        <v>276</v>
      </c>
      <c r="S16" s="5"/>
      <c r="T16" s="32"/>
      <c r="U16" s="17"/>
      <c r="V16" s="33" t="n">
        <f aca="false">MATCH($B16,Home_Data!$B$5:$B$56,0)</f>
        <v>43</v>
      </c>
      <c r="W16" s="34" t="n">
        <f aca="false">MIN(MAX($I16,50000),3000000)</f>
        <v>335000</v>
      </c>
      <c r="X16" s="35" t="n">
        <f aca="false">IFERROR(MIN(3,MAX(1,MATCH(W16,Home_Data!$C$4:$F$4,1))),1)</f>
        <v>2</v>
      </c>
      <c r="Y16" s="36" t="n">
        <f aca="false">INDEX(Home_Data!$C$5:$F$56,V16,X16)</f>
        <v>4582</v>
      </c>
      <c r="Z16" s="36" t="n">
        <f aca="false">INDEX(Home_Data!$C$5:$F$56,V16,X16+1)</f>
        <v>5733</v>
      </c>
      <c r="AA16" s="36" t="n">
        <f aca="false">INDEX(Home_Data!$C$4:$F$4,X16)</f>
        <v>300000</v>
      </c>
      <c r="AB16" s="36" t="n">
        <f aca="false">INDEX(Home_Data!$C$4:$F$4,X16+1)</f>
        <v>400000</v>
      </c>
      <c r="AC16" s="36" t="n">
        <f aca="false">IF($I16&lt;200000,INDEX(Home_Data!$C$5:$F$56,V16,1)*(MAX($I16,Home_Data!$B$90)/200000)^Home_Data!$B$89,Y16*(W16/AA16)^(LN(Z16/Y16)/LN(AB16/AA16)))</f>
        <v>4993.29668823423</v>
      </c>
      <c r="AD16" s="37" t="n">
        <f aca="false">IF($K16=100,Home_Data!$B$67,IF($K16=500,Home_Data!$B$69,Home_Data!$B$68))</f>
        <v>0.991</v>
      </c>
      <c r="AE16" s="37" t="n">
        <f aca="false">IF($J16&lt;=Home_Data!$B$61,Home_Data!$B$64,IF($J16&gt;=Home_Data!$B$63,Home_Data!$B$66,IF($J16&lt;=Home_Data!$B$62,Home_Data!$B$64+(Home_Data!$B$65-Home_Data!$B$64)*(LN($J16)-LN(Home_Data!$B$61))/(LN(Home_Data!$B$62)-LN(Home_Data!$B$61)),Home_Data!$B$65+(Home_Data!$B$66-Home_Data!$B$65)*(LN($J16)-LN(Home_Data!$B$62))/(LN(Home_Data!$B$63)-LN(Home_Data!$B$62)))))</f>
        <v>1</v>
      </c>
      <c r="AF16" s="38" t="n">
        <f aca="false">IF($E16&gt;=20,Home_Data!$B$80,IF($E16&gt;=10,Home_Data!$B$79,1))</f>
        <v>1</v>
      </c>
      <c r="AG16" s="38" t="n">
        <f aca="false">IF($D16&lt;1960,Home_Data!$B$81,IF($D16&lt;1980,Home_Data!$B$82,IF($D16&gt;=2000,Home_Data!$B$83,1)))</f>
        <v>1.08</v>
      </c>
      <c r="AH16" s="38" t="n">
        <f aca="false">IF($F16="brick",Home_Data!$B$78,1)</f>
        <v>1</v>
      </c>
      <c r="AI16" s="38" t="n">
        <f aca="false">IF($G16="rental",Home_Data!$B$84,IF($G16="vacation",Home_Data!$B$85,1))</f>
        <v>1</v>
      </c>
      <c r="AJ16" s="38" t="n">
        <f aca="false">INDEX(Home_Data!$B$70:$B$73,MIN(3,MAX(0,$H16))+1)</f>
        <v>1</v>
      </c>
      <c r="AK16" s="38" t="n">
        <f aca="false">IF(INDEX(Home_Data!$H$5:$H$56,V16)="Yes",1,IF($L16="poor",Home_Data!$B$74,IF($L16="fair",Home_Data!$B$75,IF($L16="excellent",Home_Data!$B$77,Home_Data!$B$76))))</f>
        <v>1</v>
      </c>
      <c r="AL16" s="38" t="n">
        <f aca="false">IF(($N16=1),Home_Data!$B$86,1)*IF(($O16=1),Home_Data!$B$87,1)*IF(($P16=1),Home_Data!$B$88,1)</f>
        <v>1.242</v>
      </c>
      <c r="AM16" s="34" t="n">
        <f aca="false">AC16*AD16*AE16*AF16*AG16*AH16*AI16*AJ16*AK16*AL16</f>
        <v>6637.5281697183</v>
      </c>
      <c r="AN16" s="34" t="n">
        <f aca="false">AM16*EXP(-Car_Data!$B$123*Home_Data!$B$91)</f>
        <v>4834.26667840246</v>
      </c>
      <c r="AO16" s="34" t="n">
        <f aca="false">AM16*EXP(Car_Data!$B$123*Home_Data!$B$91)</f>
        <v>9113.43604618087</v>
      </c>
      <c r="AP16" s="39" t="str">
        <f aca="false">IF($U16&gt;0,IF(AND($U16&gt;=AN16,$U16&lt;=AO16),1,0),"")</f>
        <v/>
      </c>
      <c r="AQ16" s="40" t="str">
        <f aca="false">IF($U16&gt;0,$U16/AM16-1,"")</f>
        <v/>
      </c>
    </row>
    <row r="17" customFormat="false" ht="15" hidden="false" customHeight="false" outlineLevel="0" collapsed="false">
      <c r="A17" s="6" t="s">
        <v>277</v>
      </c>
      <c r="B17" s="6" t="s">
        <v>56</v>
      </c>
      <c r="C17" s="6" t="n">
        <v>2500</v>
      </c>
      <c r="D17" s="6" t="n">
        <v>1999</v>
      </c>
      <c r="E17" s="6" t="n">
        <v>6</v>
      </c>
      <c r="F17" s="6" t="s">
        <v>133</v>
      </c>
      <c r="G17" s="6" t="s">
        <v>136</v>
      </c>
      <c r="H17" s="6" t="n">
        <v>0</v>
      </c>
      <c r="I17" s="23" t="n">
        <v>545000</v>
      </c>
      <c r="J17" s="23" t="n">
        <v>1000</v>
      </c>
      <c r="K17" s="6" t="n">
        <v>300</v>
      </c>
      <c r="L17" s="6" t="s">
        <v>264</v>
      </c>
      <c r="M17" s="6" t="n">
        <v>0</v>
      </c>
      <c r="N17" s="6" t="n">
        <v>0</v>
      </c>
      <c r="O17" s="6" t="n">
        <v>0</v>
      </c>
      <c r="P17" s="6" t="n">
        <v>0</v>
      </c>
      <c r="Q17" s="6" t="n">
        <v>0</v>
      </c>
      <c r="R17" s="6" t="s">
        <v>267</v>
      </c>
      <c r="S17" s="5"/>
      <c r="T17" s="32"/>
      <c r="U17" s="17"/>
      <c r="V17" s="33" t="n">
        <f aca="false">MATCH($B17,Home_Data!$B$5:$B$56,0)</f>
        <v>43</v>
      </c>
      <c r="W17" s="34" t="n">
        <f aca="false">MIN(MAX($I17,50000),3000000)</f>
        <v>545000</v>
      </c>
      <c r="X17" s="35" t="n">
        <f aca="false">IFERROR(MIN(3,MAX(1,MATCH(W17,Home_Data!$C$4:$F$4,1))),1)</f>
        <v>3</v>
      </c>
      <c r="Y17" s="36" t="n">
        <f aca="false">INDEX(Home_Data!$C$5:$F$56,V17,X17)</f>
        <v>5733</v>
      </c>
      <c r="Z17" s="36" t="n">
        <f aca="false">INDEX(Home_Data!$C$5:$F$56,V17,X17+1)</f>
        <v>7858</v>
      </c>
      <c r="AA17" s="36" t="n">
        <f aca="false">INDEX(Home_Data!$C$4:$F$4,X17)</f>
        <v>400000</v>
      </c>
      <c r="AB17" s="36" t="n">
        <f aca="false">INDEX(Home_Data!$C$4:$F$4,X17+1)</f>
        <v>600000</v>
      </c>
      <c r="AC17" s="36" t="n">
        <f aca="false">IF($I17&lt;200000,INDEX(Home_Data!$C$5:$F$56,V17,1)*(MAX($I17,Home_Data!$B$90)/200000)^Home_Data!$B$89,Y17*(W17/AA17)^(LN(Z17/Y17)/LN(AB17/AA17)))</f>
        <v>7291.94143553508</v>
      </c>
      <c r="AD17" s="37" t="n">
        <f aca="false">IF($K17=100,Home_Data!$B$67,IF($K17=500,Home_Data!$B$69,Home_Data!$B$68))</f>
        <v>1</v>
      </c>
      <c r="AE17" s="37" t="n">
        <f aca="false">IF($J17&lt;=Home_Data!$B$61,Home_Data!$B$64,IF($J17&gt;=Home_Data!$B$63,Home_Data!$B$66,IF($J17&lt;=Home_Data!$B$62,Home_Data!$B$64+(Home_Data!$B$65-Home_Data!$B$64)*(LN($J17)-LN(Home_Data!$B$61))/(LN(Home_Data!$B$62)-LN(Home_Data!$B$61)),Home_Data!$B$65+(Home_Data!$B$66-Home_Data!$B$65)*(LN($J17)-LN(Home_Data!$B$62))/(LN(Home_Data!$B$63)-LN(Home_Data!$B$62)))))</f>
        <v>1</v>
      </c>
      <c r="AF17" s="38" t="n">
        <f aca="false">IF($E17&gt;=20,Home_Data!$B$80,IF($E17&gt;=10,Home_Data!$B$79,1))</f>
        <v>1</v>
      </c>
      <c r="AG17" s="38" t="n">
        <f aca="false">IF($D17&lt;1960,Home_Data!$B$81,IF($D17&lt;1980,Home_Data!$B$82,IF($D17&gt;=2000,Home_Data!$B$83,1)))</f>
        <v>1</v>
      </c>
      <c r="AH17" s="38" t="n">
        <f aca="false">IF($F17="brick",Home_Data!$B$78,1)</f>
        <v>1</v>
      </c>
      <c r="AI17" s="38" t="n">
        <f aca="false">IF($G17="rental",Home_Data!$B$84,IF($G17="vacation",Home_Data!$B$85,1))</f>
        <v>1</v>
      </c>
      <c r="AJ17" s="38" t="n">
        <f aca="false">INDEX(Home_Data!$B$70:$B$73,MIN(3,MAX(0,$H17))+1)</f>
        <v>1</v>
      </c>
      <c r="AK17" s="38" t="n">
        <f aca="false">IF(INDEX(Home_Data!$H$5:$H$56,V17)="Yes",1,IF($L17="poor",Home_Data!$B$74,IF($L17="fair",Home_Data!$B$75,IF($L17="excellent",Home_Data!$B$77,Home_Data!$B$76))))</f>
        <v>0.89</v>
      </c>
      <c r="AL17" s="38" t="n">
        <f aca="false">IF(($N17=1),Home_Data!$B$86,1)*IF(($O17=1),Home_Data!$B$87,1)*IF(($P17=1),Home_Data!$B$88,1)</f>
        <v>1</v>
      </c>
      <c r="AM17" s="34" t="n">
        <f aca="false">AC17*AD17*AE17*AF17*AG17*AH17*AI17*AJ17*AK17*AL17</f>
        <v>6489.82787762622</v>
      </c>
      <c r="AN17" s="34" t="n">
        <f aca="false">AM17*EXP(-Car_Data!$B$123*Home_Data!$B$91)</f>
        <v>4726.69310851411</v>
      </c>
      <c r="AO17" s="34" t="n">
        <f aca="false">AM17*EXP(Car_Data!$B$123*Home_Data!$B$91)</f>
        <v>8910.64110029659</v>
      </c>
      <c r="AP17" s="39" t="str">
        <f aca="false">IF($U17&gt;0,IF(AND($U17&gt;=AN17,$U17&lt;=AO17),1,0),"")</f>
        <v/>
      </c>
      <c r="AQ17" s="40" t="str">
        <f aca="false">IF($U17&gt;0,$U17/AM17-1,"")</f>
        <v/>
      </c>
    </row>
    <row r="18" customFormat="false" ht="15" hidden="false" customHeight="false" outlineLevel="0" collapsed="false">
      <c r="A18" s="6" t="s">
        <v>278</v>
      </c>
      <c r="B18" s="6" t="s">
        <v>56</v>
      </c>
      <c r="C18" s="6" t="n">
        <v>3200</v>
      </c>
      <c r="D18" s="6" t="n">
        <v>2013</v>
      </c>
      <c r="E18" s="6" t="n">
        <v>8</v>
      </c>
      <c r="F18" s="6" t="s">
        <v>133</v>
      </c>
      <c r="G18" s="6" t="s">
        <v>136</v>
      </c>
      <c r="H18" s="6" t="n">
        <v>0</v>
      </c>
      <c r="I18" s="23" t="n">
        <v>905000</v>
      </c>
      <c r="J18" s="23" t="n">
        <v>1000</v>
      </c>
      <c r="K18" s="6" t="n">
        <v>300</v>
      </c>
      <c r="L18" s="6" t="s">
        <v>72</v>
      </c>
      <c r="M18" s="6" t="n">
        <v>0</v>
      </c>
      <c r="N18" s="6" t="n">
        <v>0</v>
      </c>
      <c r="O18" s="6" t="n">
        <v>1</v>
      </c>
      <c r="P18" s="6" t="n">
        <v>0</v>
      </c>
      <c r="Q18" s="6" t="n">
        <v>0</v>
      </c>
      <c r="R18" s="6" t="s">
        <v>279</v>
      </c>
      <c r="S18" s="5"/>
      <c r="T18" s="32"/>
      <c r="U18" s="17"/>
      <c r="V18" s="33" t="n">
        <f aca="false">MATCH($B18,Home_Data!$B$5:$B$56,0)</f>
        <v>43</v>
      </c>
      <c r="W18" s="34" t="n">
        <f aca="false">MIN(MAX($I18,50000),3000000)</f>
        <v>905000</v>
      </c>
      <c r="X18" s="35" t="n">
        <f aca="false">IFERROR(MIN(3,MAX(1,MATCH(W18,Home_Data!$C$4:$F$4,1))),1)</f>
        <v>3</v>
      </c>
      <c r="Y18" s="36" t="n">
        <f aca="false">INDEX(Home_Data!$C$5:$F$56,V18,X18)</f>
        <v>5733</v>
      </c>
      <c r="Z18" s="36" t="n">
        <f aca="false">INDEX(Home_Data!$C$5:$F$56,V18,X18+1)</f>
        <v>7858</v>
      </c>
      <c r="AA18" s="36" t="n">
        <f aca="false">INDEX(Home_Data!$C$4:$F$4,X18)</f>
        <v>400000</v>
      </c>
      <c r="AB18" s="36" t="n">
        <f aca="false">INDEX(Home_Data!$C$4:$F$4,X18+1)</f>
        <v>600000</v>
      </c>
      <c r="AC18" s="36" t="n">
        <f aca="false">IF($I18&lt;200000,INDEX(Home_Data!$C$5:$F$56,V18,1)*(MAX($I18,Home_Data!$B$90)/200000)^Home_Data!$B$89,Y18*(W18/AA18)^(LN(Z18/Y18)/LN(AB18/AA18)))</f>
        <v>10817.1558716021</v>
      </c>
      <c r="AD18" s="37" t="n">
        <f aca="false">IF($K18=100,Home_Data!$B$67,IF($K18=500,Home_Data!$B$69,Home_Data!$B$68))</f>
        <v>1</v>
      </c>
      <c r="AE18" s="37" t="n">
        <f aca="false">IF($J18&lt;=Home_Data!$B$61,Home_Data!$B$64,IF($J18&gt;=Home_Data!$B$63,Home_Data!$B$66,IF($J18&lt;=Home_Data!$B$62,Home_Data!$B$64+(Home_Data!$B$65-Home_Data!$B$64)*(LN($J18)-LN(Home_Data!$B$61))/(LN(Home_Data!$B$62)-LN(Home_Data!$B$61)),Home_Data!$B$65+(Home_Data!$B$66-Home_Data!$B$65)*(LN($J18)-LN(Home_Data!$B$62))/(LN(Home_Data!$B$63)-LN(Home_Data!$B$62)))))</f>
        <v>1</v>
      </c>
      <c r="AF18" s="38" t="n">
        <f aca="false">IF($E18&gt;=20,Home_Data!$B$80,IF($E18&gt;=10,Home_Data!$B$79,1))</f>
        <v>1</v>
      </c>
      <c r="AG18" s="38" t="n">
        <f aca="false">IF($D18&lt;1960,Home_Data!$B$81,IF($D18&lt;1980,Home_Data!$B$82,IF($D18&gt;=2000,Home_Data!$B$83,1)))</f>
        <v>0.95</v>
      </c>
      <c r="AH18" s="38" t="n">
        <f aca="false">IF($F18="brick",Home_Data!$B$78,1)</f>
        <v>1</v>
      </c>
      <c r="AI18" s="38" t="n">
        <f aca="false">IF($G18="rental",Home_Data!$B$84,IF($G18="vacation",Home_Data!$B$85,1))</f>
        <v>1</v>
      </c>
      <c r="AJ18" s="38" t="n">
        <f aca="false">INDEX(Home_Data!$B$70:$B$73,MIN(3,MAX(0,$H18))+1)</f>
        <v>1</v>
      </c>
      <c r="AK18" s="38" t="n">
        <f aca="false">IF(INDEX(Home_Data!$H$5:$H$56,V18)="Yes",1,IF($L18="poor",Home_Data!$B$74,IF($L18="fair",Home_Data!$B$75,IF($L18="excellent",Home_Data!$B$77,Home_Data!$B$76))))</f>
        <v>1</v>
      </c>
      <c r="AL18" s="38" t="n">
        <f aca="false">IF(($N18=1),Home_Data!$B$86,1)*IF(($O18=1),Home_Data!$B$87,1)*IF(($P18=1),Home_Data!$B$88,1)</f>
        <v>1.15</v>
      </c>
      <c r="AM18" s="34" t="n">
        <f aca="false">AC18*AD18*AE18*AF18*AG18*AH18*AI18*AJ18*AK18*AL18</f>
        <v>11817.7427897252</v>
      </c>
      <c r="AN18" s="34" t="n">
        <f aca="false">AM18*EXP(-Car_Data!$B$123*Home_Data!$B$91)</f>
        <v>8607.13788650094</v>
      </c>
      <c r="AO18" s="34" t="n">
        <f aca="false">AM18*EXP(Car_Data!$B$123*Home_Data!$B$91)</f>
        <v>16225.9564661022</v>
      </c>
      <c r="AP18" s="39" t="str">
        <f aca="false">IF($U18&gt;0,IF(AND($U18&gt;=AN18,$U18&lt;=AO18),1,0),"")</f>
        <v/>
      </c>
      <c r="AQ18" s="40" t="str">
        <f aca="false">IF($U18&gt;0,$U18/AM18-1,"")</f>
        <v/>
      </c>
    </row>
    <row r="19" customFormat="false" ht="15" hidden="false" customHeight="false" outlineLevel="0" collapsed="false">
      <c r="A19" s="6" t="s">
        <v>280</v>
      </c>
      <c r="B19" s="6" t="s">
        <v>56</v>
      </c>
      <c r="C19" s="6" t="n">
        <v>3150</v>
      </c>
      <c r="D19" s="6" t="n">
        <v>2004</v>
      </c>
      <c r="E19" s="6" t="n">
        <v>10</v>
      </c>
      <c r="F19" s="6" t="s">
        <v>133</v>
      </c>
      <c r="G19" s="6" t="s">
        <v>136</v>
      </c>
      <c r="H19" s="6" t="n">
        <v>0</v>
      </c>
      <c r="I19" s="23" t="n">
        <v>650000</v>
      </c>
      <c r="J19" s="23" t="n">
        <v>1000</v>
      </c>
      <c r="K19" s="6" t="n">
        <v>300</v>
      </c>
      <c r="L19" s="6" t="s">
        <v>72</v>
      </c>
      <c r="M19" s="6" t="n">
        <v>0</v>
      </c>
      <c r="N19" s="6" t="n">
        <v>0</v>
      </c>
      <c r="O19" s="6" t="n">
        <v>0</v>
      </c>
      <c r="P19" s="6" t="n">
        <v>1</v>
      </c>
      <c r="Q19" s="6" t="n">
        <v>0</v>
      </c>
      <c r="R19" s="6" t="s">
        <v>262</v>
      </c>
      <c r="S19" s="5"/>
      <c r="T19" s="32"/>
      <c r="U19" s="17"/>
      <c r="V19" s="33" t="n">
        <f aca="false">MATCH($B19,Home_Data!$B$5:$B$56,0)</f>
        <v>43</v>
      </c>
      <c r="W19" s="34" t="n">
        <f aca="false">MIN(MAX($I19,50000),3000000)</f>
        <v>650000</v>
      </c>
      <c r="X19" s="35" t="n">
        <f aca="false">IFERROR(MIN(3,MAX(1,MATCH(W19,Home_Data!$C$4:$F$4,1))),1)</f>
        <v>3</v>
      </c>
      <c r="Y19" s="36" t="n">
        <f aca="false">INDEX(Home_Data!$C$5:$F$56,V19,X19)</f>
        <v>5733</v>
      </c>
      <c r="Z19" s="36" t="n">
        <f aca="false">INDEX(Home_Data!$C$5:$F$56,V19,X19+1)</f>
        <v>7858</v>
      </c>
      <c r="AA19" s="36" t="n">
        <f aca="false">INDEX(Home_Data!$C$4:$F$4,X19)</f>
        <v>400000</v>
      </c>
      <c r="AB19" s="36" t="n">
        <f aca="false">INDEX(Home_Data!$C$4:$F$4,X19+1)</f>
        <v>600000</v>
      </c>
      <c r="AC19" s="36" t="n">
        <f aca="false">IF($I19&lt;200000,INDEX(Home_Data!$C$5:$F$56,V19,1)*(MAX($I19,Home_Data!$B$90)/200000)^Home_Data!$B$89,Y19*(W19/AA19)^(LN(Z19/Y19)/LN(AB19/AA19)))</f>
        <v>8362.6387846474</v>
      </c>
      <c r="AD19" s="37" t="n">
        <f aca="false">IF($K19=100,Home_Data!$B$67,IF($K19=500,Home_Data!$B$69,Home_Data!$B$68))</f>
        <v>1</v>
      </c>
      <c r="AE19" s="37" t="n">
        <f aca="false">IF($J19&lt;=Home_Data!$B$61,Home_Data!$B$64,IF($J19&gt;=Home_Data!$B$63,Home_Data!$B$66,IF($J19&lt;=Home_Data!$B$62,Home_Data!$B$64+(Home_Data!$B$65-Home_Data!$B$64)*(LN($J19)-LN(Home_Data!$B$61))/(LN(Home_Data!$B$62)-LN(Home_Data!$B$61)),Home_Data!$B$65+(Home_Data!$B$66-Home_Data!$B$65)*(LN($J19)-LN(Home_Data!$B$62))/(LN(Home_Data!$B$63)-LN(Home_Data!$B$62)))))</f>
        <v>1</v>
      </c>
      <c r="AF19" s="38" t="n">
        <f aca="false">IF($E19&gt;=20,Home_Data!$B$80,IF($E19&gt;=10,Home_Data!$B$79,1))</f>
        <v>1.1</v>
      </c>
      <c r="AG19" s="38" t="n">
        <f aca="false">IF($D19&lt;1960,Home_Data!$B$81,IF($D19&lt;1980,Home_Data!$B$82,IF($D19&gt;=2000,Home_Data!$B$83,1)))</f>
        <v>0.95</v>
      </c>
      <c r="AH19" s="38" t="n">
        <f aca="false">IF($F19="brick",Home_Data!$B$78,1)</f>
        <v>1</v>
      </c>
      <c r="AI19" s="38" t="n">
        <f aca="false">IF($G19="rental",Home_Data!$B$84,IF($G19="vacation",Home_Data!$B$85,1))</f>
        <v>1</v>
      </c>
      <c r="AJ19" s="38" t="n">
        <f aca="false">INDEX(Home_Data!$B$70:$B$73,MIN(3,MAX(0,$H19))+1)</f>
        <v>1</v>
      </c>
      <c r="AK19" s="38" t="n">
        <f aca="false">IF(INDEX(Home_Data!$H$5:$H$56,V19)="Yes",1,IF($L19="poor",Home_Data!$B$74,IF($L19="fair",Home_Data!$B$75,IF($L19="excellent",Home_Data!$B$77,Home_Data!$B$76))))</f>
        <v>1</v>
      </c>
      <c r="AL19" s="38" t="n">
        <f aca="false">IF(($N19=1),Home_Data!$B$86,1)*IF(($O19=1),Home_Data!$B$87,1)*IF(($P19=1),Home_Data!$B$88,1)</f>
        <v>1.08</v>
      </c>
      <c r="AM19" s="34" t="n">
        <f aca="false">AC19*AD19*AE19*AF19*AG19*AH19*AI19*AJ19*AK19*AL19</f>
        <v>9438.07413235306</v>
      </c>
      <c r="AN19" s="34" t="n">
        <f aca="false">AM19*EXP(-Car_Data!$B$123*Home_Data!$B$91)</f>
        <v>6873.96966456309</v>
      </c>
      <c r="AO19" s="34" t="n">
        <f aca="false">AM19*EXP(Car_Data!$B$123*Home_Data!$B$91)</f>
        <v>12958.6320095368</v>
      </c>
      <c r="AP19" s="39" t="str">
        <f aca="false">IF($U19&gt;0,IF(AND($U19&gt;=AN19,$U19&lt;=AO19),1,0),"")</f>
        <v/>
      </c>
      <c r="AQ19" s="40" t="str">
        <f aca="false">IF($U19&gt;0,$U19/AM19-1,"")</f>
        <v/>
      </c>
    </row>
    <row r="20" customFormat="false" ht="15" hidden="false" customHeight="false" outlineLevel="0" collapsed="false">
      <c r="A20" s="6" t="s">
        <v>281</v>
      </c>
      <c r="B20" s="6" t="s">
        <v>56</v>
      </c>
      <c r="C20" s="6" t="n">
        <v>3150</v>
      </c>
      <c r="D20" s="6" t="n">
        <v>2021</v>
      </c>
      <c r="E20" s="6" t="n">
        <v>0</v>
      </c>
      <c r="F20" s="6" t="s">
        <v>261</v>
      </c>
      <c r="G20" s="6" t="s">
        <v>136</v>
      </c>
      <c r="H20" s="6" t="n">
        <v>1</v>
      </c>
      <c r="I20" s="23" t="n">
        <v>855000</v>
      </c>
      <c r="J20" s="23" t="n">
        <v>5000</v>
      </c>
      <c r="K20" s="6" t="n">
        <v>300</v>
      </c>
      <c r="L20" s="6" t="s">
        <v>72</v>
      </c>
      <c r="M20" s="6" t="n">
        <v>0</v>
      </c>
      <c r="N20" s="6" t="n">
        <v>0</v>
      </c>
      <c r="O20" s="6" t="n">
        <v>0</v>
      </c>
      <c r="P20" s="6" t="n">
        <v>0</v>
      </c>
      <c r="Q20" s="6" t="n">
        <v>0</v>
      </c>
      <c r="R20" s="6" t="s">
        <v>267</v>
      </c>
      <c r="S20" s="5"/>
      <c r="T20" s="32"/>
      <c r="U20" s="17"/>
      <c r="V20" s="33" t="n">
        <f aca="false">MATCH($B20,Home_Data!$B$5:$B$56,0)</f>
        <v>43</v>
      </c>
      <c r="W20" s="34" t="n">
        <f aca="false">MIN(MAX($I20,50000),3000000)</f>
        <v>855000</v>
      </c>
      <c r="X20" s="35" t="n">
        <f aca="false">IFERROR(MIN(3,MAX(1,MATCH(W20,Home_Data!$C$4:$F$4,1))),1)</f>
        <v>3</v>
      </c>
      <c r="Y20" s="36" t="n">
        <f aca="false">INDEX(Home_Data!$C$5:$F$56,V20,X20)</f>
        <v>5733</v>
      </c>
      <c r="Z20" s="36" t="n">
        <f aca="false">INDEX(Home_Data!$C$5:$F$56,V20,X20+1)</f>
        <v>7858</v>
      </c>
      <c r="AA20" s="36" t="n">
        <f aca="false">INDEX(Home_Data!$C$4:$F$4,X20)</f>
        <v>400000</v>
      </c>
      <c r="AB20" s="36" t="n">
        <f aca="false">INDEX(Home_Data!$C$4:$F$4,X20+1)</f>
        <v>600000</v>
      </c>
      <c r="AC20" s="36" t="n">
        <f aca="false">IF($I20&lt;200000,INDEX(Home_Data!$C$5:$F$56,V20,1)*(MAX($I20,Home_Data!$B$90)/200000)^Home_Data!$B$89,Y20*(W20/AA20)^(LN(Z20/Y20)/LN(AB20/AA20)))</f>
        <v>10349.5100452924</v>
      </c>
      <c r="AD20" s="37" t="n">
        <f aca="false">IF($K20=100,Home_Data!$B$67,IF($K20=500,Home_Data!$B$69,Home_Data!$B$68))</f>
        <v>1</v>
      </c>
      <c r="AE20" s="37" t="n">
        <f aca="false">IF($J20&lt;=Home_Data!$B$61,Home_Data!$B$64,IF($J20&gt;=Home_Data!$B$63,Home_Data!$B$66,IF($J20&lt;=Home_Data!$B$62,Home_Data!$B$64+(Home_Data!$B$65-Home_Data!$B$64)*(LN($J20)-LN(Home_Data!$B$61))/(LN(Home_Data!$B$62)-LN(Home_Data!$B$61)),Home_Data!$B$65+(Home_Data!$B$66-Home_Data!$B$65)*(LN($J20)-LN(Home_Data!$B$62))/(LN(Home_Data!$B$63)-LN(Home_Data!$B$62)))))</f>
        <v>0.84</v>
      </c>
      <c r="AF20" s="38" t="n">
        <f aca="false">IF($E20&gt;=20,Home_Data!$B$80,IF($E20&gt;=10,Home_Data!$B$79,1))</f>
        <v>1</v>
      </c>
      <c r="AG20" s="38" t="n">
        <f aca="false">IF($D20&lt;1960,Home_Data!$B$81,IF($D20&lt;1980,Home_Data!$B$82,IF($D20&gt;=2000,Home_Data!$B$83,1)))</f>
        <v>0.95</v>
      </c>
      <c r="AH20" s="38" t="n">
        <f aca="false">IF($F20="brick",Home_Data!$B$78,1)</f>
        <v>0.98</v>
      </c>
      <c r="AI20" s="38" t="n">
        <f aca="false">IF($G20="rental",Home_Data!$B$84,IF($G20="vacation",Home_Data!$B$85,1))</f>
        <v>1</v>
      </c>
      <c r="AJ20" s="38" t="n">
        <f aca="false">INDEX(Home_Data!$B$70:$B$73,MIN(3,MAX(0,$H20))+1)</f>
        <v>1.16</v>
      </c>
      <c r="AK20" s="38" t="n">
        <f aca="false">IF(INDEX(Home_Data!$H$5:$H$56,V20)="Yes",1,IF($L20="poor",Home_Data!$B$74,IF($L20="fair",Home_Data!$B$75,IF($L20="excellent",Home_Data!$B$77,Home_Data!$B$76))))</f>
        <v>1</v>
      </c>
      <c r="AL20" s="38" t="n">
        <f aca="false">IF(($N20=1),Home_Data!$B$86,1)*IF(($O20=1),Home_Data!$B$87,1)*IF(($P20=1),Home_Data!$B$88,1)</f>
        <v>1</v>
      </c>
      <c r="AM20" s="34" t="n">
        <f aca="false">AC20*AD20*AE20*AF20*AG20*AH20*AI20*AJ20*AK20*AL20</f>
        <v>9388.72776955171</v>
      </c>
      <c r="AN20" s="34" t="n">
        <f aca="false">AM20*EXP(-Car_Data!$B$123*Home_Data!$B$91)</f>
        <v>6838.0295568466</v>
      </c>
      <c r="AO20" s="34" t="n">
        <f aca="false">AM20*EXP(Car_Data!$B$123*Home_Data!$B$91)</f>
        <v>12890.8786365939</v>
      </c>
      <c r="AP20" s="39" t="str">
        <f aca="false">IF($U20&gt;0,IF(AND($U20&gt;=AN20,$U20&lt;=AO20),1,0),"")</f>
        <v/>
      </c>
      <c r="AQ20" s="40" t="str">
        <f aca="false">IF($U20&gt;0,$U20/AM20-1,"")</f>
        <v/>
      </c>
    </row>
    <row r="21" customFormat="false" ht="15" hidden="false" customHeight="false" outlineLevel="0" collapsed="false">
      <c r="A21" s="6" t="s">
        <v>282</v>
      </c>
      <c r="B21" s="6" t="s">
        <v>56</v>
      </c>
      <c r="C21" s="6" t="n">
        <v>2250</v>
      </c>
      <c r="D21" s="6" t="n">
        <v>2023</v>
      </c>
      <c r="E21" s="6" t="n">
        <v>3</v>
      </c>
      <c r="F21" s="6" t="s">
        <v>133</v>
      </c>
      <c r="G21" s="6" t="s">
        <v>136</v>
      </c>
      <c r="H21" s="6" t="n">
        <v>1</v>
      </c>
      <c r="I21" s="23" t="n">
        <v>495000</v>
      </c>
      <c r="J21" s="23" t="n">
        <v>2500</v>
      </c>
      <c r="K21" s="6" t="n">
        <v>300</v>
      </c>
      <c r="L21" s="6" t="s">
        <v>72</v>
      </c>
      <c r="M21" s="6" t="n">
        <v>0</v>
      </c>
      <c r="N21" s="6" t="n">
        <v>0</v>
      </c>
      <c r="O21" s="6" t="n">
        <v>0</v>
      </c>
      <c r="P21" s="6" t="n">
        <v>1</v>
      </c>
      <c r="Q21" s="6" t="n">
        <v>0</v>
      </c>
      <c r="R21" s="6" t="s">
        <v>262</v>
      </c>
      <c r="S21" s="5"/>
      <c r="T21" s="32"/>
      <c r="U21" s="17"/>
      <c r="V21" s="33" t="n">
        <f aca="false">MATCH($B21,Home_Data!$B$5:$B$56,0)</f>
        <v>43</v>
      </c>
      <c r="W21" s="34" t="n">
        <f aca="false">MIN(MAX($I21,50000),3000000)</f>
        <v>495000</v>
      </c>
      <c r="X21" s="35" t="n">
        <f aca="false">IFERROR(MIN(3,MAX(1,MATCH(W21,Home_Data!$C$4:$F$4,1))),1)</f>
        <v>3</v>
      </c>
      <c r="Y21" s="36" t="n">
        <f aca="false">INDEX(Home_Data!$C$5:$F$56,V21,X21)</f>
        <v>5733</v>
      </c>
      <c r="Z21" s="36" t="n">
        <f aca="false">INDEX(Home_Data!$C$5:$F$56,V21,X21+1)</f>
        <v>7858</v>
      </c>
      <c r="AA21" s="36" t="n">
        <f aca="false">INDEX(Home_Data!$C$4:$F$4,X21)</f>
        <v>400000</v>
      </c>
      <c r="AB21" s="36" t="n">
        <f aca="false">INDEX(Home_Data!$C$4:$F$4,X21+1)</f>
        <v>600000</v>
      </c>
      <c r="AC21" s="36" t="n">
        <f aca="false">IF($I21&lt;200000,INDEX(Home_Data!$C$5:$F$56,V21,1)*(MAX($I21,Home_Data!$B$90)/200000)^Home_Data!$B$89,Y21*(W21/AA21)^(LN(Z21/Y21)/LN(AB21/AA21)))</f>
        <v>6766.21656211432</v>
      </c>
      <c r="AD21" s="37" t="n">
        <f aca="false">IF($K21=100,Home_Data!$B$67,IF($K21=500,Home_Data!$B$69,Home_Data!$B$68))</f>
        <v>1</v>
      </c>
      <c r="AE21" s="37" t="n">
        <f aca="false">IF($J21&lt;=Home_Data!$B$61,Home_Data!$B$64,IF($J21&gt;=Home_Data!$B$63,Home_Data!$B$66,IF($J21&lt;=Home_Data!$B$62,Home_Data!$B$64+(Home_Data!$B$65-Home_Data!$B$64)*(LN($J21)-LN(Home_Data!$B$61))/(LN(Home_Data!$B$62)-LN(Home_Data!$B$61)),Home_Data!$B$65+(Home_Data!$B$66-Home_Data!$B$65)*(LN($J21)-LN(Home_Data!$B$62))/(LN(Home_Data!$B$63)-LN(Home_Data!$B$62)))))</f>
        <v>0.91</v>
      </c>
      <c r="AF21" s="38" t="n">
        <f aca="false">IF($E21&gt;=20,Home_Data!$B$80,IF($E21&gt;=10,Home_Data!$B$79,1))</f>
        <v>1</v>
      </c>
      <c r="AG21" s="38" t="n">
        <f aca="false">IF($D21&lt;1960,Home_Data!$B$81,IF($D21&lt;1980,Home_Data!$B$82,IF($D21&gt;=2000,Home_Data!$B$83,1)))</f>
        <v>0.95</v>
      </c>
      <c r="AH21" s="38" t="n">
        <f aca="false">IF($F21="brick",Home_Data!$B$78,1)</f>
        <v>1</v>
      </c>
      <c r="AI21" s="38" t="n">
        <f aca="false">IF($G21="rental",Home_Data!$B$84,IF($G21="vacation",Home_Data!$B$85,1))</f>
        <v>1</v>
      </c>
      <c r="AJ21" s="38" t="n">
        <f aca="false">INDEX(Home_Data!$B$70:$B$73,MIN(3,MAX(0,$H21))+1)</f>
        <v>1.16</v>
      </c>
      <c r="AK21" s="38" t="n">
        <f aca="false">IF(INDEX(Home_Data!$H$5:$H$56,V21)="Yes",1,IF($L21="poor",Home_Data!$B$74,IF($L21="fair",Home_Data!$B$75,IF($L21="excellent",Home_Data!$B$77,Home_Data!$B$76))))</f>
        <v>1</v>
      </c>
      <c r="AL21" s="38" t="n">
        <f aca="false">IF(($N21=1),Home_Data!$B$86,1)*IF(($O21=1),Home_Data!$B$87,1)*IF(($P21=1),Home_Data!$B$88,1)</f>
        <v>1.08</v>
      </c>
      <c r="AM21" s="34" t="n">
        <f aca="false">AC21*AD21*AE21*AF21*AG21*AH21*AI21*AJ21*AK21*AL21</f>
        <v>7328.12107624504</v>
      </c>
      <c r="AN21" s="34" t="n">
        <f aca="false">AM21*EXP(-Car_Data!$B$123*Home_Data!$B$91)</f>
        <v>5337.24160988286</v>
      </c>
      <c r="AO21" s="34" t="n">
        <f aca="false">AM21*EXP(Car_Data!$B$123*Home_Data!$B$91)</f>
        <v>10061.6315380344</v>
      </c>
      <c r="AP21" s="39" t="str">
        <f aca="false">IF($U21&gt;0,IF(AND($U21&gt;=AN21,$U21&lt;=AO21),1,0),"")</f>
        <v/>
      </c>
      <c r="AQ21" s="40" t="str">
        <f aca="false">IF($U21&gt;0,$U21/AM21-1,"")</f>
        <v/>
      </c>
    </row>
    <row r="22" customFormat="false" ht="15" hidden="false" customHeight="false" outlineLevel="0" collapsed="false">
      <c r="A22" s="6" t="s">
        <v>283</v>
      </c>
      <c r="B22" s="6" t="s">
        <v>56</v>
      </c>
      <c r="C22" s="6" t="n">
        <v>3550</v>
      </c>
      <c r="D22" s="6" t="n">
        <v>2009</v>
      </c>
      <c r="E22" s="6" t="n">
        <v>17</v>
      </c>
      <c r="F22" s="6" t="s">
        <v>133</v>
      </c>
      <c r="G22" s="6" t="s">
        <v>136</v>
      </c>
      <c r="H22" s="6" t="n">
        <v>0</v>
      </c>
      <c r="I22" s="23" t="n">
        <v>810000</v>
      </c>
      <c r="J22" s="23" t="n">
        <v>5000</v>
      </c>
      <c r="K22" s="6" t="n">
        <v>300</v>
      </c>
      <c r="L22" s="6" t="s">
        <v>284</v>
      </c>
      <c r="M22" s="6" t="n">
        <v>1</v>
      </c>
      <c r="N22" s="6" t="n">
        <v>0</v>
      </c>
      <c r="O22" s="6" t="n">
        <v>0</v>
      </c>
      <c r="P22" s="6" t="n">
        <v>0</v>
      </c>
      <c r="Q22" s="6" t="n">
        <v>0</v>
      </c>
      <c r="R22" s="6" t="s">
        <v>285</v>
      </c>
      <c r="S22" s="5"/>
      <c r="T22" s="32"/>
      <c r="U22" s="17"/>
      <c r="V22" s="33" t="n">
        <f aca="false">MATCH($B22,Home_Data!$B$5:$B$56,0)</f>
        <v>43</v>
      </c>
      <c r="W22" s="34" t="n">
        <f aca="false">MIN(MAX($I22,50000),3000000)</f>
        <v>810000</v>
      </c>
      <c r="X22" s="35" t="n">
        <f aca="false">IFERROR(MIN(3,MAX(1,MATCH(W22,Home_Data!$C$4:$F$4,1))),1)</f>
        <v>3</v>
      </c>
      <c r="Y22" s="36" t="n">
        <f aca="false">INDEX(Home_Data!$C$5:$F$56,V22,X22)</f>
        <v>5733</v>
      </c>
      <c r="Z22" s="36" t="n">
        <f aca="false">INDEX(Home_Data!$C$5:$F$56,V22,X22+1)</f>
        <v>7858</v>
      </c>
      <c r="AA22" s="36" t="n">
        <f aca="false">INDEX(Home_Data!$C$4:$F$4,X22)</f>
        <v>400000</v>
      </c>
      <c r="AB22" s="36" t="n">
        <f aca="false">INDEX(Home_Data!$C$4:$F$4,X22+1)</f>
        <v>600000</v>
      </c>
      <c r="AC22" s="36" t="n">
        <f aca="false">IF($I22&lt;200000,INDEX(Home_Data!$C$5:$F$56,V22,1)*(MAX($I22,Home_Data!$B$90)/200000)^Home_Data!$B$89,Y22*(W22/AA22)^(LN(Z22/Y22)/LN(AB22/AA22)))</f>
        <v>9923.40434252769</v>
      </c>
      <c r="AD22" s="37" t="n">
        <f aca="false">IF($K22=100,Home_Data!$B$67,IF($K22=500,Home_Data!$B$69,Home_Data!$B$68))</f>
        <v>1</v>
      </c>
      <c r="AE22" s="37" t="n">
        <f aca="false">IF($J22&lt;=Home_Data!$B$61,Home_Data!$B$64,IF($J22&gt;=Home_Data!$B$63,Home_Data!$B$66,IF($J22&lt;=Home_Data!$B$62,Home_Data!$B$64+(Home_Data!$B$65-Home_Data!$B$64)*(LN($J22)-LN(Home_Data!$B$61))/(LN(Home_Data!$B$62)-LN(Home_Data!$B$61)),Home_Data!$B$65+(Home_Data!$B$66-Home_Data!$B$65)*(LN($J22)-LN(Home_Data!$B$62))/(LN(Home_Data!$B$63)-LN(Home_Data!$B$62)))))</f>
        <v>0.84</v>
      </c>
      <c r="AF22" s="38" t="n">
        <f aca="false">IF($E22&gt;=20,Home_Data!$B$80,IF($E22&gt;=10,Home_Data!$B$79,1))</f>
        <v>1.1</v>
      </c>
      <c r="AG22" s="38" t="n">
        <f aca="false">IF($D22&lt;1960,Home_Data!$B$81,IF($D22&lt;1980,Home_Data!$B$82,IF($D22&gt;=2000,Home_Data!$B$83,1)))</f>
        <v>0.95</v>
      </c>
      <c r="AH22" s="38" t="n">
        <f aca="false">IF($F22="brick",Home_Data!$B$78,1)</f>
        <v>1</v>
      </c>
      <c r="AI22" s="38" t="n">
        <f aca="false">IF($G22="rental",Home_Data!$B$84,IF($G22="vacation",Home_Data!$B$85,1))</f>
        <v>1</v>
      </c>
      <c r="AJ22" s="38" t="n">
        <f aca="false">INDEX(Home_Data!$B$70:$B$73,MIN(3,MAX(0,$H22))+1)</f>
        <v>1</v>
      </c>
      <c r="AK22" s="38" t="n">
        <f aca="false">IF(INDEX(Home_Data!$H$5:$H$56,V22)="Yes",1,IF($L22="poor",Home_Data!$B$74,IF($L22="fair",Home_Data!$B$75,IF($L22="excellent",Home_Data!$B$77,Home_Data!$B$76))))</f>
        <v>2.11</v>
      </c>
      <c r="AL22" s="38" t="n">
        <f aca="false">IF(($N22=1),Home_Data!$B$86,1)*IF(($O22=1),Home_Data!$B$87,1)*IF(($P22=1),Home_Data!$B$88,1)</f>
        <v>1</v>
      </c>
      <c r="AM22" s="34" t="n">
        <f aca="false">AC22*AD22*AE22*AF22*AG22*AH22*AI22*AJ22*AK22*AL22</f>
        <v>18379.7127402474</v>
      </c>
      <c r="AN22" s="34" t="n">
        <f aca="false">AM22*EXP(-Car_Data!$B$123*Home_Data!$B$91)</f>
        <v>13386.3737504195</v>
      </c>
      <c r="AO22" s="34" t="n">
        <f aca="false">AM22*EXP(Car_Data!$B$123*Home_Data!$B$91)</f>
        <v>25235.6498266326</v>
      </c>
      <c r="AP22" s="39" t="str">
        <f aca="false">IF($U22&gt;0,IF(AND($U22&gt;=AN22,$U22&lt;=AO22),1,0),"")</f>
        <v/>
      </c>
      <c r="AQ22" s="40" t="str">
        <f aca="false">IF($U22&gt;0,$U22/AM22-1,"")</f>
        <v/>
      </c>
    </row>
    <row r="23" customFormat="false" ht="15" hidden="false" customHeight="false" outlineLevel="0" collapsed="false">
      <c r="A23" s="6" t="s">
        <v>286</v>
      </c>
      <c r="B23" s="6" t="s">
        <v>56</v>
      </c>
      <c r="C23" s="6" t="n">
        <v>2650</v>
      </c>
      <c r="D23" s="6" t="n">
        <v>1968</v>
      </c>
      <c r="E23" s="6" t="n">
        <v>10</v>
      </c>
      <c r="F23" s="6" t="s">
        <v>133</v>
      </c>
      <c r="G23" s="6" t="s">
        <v>136</v>
      </c>
      <c r="H23" s="6" t="n">
        <v>0</v>
      </c>
      <c r="I23" s="23" t="n">
        <v>695000</v>
      </c>
      <c r="J23" s="23" t="n">
        <v>1000</v>
      </c>
      <c r="K23" s="6" t="n">
        <v>300</v>
      </c>
      <c r="L23" s="6" t="s">
        <v>271</v>
      </c>
      <c r="M23" s="6" t="n">
        <v>0</v>
      </c>
      <c r="N23" s="6" t="n">
        <v>0</v>
      </c>
      <c r="O23" s="6" t="n">
        <v>1</v>
      </c>
      <c r="P23" s="6" t="n">
        <v>1</v>
      </c>
      <c r="Q23" s="6" t="n">
        <v>0</v>
      </c>
      <c r="R23" s="6" t="s">
        <v>276</v>
      </c>
      <c r="S23" s="5"/>
      <c r="T23" s="32"/>
      <c r="U23" s="17"/>
      <c r="V23" s="33" t="n">
        <f aca="false">MATCH($B23,Home_Data!$B$5:$B$56,0)</f>
        <v>43</v>
      </c>
      <c r="W23" s="34" t="n">
        <f aca="false">MIN(MAX($I23,50000),3000000)</f>
        <v>695000</v>
      </c>
      <c r="X23" s="35" t="n">
        <f aca="false">IFERROR(MIN(3,MAX(1,MATCH(W23,Home_Data!$C$4:$F$4,1))),1)</f>
        <v>3</v>
      </c>
      <c r="Y23" s="36" t="n">
        <f aca="false">INDEX(Home_Data!$C$5:$F$56,V23,X23)</f>
        <v>5733</v>
      </c>
      <c r="Z23" s="36" t="n">
        <f aca="false">INDEX(Home_Data!$C$5:$F$56,V23,X23+1)</f>
        <v>7858</v>
      </c>
      <c r="AA23" s="36" t="n">
        <f aca="false">INDEX(Home_Data!$C$4:$F$4,X23)</f>
        <v>400000</v>
      </c>
      <c r="AB23" s="36" t="n">
        <f aca="false">INDEX(Home_Data!$C$4:$F$4,X23+1)</f>
        <v>600000</v>
      </c>
      <c r="AC23" s="36" t="n">
        <f aca="false">IF($I23&lt;200000,INDEX(Home_Data!$C$5:$F$56,V23,1)*(MAX($I23,Home_Data!$B$90)/200000)^Home_Data!$B$89,Y23*(W23/AA23)^(LN(Z23/Y23)/LN(AB23/AA23)))</f>
        <v>8809.46525674244</v>
      </c>
      <c r="AD23" s="37" t="n">
        <f aca="false">IF($K23=100,Home_Data!$B$67,IF($K23=500,Home_Data!$B$69,Home_Data!$B$68))</f>
        <v>1</v>
      </c>
      <c r="AE23" s="37" t="n">
        <f aca="false">IF($J23&lt;=Home_Data!$B$61,Home_Data!$B$64,IF($J23&gt;=Home_Data!$B$63,Home_Data!$B$66,IF($J23&lt;=Home_Data!$B$62,Home_Data!$B$64+(Home_Data!$B$65-Home_Data!$B$64)*(LN($J23)-LN(Home_Data!$B$61))/(LN(Home_Data!$B$62)-LN(Home_Data!$B$61)),Home_Data!$B$65+(Home_Data!$B$66-Home_Data!$B$65)*(LN($J23)-LN(Home_Data!$B$62))/(LN(Home_Data!$B$63)-LN(Home_Data!$B$62)))))</f>
        <v>1</v>
      </c>
      <c r="AF23" s="38" t="n">
        <f aca="false">IF($E23&gt;=20,Home_Data!$B$80,IF($E23&gt;=10,Home_Data!$B$79,1))</f>
        <v>1.1</v>
      </c>
      <c r="AG23" s="38" t="n">
        <f aca="false">IF($D23&lt;1960,Home_Data!$B$81,IF($D23&lt;1980,Home_Data!$B$82,IF($D23&gt;=2000,Home_Data!$B$83,1)))</f>
        <v>1.08</v>
      </c>
      <c r="AH23" s="38" t="n">
        <f aca="false">IF($F23="brick",Home_Data!$B$78,1)</f>
        <v>1</v>
      </c>
      <c r="AI23" s="38" t="n">
        <f aca="false">IF($G23="rental",Home_Data!$B$84,IF($G23="vacation",Home_Data!$B$85,1))</f>
        <v>1</v>
      </c>
      <c r="AJ23" s="38" t="n">
        <f aca="false">INDEX(Home_Data!$B$70:$B$73,MIN(3,MAX(0,$H23))+1)</f>
        <v>1</v>
      </c>
      <c r="AK23" s="38" t="n">
        <f aca="false">IF(INDEX(Home_Data!$H$5:$H$56,V23)="Yes",1,IF($L23="poor",Home_Data!$B$74,IF($L23="fair",Home_Data!$B$75,IF($L23="excellent",Home_Data!$B$77,Home_Data!$B$76))))</f>
        <v>1.07</v>
      </c>
      <c r="AL23" s="38" t="n">
        <f aca="false">IF(($N23=1),Home_Data!$B$86,1)*IF(($O23=1),Home_Data!$B$87,1)*IF(($P23=1),Home_Data!$B$88,1)</f>
        <v>1.242</v>
      </c>
      <c r="AM23" s="34" t="n">
        <f aca="false">AC23*AD23*AE23*AF23*AG23*AH23*AI23*AJ23*AK23*AL23</f>
        <v>13908.2139008548</v>
      </c>
      <c r="AN23" s="34" t="n">
        <f aca="false">AM23*EXP(-Car_Data!$B$123*Home_Data!$B$91)</f>
        <v>10129.6767859668</v>
      </c>
      <c r="AO23" s="34" t="n">
        <f aca="false">AM23*EXP(Car_Data!$B$123*Home_Data!$B$91)</f>
        <v>19096.2079046699</v>
      </c>
      <c r="AP23" s="39" t="str">
        <f aca="false">IF($U23&gt;0,IF(AND($U23&gt;=AN23,$U23&lt;=AO23),1,0),"")</f>
        <v/>
      </c>
      <c r="AQ23" s="40" t="str">
        <f aca="false">IF($U23&gt;0,$U23/AM23-1,"")</f>
        <v/>
      </c>
    </row>
    <row r="24" customFormat="false" ht="15" hidden="false" customHeight="false" outlineLevel="0" collapsed="false">
      <c r="A24" s="6" t="s">
        <v>287</v>
      </c>
      <c r="B24" s="6" t="s">
        <v>56</v>
      </c>
      <c r="C24" s="6" t="n">
        <v>3300</v>
      </c>
      <c r="D24" s="6" t="n">
        <v>2013</v>
      </c>
      <c r="E24" s="6" t="n">
        <v>7</v>
      </c>
      <c r="F24" s="6" t="s">
        <v>133</v>
      </c>
      <c r="G24" s="6" t="s">
        <v>136</v>
      </c>
      <c r="H24" s="6" t="n">
        <v>0</v>
      </c>
      <c r="I24" s="23" t="n">
        <v>865000</v>
      </c>
      <c r="J24" s="23" t="n">
        <v>5000</v>
      </c>
      <c r="K24" s="6" t="n">
        <v>500</v>
      </c>
      <c r="L24" s="6" t="s">
        <v>284</v>
      </c>
      <c r="M24" s="6" t="n">
        <v>0</v>
      </c>
      <c r="N24" s="6" t="n">
        <v>0</v>
      </c>
      <c r="O24" s="6" t="n">
        <v>1</v>
      </c>
      <c r="P24" s="6" t="n">
        <v>0</v>
      </c>
      <c r="Q24" s="6" t="n">
        <v>0</v>
      </c>
      <c r="R24" s="6" t="s">
        <v>279</v>
      </c>
      <c r="S24" s="5"/>
      <c r="T24" s="32"/>
      <c r="U24" s="17"/>
      <c r="V24" s="33" t="n">
        <f aca="false">MATCH($B24,Home_Data!$B$5:$B$56,0)</f>
        <v>43</v>
      </c>
      <c r="W24" s="34" t="n">
        <f aca="false">MIN(MAX($I24,50000),3000000)</f>
        <v>865000</v>
      </c>
      <c r="X24" s="35" t="n">
        <f aca="false">IFERROR(MIN(3,MAX(1,MATCH(W24,Home_Data!$C$4:$F$4,1))),1)</f>
        <v>3</v>
      </c>
      <c r="Y24" s="36" t="n">
        <f aca="false">INDEX(Home_Data!$C$5:$F$56,V24,X24)</f>
        <v>5733</v>
      </c>
      <c r="Z24" s="36" t="n">
        <f aca="false">INDEX(Home_Data!$C$5:$F$56,V24,X24+1)</f>
        <v>7858</v>
      </c>
      <c r="AA24" s="36" t="n">
        <f aca="false">INDEX(Home_Data!$C$4:$F$4,X24)</f>
        <v>400000</v>
      </c>
      <c r="AB24" s="36" t="n">
        <f aca="false">INDEX(Home_Data!$C$4:$F$4,X24+1)</f>
        <v>600000</v>
      </c>
      <c r="AC24" s="36" t="n">
        <f aca="false">IF($I24&lt;200000,INDEX(Home_Data!$C$5:$F$56,V24,1)*(MAX($I24,Home_Data!$B$90)/200000)^Home_Data!$B$89,Y24*(W24/AA24)^(LN(Z24/Y24)/LN(AB24/AA24)))</f>
        <v>10443.515324312</v>
      </c>
      <c r="AD24" s="37" t="n">
        <f aca="false">IF($K24=100,Home_Data!$B$67,IF($K24=500,Home_Data!$B$69,Home_Data!$B$68))</f>
        <v>1.005</v>
      </c>
      <c r="AE24" s="37" t="n">
        <f aca="false">IF($J24&lt;=Home_Data!$B$61,Home_Data!$B$64,IF($J24&gt;=Home_Data!$B$63,Home_Data!$B$66,IF($J24&lt;=Home_Data!$B$62,Home_Data!$B$64+(Home_Data!$B$65-Home_Data!$B$64)*(LN($J24)-LN(Home_Data!$B$61))/(LN(Home_Data!$B$62)-LN(Home_Data!$B$61)),Home_Data!$B$65+(Home_Data!$B$66-Home_Data!$B$65)*(LN($J24)-LN(Home_Data!$B$62))/(LN(Home_Data!$B$63)-LN(Home_Data!$B$62)))))</f>
        <v>0.84</v>
      </c>
      <c r="AF24" s="38" t="n">
        <f aca="false">IF($E24&gt;=20,Home_Data!$B$80,IF($E24&gt;=10,Home_Data!$B$79,1))</f>
        <v>1</v>
      </c>
      <c r="AG24" s="38" t="n">
        <f aca="false">IF($D24&lt;1960,Home_Data!$B$81,IF($D24&lt;1980,Home_Data!$B$82,IF($D24&gt;=2000,Home_Data!$B$83,1)))</f>
        <v>0.95</v>
      </c>
      <c r="AH24" s="38" t="n">
        <f aca="false">IF($F24="brick",Home_Data!$B$78,1)</f>
        <v>1</v>
      </c>
      <c r="AI24" s="38" t="n">
        <f aca="false">IF($G24="rental",Home_Data!$B$84,IF($G24="vacation",Home_Data!$B$85,1))</f>
        <v>1</v>
      </c>
      <c r="AJ24" s="38" t="n">
        <f aca="false">INDEX(Home_Data!$B$70:$B$73,MIN(3,MAX(0,$H24))+1)</f>
        <v>1</v>
      </c>
      <c r="AK24" s="38" t="n">
        <f aca="false">IF(INDEX(Home_Data!$H$5:$H$56,V24)="Yes",1,IF($L24="poor",Home_Data!$B$74,IF($L24="fair",Home_Data!$B$75,IF($L24="excellent",Home_Data!$B$77,Home_Data!$B$76))))</f>
        <v>2.11</v>
      </c>
      <c r="AL24" s="38" t="n">
        <f aca="false">IF(($N24=1),Home_Data!$B$86,1)*IF(($O24=1),Home_Data!$B$87,1)*IF(($P24=1),Home_Data!$B$88,1)</f>
        <v>1.15</v>
      </c>
      <c r="AM24" s="34" t="n">
        <f aca="false">AC24*AD24*AE24*AF24*AG24*AH24*AI24*AJ24*AK24*AL24</f>
        <v>20323.3809155241</v>
      </c>
      <c r="AN24" s="34" t="n">
        <f aca="false">AM24*EXP(-Car_Data!$B$123*Home_Data!$B$91)</f>
        <v>14801.9926454893</v>
      </c>
      <c r="AO24" s="34" t="n">
        <f aca="false">AM24*EXP(Car_Data!$B$123*Home_Data!$B$91)</f>
        <v>27904.3384042861</v>
      </c>
      <c r="AP24" s="39" t="str">
        <f aca="false">IF($U24&gt;0,IF(AND($U24&gt;=AN24,$U24&lt;=AO24),1,0),"")</f>
        <v/>
      </c>
      <c r="AQ24" s="40" t="str">
        <f aca="false">IF($U24&gt;0,$U24/AM24-1,"")</f>
        <v/>
      </c>
    </row>
    <row r="25" customFormat="false" ht="15" hidden="false" customHeight="false" outlineLevel="0" collapsed="false">
      <c r="A25" s="6" t="s">
        <v>288</v>
      </c>
      <c r="B25" s="6" t="s">
        <v>56</v>
      </c>
      <c r="C25" s="6" t="n">
        <v>2100</v>
      </c>
      <c r="D25" s="6" t="n">
        <v>1958</v>
      </c>
      <c r="E25" s="6" t="n">
        <v>23</v>
      </c>
      <c r="F25" s="6" t="s">
        <v>261</v>
      </c>
      <c r="G25" s="6" t="s">
        <v>136</v>
      </c>
      <c r="H25" s="6" t="n">
        <v>0</v>
      </c>
      <c r="I25" s="23" t="n">
        <v>480000</v>
      </c>
      <c r="J25" s="23" t="n">
        <v>2500</v>
      </c>
      <c r="K25" s="6" t="n">
        <v>500</v>
      </c>
      <c r="L25" s="6" t="s">
        <v>271</v>
      </c>
      <c r="M25" s="6" t="n">
        <v>0</v>
      </c>
      <c r="N25" s="6" t="n">
        <v>0</v>
      </c>
      <c r="O25" s="6" t="n">
        <v>0</v>
      </c>
      <c r="P25" s="6" t="n">
        <v>0</v>
      </c>
      <c r="Q25" s="6" t="n">
        <v>0</v>
      </c>
      <c r="R25" s="6" t="s">
        <v>267</v>
      </c>
      <c r="S25" s="5"/>
      <c r="T25" s="32"/>
      <c r="U25" s="17"/>
      <c r="V25" s="33" t="n">
        <f aca="false">MATCH($B25,Home_Data!$B$5:$B$56,0)</f>
        <v>43</v>
      </c>
      <c r="W25" s="34" t="n">
        <f aca="false">MIN(MAX($I25,50000),3000000)</f>
        <v>480000</v>
      </c>
      <c r="X25" s="35" t="n">
        <f aca="false">IFERROR(MIN(3,MAX(1,MATCH(W25,Home_Data!$C$4:$F$4,1))),1)</f>
        <v>3</v>
      </c>
      <c r="Y25" s="36" t="n">
        <f aca="false">INDEX(Home_Data!$C$5:$F$56,V25,X25)</f>
        <v>5733</v>
      </c>
      <c r="Z25" s="36" t="n">
        <f aca="false">INDEX(Home_Data!$C$5:$F$56,V25,X25+1)</f>
        <v>7858</v>
      </c>
      <c r="AA25" s="36" t="n">
        <f aca="false">INDEX(Home_Data!$C$4:$F$4,X25)</f>
        <v>400000</v>
      </c>
      <c r="AB25" s="36" t="n">
        <f aca="false">INDEX(Home_Data!$C$4:$F$4,X25+1)</f>
        <v>600000</v>
      </c>
      <c r="AC25" s="36" t="n">
        <f aca="false">IF($I25&lt;200000,INDEX(Home_Data!$C$5:$F$56,V25,1)*(MAX($I25,Home_Data!$B$90)/200000)^Home_Data!$B$89,Y25*(W25/AA25)^(LN(Z25/Y25)/LN(AB25/AA25)))</f>
        <v>6606.23414025864</v>
      </c>
      <c r="AD25" s="37" t="n">
        <f aca="false">IF($K25=100,Home_Data!$B$67,IF($K25=500,Home_Data!$B$69,Home_Data!$B$68))</f>
        <v>1.005</v>
      </c>
      <c r="AE25" s="37" t="n">
        <f aca="false">IF($J25&lt;=Home_Data!$B$61,Home_Data!$B$64,IF($J25&gt;=Home_Data!$B$63,Home_Data!$B$66,IF($J25&lt;=Home_Data!$B$62,Home_Data!$B$64+(Home_Data!$B$65-Home_Data!$B$64)*(LN($J25)-LN(Home_Data!$B$61))/(LN(Home_Data!$B$62)-LN(Home_Data!$B$61)),Home_Data!$B$65+(Home_Data!$B$66-Home_Data!$B$65)*(LN($J25)-LN(Home_Data!$B$62))/(LN(Home_Data!$B$63)-LN(Home_Data!$B$62)))))</f>
        <v>0.91</v>
      </c>
      <c r="AF25" s="38" t="n">
        <f aca="false">IF($E25&gt;=20,Home_Data!$B$80,IF($E25&gt;=10,Home_Data!$B$79,1))</f>
        <v>1.3</v>
      </c>
      <c r="AG25" s="38" t="n">
        <f aca="false">IF($D25&lt;1960,Home_Data!$B$81,IF($D25&lt;1980,Home_Data!$B$82,IF($D25&gt;=2000,Home_Data!$B$83,1)))</f>
        <v>1.18</v>
      </c>
      <c r="AH25" s="38" t="n">
        <f aca="false">IF($F25="brick",Home_Data!$B$78,1)</f>
        <v>0.98</v>
      </c>
      <c r="AI25" s="38" t="n">
        <f aca="false">IF($G25="rental",Home_Data!$B$84,IF($G25="vacation",Home_Data!$B$85,1))</f>
        <v>1</v>
      </c>
      <c r="AJ25" s="38" t="n">
        <f aca="false">INDEX(Home_Data!$B$70:$B$73,MIN(3,MAX(0,$H25))+1)</f>
        <v>1</v>
      </c>
      <c r="AK25" s="38" t="n">
        <f aca="false">IF(INDEX(Home_Data!$H$5:$H$56,V25)="Yes",1,IF($L25="poor",Home_Data!$B$74,IF($L25="fair",Home_Data!$B$75,IF($L25="excellent",Home_Data!$B$77,Home_Data!$B$76))))</f>
        <v>1.07</v>
      </c>
      <c r="AL25" s="38" t="n">
        <f aca="false">IF(($N25=1),Home_Data!$B$86,1)*IF(($O25=1),Home_Data!$B$87,1)*IF(($P25=1),Home_Data!$B$88,1)</f>
        <v>1</v>
      </c>
      <c r="AM25" s="34" t="n">
        <f aca="false">AC25*AD25*AE25*AF25*AG25*AH25*AI25*AJ25*AK25*AL25</f>
        <v>9718.44159666502</v>
      </c>
      <c r="AN25" s="34" t="n">
        <f aca="false">AM25*EXP(-Car_Data!$B$123*Home_Data!$B$91)</f>
        <v>7078.16783228085</v>
      </c>
      <c r="AO25" s="34" t="n">
        <f aca="false">AM25*EXP(Car_Data!$B$123*Home_Data!$B$91)</f>
        <v>13343.5811788817</v>
      </c>
      <c r="AP25" s="39" t="str">
        <f aca="false">IF($U25&gt;0,IF(AND($U25&gt;=AN25,$U25&lt;=AO25),1,0),"")</f>
        <v/>
      </c>
      <c r="AQ25" s="40" t="str">
        <f aca="false">IF($U25&gt;0,$U25/AM25-1,"")</f>
        <v/>
      </c>
    </row>
    <row r="26" customFormat="false" ht="15" hidden="false" customHeight="false" outlineLevel="0" collapsed="false">
      <c r="A26" s="6" t="s">
        <v>289</v>
      </c>
      <c r="B26" s="6" t="s">
        <v>56</v>
      </c>
      <c r="C26" s="6" t="n">
        <v>1850</v>
      </c>
      <c r="D26" s="6" t="n">
        <v>1960</v>
      </c>
      <c r="E26" s="6" t="n">
        <v>18</v>
      </c>
      <c r="F26" s="6" t="s">
        <v>133</v>
      </c>
      <c r="G26" s="6" t="s">
        <v>136</v>
      </c>
      <c r="H26" s="6" t="n">
        <v>2</v>
      </c>
      <c r="I26" s="23" t="n">
        <v>415000</v>
      </c>
      <c r="J26" s="23" t="n">
        <v>1000</v>
      </c>
      <c r="K26" s="6" t="n">
        <v>300</v>
      </c>
      <c r="L26" s="6" t="s">
        <v>271</v>
      </c>
      <c r="M26" s="6" t="n">
        <v>0</v>
      </c>
      <c r="N26" s="6" t="n">
        <v>1</v>
      </c>
      <c r="O26" s="6" t="n">
        <v>0</v>
      </c>
      <c r="P26" s="6" t="n">
        <v>1</v>
      </c>
      <c r="Q26" s="6" t="n">
        <v>0</v>
      </c>
      <c r="R26" s="6" t="s">
        <v>269</v>
      </c>
      <c r="S26" s="5"/>
      <c r="T26" s="32"/>
      <c r="U26" s="17"/>
      <c r="V26" s="33" t="n">
        <f aca="false">MATCH($B26,Home_Data!$B$5:$B$56,0)</f>
        <v>43</v>
      </c>
      <c r="W26" s="34" t="n">
        <f aca="false">MIN(MAX($I26,50000),3000000)</f>
        <v>415000</v>
      </c>
      <c r="X26" s="35" t="n">
        <f aca="false">IFERROR(MIN(3,MAX(1,MATCH(W26,Home_Data!$C$4:$F$4,1))),1)</f>
        <v>3</v>
      </c>
      <c r="Y26" s="36" t="n">
        <f aca="false">INDEX(Home_Data!$C$5:$F$56,V26,X26)</f>
        <v>5733</v>
      </c>
      <c r="Z26" s="36" t="n">
        <f aca="false">INDEX(Home_Data!$C$5:$F$56,V26,X26+1)</f>
        <v>7858</v>
      </c>
      <c r="AA26" s="36" t="n">
        <f aca="false">INDEX(Home_Data!$C$4:$F$4,X26)</f>
        <v>400000</v>
      </c>
      <c r="AB26" s="36" t="n">
        <f aca="false">INDEX(Home_Data!$C$4:$F$4,X26+1)</f>
        <v>600000</v>
      </c>
      <c r="AC26" s="36" t="n">
        <f aca="false">IF($I26&lt;200000,INDEX(Home_Data!$C$5:$F$56,V26,1)*(MAX($I26,Home_Data!$B$90)/200000)^Home_Data!$B$89,Y26*(W26/AA26)^(LN(Z26/Y26)/LN(AB26/AA26)))</f>
        <v>5899.48947277356</v>
      </c>
      <c r="AD26" s="37" t="n">
        <f aca="false">IF($K26=100,Home_Data!$B$67,IF($K26=500,Home_Data!$B$69,Home_Data!$B$68))</f>
        <v>1</v>
      </c>
      <c r="AE26" s="37" t="n">
        <f aca="false">IF($J26&lt;=Home_Data!$B$61,Home_Data!$B$64,IF($J26&gt;=Home_Data!$B$63,Home_Data!$B$66,IF($J26&lt;=Home_Data!$B$62,Home_Data!$B$64+(Home_Data!$B$65-Home_Data!$B$64)*(LN($J26)-LN(Home_Data!$B$61))/(LN(Home_Data!$B$62)-LN(Home_Data!$B$61)),Home_Data!$B$65+(Home_Data!$B$66-Home_Data!$B$65)*(LN($J26)-LN(Home_Data!$B$62))/(LN(Home_Data!$B$63)-LN(Home_Data!$B$62)))))</f>
        <v>1</v>
      </c>
      <c r="AF26" s="38" t="n">
        <f aca="false">IF($E26&gt;=20,Home_Data!$B$80,IF($E26&gt;=10,Home_Data!$B$79,1))</f>
        <v>1.1</v>
      </c>
      <c r="AG26" s="38" t="n">
        <f aca="false">IF($D26&lt;1960,Home_Data!$B$81,IF($D26&lt;1980,Home_Data!$B$82,IF($D26&gt;=2000,Home_Data!$B$83,1)))</f>
        <v>1.08</v>
      </c>
      <c r="AH26" s="38" t="n">
        <f aca="false">IF($F26="brick",Home_Data!$B$78,1)</f>
        <v>1</v>
      </c>
      <c r="AI26" s="38" t="n">
        <f aca="false">IF($G26="rental",Home_Data!$B$84,IF($G26="vacation",Home_Data!$B$85,1))</f>
        <v>1</v>
      </c>
      <c r="AJ26" s="38" t="n">
        <f aca="false">INDEX(Home_Data!$B$70:$B$73,MIN(3,MAX(0,$H26))+1)</f>
        <v>1.29</v>
      </c>
      <c r="AK26" s="38" t="n">
        <f aca="false">IF(INDEX(Home_Data!$H$5:$H$56,V26)="Yes",1,IF($L26="poor",Home_Data!$B$74,IF($L26="fair",Home_Data!$B$75,IF($L26="excellent",Home_Data!$B$77,Home_Data!$B$76))))</f>
        <v>1.07</v>
      </c>
      <c r="AL26" s="38" t="n">
        <f aca="false">IF(($N26=1),Home_Data!$B$86,1)*IF(($O26=1),Home_Data!$B$87,1)*IF(($P26=1),Home_Data!$B$88,1)</f>
        <v>1.242</v>
      </c>
      <c r="AM26" s="34" t="n">
        <f aca="false">AC26*AD26*AE26*AF26*AG26*AH26*AI26*AJ26*AK26*AL26</f>
        <v>12015.0603063206</v>
      </c>
      <c r="AN26" s="34" t="n">
        <f aca="false">AM26*EXP(-Car_Data!$B$123*Home_Data!$B$91)</f>
        <v>8750.84883900492</v>
      </c>
      <c r="AO26" s="34" t="n">
        <f aca="false">AM26*EXP(Car_Data!$B$123*Home_Data!$B$91)</f>
        <v>16496.8766825296</v>
      </c>
      <c r="AP26" s="39" t="str">
        <f aca="false">IF($U26&gt;0,IF(AND($U26&gt;=AN26,$U26&lt;=AO26),1,0),"")</f>
        <v/>
      </c>
      <c r="AQ26" s="40" t="str">
        <f aca="false">IF($U26&gt;0,$U26/AM26-1,"")</f>
        <v/>
      </c>
    </row>
    <row r="27" customFormat="false" ht="15" hidden="false" customHeight="false" outlineLevel="0" collapsed="false">
      <c r="A27" s="6" t="s">
        <v>290</v>
      </c>
      <c r="B27" s="6" t="s">
        <v>56</v>
      </c>
      <c r="C27" s="6" t="n">
        <v>1750</v>
      </c>
      <c r="D27" s="6" t="n">
        <v>1982</v>
      </c>
      <c r="E27" s="6" t="n">
        <v>11</v>
      </c>
      <c r="F27" s="6" t="s">
        <v>133</v>
      </c>
      <c r="G27" s="6" t="s">
        <v>136</v>
      </c>
      <c r="H27" s="6" t="n">
        <v>0</v>
      </c>
      <c r="I27" s="23" t="n">
        <v>420000</v>
      </c>
      <c r="J27" s="23" t="n">
        <v>2500</v>
      </c>
      <c r="K27" s="6" t="n">
        <v>300</v>
      </c>
      <c r="L27" s="6" t="s">
        <v>72</v>
      </c>
      <c r="M27" s="6" t="n">
        <v>0</v>
      </c>
      <c r="N27" s="6" t="n">
        <v>0</v>
      </c>
      <c r="O27" s="6" t="n">
        <v>0</v>
      </c>
      <c r="P27" s="6" t="n">
        <v>1</v>
      </c>
      <c r="Q27" s="6" t="n">
        <v>0</v>
      </c>
      <c r="R27" s="6" t="s">
        <v>262</v>
      </c>
      <c r="S27" s="5"/>
      <c r="T27" s="32"/>
      <c r="U27" s="17"/>
      <c r="V27" s="33" t="n">
        <f aca="false">MATCH($B27,Home_Data!$B$5:$B$56,0)</f>
        <v>43</v>
      </c>
      <c r="W27" s="34" t="n">
        <f aca="false">MIN(MAX($I27,50000),3000000)</f>
        <v>420000</v>
      </c>
      <c r="X27" s="35" t="n">
        <f aca="false">IFERROR(MIN(3,MAX(1,MATCH(W27,Home_Data!$C$4:$F$4,1))),1)</f>
        <v>3</v>
      </c>
      <c r="Y27" s="36" t="n">
        <f aca="false">INDEX(Home_Data!$C$5:$F$56,V27,X27)</f>
        <v>5733</v>
      </c>
      <c r="Z27" s="36" t="n">
        <f aca="false">INDEX(Home_Data!$C$5:$F$56,V27,X27+1)</f>
        <v>7858</v>
      </c>
      <c r="AA27" s="36" t="n">
        <f aca="false">INDEX(Home_Data!$C$4:$F$4,X27)</f>
        <v>400000</v>
      </c>
      <c r="AB27" s="36" t="n">
        <f aca="false">INDEX(Home_Data!$C$4:$F$4,X27+1)</f>
        <v>600000</v>
      </c>
      <c r="AC27" s="36" t="n">
        <f aca="false">IF($I27&lt;200000,INDEX(Home_Data!$C$5:$F$56,V27,1)*(MAX($I27,Home_Data!$B$90)/200000)^Home_Data!$B$89,Y27*(W27/AA27)^(LN(Z27/Y27)/LN(AB27/AA27)))</f>
        <v>5954.6867980681</v>
      </c>
      <c r="AD27" s="37" t="n">
        <f aca="false">IF($K27=100,Home_Data!$B$67,IF($K27=500,Home_Data!$B$69,Home_Data!$B$68))</f>
        <v>1</v>
      </c>
      <c r="AE27" s="37" t="n">
        <f aca="false">IF($J27&lt;=Home_Data!$B$61,Home_Data!$B$64,IF($J27&gt;=Home_Data!$B$63,Home_Data!$B$66,IF($J27&lt;=Home_Data!$B$62,Home_Data!$B$64+(Home_Data!$B$65-Home_Data!$B$64)*(LN($J27)-LN(Home_Data!$B$61))/(LN(Home_Data!$B$62)-LN(Home_Data!$B$61)),Home_Data!$B$65+(Home_Data!$B$66-Home_Data!$B$65)*(LN($J27)-LN(Home_Data!$B$62))/(LN(Home_Data!$B$63)-LN(Home_Data!$B$62)))))</f>
        <v>0.91</v>
      </c>
      <c r="AF27" s="38" t="n">
        <f aca="false">IF($E27&gt;=20,Home_Data!$B$80,IF($E27&gt;=10,Home_Data!$B$79,1))</f>
        <v>1.1</v>
      </c>
      <c r="AG27" s="38" t="n">
        <f aca="false">IF($D27&lt;1960,Home_Data!$B$81,IF($D27&lt;1980,Home_Data!$B$82,IF($D27&gt;=2000,Home_Data!$B$83,1)))</f>
        <v>1</v>
      </c>
      <c r="AH27" s="38" t="n">
        <f aca="false">IF($F27="brick",Home_Data!$B$78,1)</f>
        <v>1</v>
      </c>
      <c r="AI27" s="38" t="n">
        <f aca="false">IF($G27="rental",Home_Data!$B$84,IF($G27="vacation",Home_Data!$B$85,1))</f>
        <v>1</v>
      </c>
      <c r="AJ27" s="38" t="n">
        <f aca="false">INDEX(Home_Data!$B$70:$B$73,MIN(3,MAX(0,$H27))+1)</f>
        <v>1</v>
      </c>
      <c r="AK27" s="38" t="n">
        <f aca="false">IF(INDEX(Home_Data!$H$5:$H$56,V27)="Yes",1,IF($L27="poor",Home_Data!$B$74,IF($L27="fair",Home_Data!$B$75,IF($L27="excellent",Home_Data!$B$77,Home_Data!$B$76))))</f>
        <v>1</v>
      </c>
      <c r="AL27" s="38" t="n">
        <f aca="false">IF(($N27=1),Home_Data!$B$86,1)*IF(($O27=1),Home_Data!$B$87,1)*IF(($P27=1),Home_Data!$B$88,1)</f>
        <v>1.08</v>
      </c>
      <c r="AM27" s="34" t="n">
        <f aca="false">AC27*AD27*AE27*AF27*AG27*AH27*AI27*AJ27*AK27*AL27</f>
        <v>6437.49280365546</v>
      </c>
      <c r="AN27" s="34" t="n">
        <f aca="false">AM27*EXP(-Car_Data!$B$123*Home_Data!$B$91)</f>
        <v>4688.5762526998</v>
      </c>
      <c r="AO27" s="34" t="n">
        <f aca="false">AM27*EXP(Car_Data!$B$123*Home_Data!$B$91)</f>
        <v>8838.78417744681</v>
      </c>
      <c r="AP27" s="39" t="str">
        <f aca="false">IF($U27&gt;0,IF(AND($U27&gt;=AN27,$U27&lt;=AO27),1,0),"")</f>
        <v/>
      </c>
      <c r="AQ27" s="40" t="str">
        <f aca="false">IF($U27&gt;0,$U27/AM27-1,"")</f>
        <v/>
      </c>
    </row>
    <row r="28" customFormat="false" ht="15" hidden="false" customHeight="false" outlineLevel="0" collapsed="false">
      <c r="A28" s="6" t="s">
        <v>291</v>
      </c>
      <c r="B28" s="6" t="s">
        <v>56</v>
      </c>
      <c r="C28" s="6" t="n">
        <v>3450</v>
      </c>
      <c r="D28" s="6" t="n">
        <v>1958</v>
      </c>
      <c r="E28" s="6" t="n">
        <v>10</v>
      </c>
      <c r="F28" s="6" t="s">
        <v>133</v>
      </c>
      <c r="G28" s="6" t="s">
        <v>136</v>
      </c>
      <c r="H28" s="6" t="n">
        <v>1</v>
      </c>
      <c r="I28" s="23" t="n">
        <v>895000</v>
      </c>
      <c r="J28" s="23" t="n">
        <v>1000</v>
      </c>
      <c r="K28" s="6" t="n">
        <v>500</v>
      </c>
      <c r="L28" s="6" t="s">
        <v>264</v>
      </c>
      <c r="M28" s="6" t="n">
        <v>1</v>
      </c>
      <c r="N28" s="6" t="n">
        <v>0</v>
      </c>
      <c r="O28" s="6" t="n">
        <v>0</v>
      </c>
      <c r="P28" s="6" t="n">
        <v>0</v>
      </c>
      <c r="Q28" s="6" t="n">
        <v>0</v>
      </c>
      <c r="R28" s="6" t="s">
        <v>285</v>
      </c>
      <c r="S28" s="5"/>
      <c r="T28" s="32"/>
      <c r="U28" s="17"/>
      <c r="V28" s="33" t="n">
        <f aca="false">MATCH($B28,Home_Data!$B$5:$B$56,0)</f>
        <v>43</v>
      </c>
      <c r="W28" s="34" t="n">
        <f aca="false">MIN(MAX($I28,50000),3000000)</f>
        <v>895000</v>
      </c>
      <c r="X28" s="35" t="n">
        <f aca="false">IFERROR(MIN(3,MAX(1,MATCH(W28,Home_Data!$C$4:$F$4,1))),1)</f>
        <v>3</v>
      </c>
      <c r="Y28" s="36" t="n">
        <f aca="false">INDEX(Home_Data!$C$5:$F$56,V28,X28)</f>
        <v>5733</v>
      </c>
      <c r="Z28" s="36" t="n">
        <f aca="false">INDEX(Home_Data!$C$5:$F$56,V28,X28+1)</f>
        <v>7858</v>
      </c>
      <c r="AA28" s="36" t="n">
        <f aca="false">INDEX(Home_Data!$C$4:$F$4,X28)</f>
        <v>400000</v>
      </c>
      <c r="AB28" s="36" t="n">
        <f aca="false">INDEX(Home_Data!$C$4:$F$4,X28+1)</f>
        <v>600000</v>
      </c>
      <c r="AC28" s="36" t="n">
        <f aca="false">IF($I28&lt;200000,INDEX(Home_Data!$C$5:$F$56,V28,1)*(MAX($I28,Home_Data!$B$90)/200000)^Home_Data!$B$89,Y28*(W28/AA28)^(LN(Z28/Y28)/LN(AB28/AA28)))</f>
        <v>10724.0962511659</v>
      </c>
      <c r="AD28" s="37" t="n">
        <f aca="false">IF($K28=100,Home_Data!$B$67,IF($K28=500,Home_Data!$B$69,Home_Data!$B$68))</f>
        <v>1.005</v>
      </c>
      <c r="AE28" s="37" t="n">
        <f aca="false">IF($J28&lt;=Home_Data!$B$61,Home_Data!$B$64,IF($J28&gt;=Home_Data!$B$63,Home_Data!$B$66,IF($J28&lt;=Home_Data!$B$62,Home_Data!$B$64+(Home_Data!$B$65-Home_Data!$B$64)*(LN($J28)-LN(Home_Data!$B$61))/(LN(Home_Data!$B$62)-LN(Home_Data!$B$61)),Home_Data!$B$65+(Home_Data!$B$66-Home_Data!$B$65)*(LN($J28)-LN(Home_Data!$B$62))/(LN(Home_Data!$B$63)-LN(Home_Data!$B$62)))))</f>
        <v>1</v>
      </c>
      <c r="AF28" s="38" t="n">
        <f aca="false">IF($E28&gt;=20,Home_Data!$B$80,IF($E28&gt;=10,Home_Data!$B$79,1))</f>
        <v>1.1</v>
      </c>
      <c r="AG28" s="38" t="n">
        <f aca="false">IF($D28&lt;1960,Home_Data!$B$81,IF($D28&lt;1980,Home_Data!$B$82,IF($D28&gt;=2000,Home_Data!$B$83,1)))</f>
        <v>1.18</v>
      </c>
      <c r="AH28" s="38" t="n">
        <f aca="false">IF($F28="brick",Home_Data!$B$78,1)</f>
        <v>1</v>
      </c>
      <c r="AI28" s="38" t="n">
        <f aca="false">IF($G28="rental",Home_Data!$B$84,IF($G28="vacation",Home_Data!$B$85,1))</f>
        <v>1</v>
      </c>
      <c r="AJ28" s="38" t="n">
        <f aca="false">INDEX(Home_Data!$B$70:$B$73,MIN(3,MAX(0,$H28))+1)</f>
        <v>1.16</v>
      </c>
      <c r="AK28" s="38" t="n">
        <f aca="false">IF(INDEX(Home_Data!$H$5:$H$56,V28)="Yes",1,IF($L28="poor",Home_Data!$B$74,IF($L28="fair",Home_Data!$B$75,IF($L28="excellent",Home_Data!$B$77,Home_Data!$B$76))))</f>
        <v>0.89</v>
      </c>
      <c r="AL28" s="38" t="n">
        <f aca="false">IF(($N28=1),Home_Data!$B$86,1)*IF(($O28=1),Home_Data!$B$87,1)*IF(($P28=1),Home_Data!$B$88,1)</f>
        <v>1</v>
      </c>
      <c r="AM28" s="34" t="n">
        <f aca="false">AC28*AD28*AE28*AF28*AG28*AH28*AI28*AJ28*AK28*AL28</f>
        <v>14442.7353514087</v>
      </c>
      <c r="AN28" s="34" t="n">
        <f aca="false">AM28*EXP(-Car_Data!$B$123*Home_Data!$B$91)</f>
        <v>10518.981233531</v>
      </c>
      <c r="AO28" s="34" t="n">
        <f aca="false">AM28*EXP(Car_Data!$B$123*Home_Data!$B$91)</f>
        <v>19830.1147040653</v>
      </c>
      <c r="AP28" s="39" t="str">
        <f aca="false">IF($U28&gt;0,IF(AND($U28&gt;=AN28,$U28&lt;=AO28),1,0),"")</f>
        <v/>
      </c>
      <c r="AQ28" s="40" t="str">
        <f aca="false">IF($U28&gt;0,$U28/AM28-1,"")</f>
        <v/>
      </c>
    </row>
    <row r="29" customFormat="false" ht="15" hidden="false" customHeight="false" outlineLevel="0" collapsed="false">
      <c r="A29" s="6" t="s">
        <v>292</v>
      </c>
      <c r="B29" s="6" t="s">
        <v>56</v>
      </c>
      <c r="C29" s="6" t="n">
        <v>2600</v>
      </c>
      <c r="D29" s="6" t="n">
        <v>1991</v>
      </c>
      <c r="E29" s="6" t="n">
        <v>1</v>
      </c>
      <c r="F29" s="6" t="s">
        <v>133</v>
      </c>
      <c r="G29" s="6" t="s">
        <v>136</v>
      </c>
      <c r="H29" s="6" t="n">
        <v>0</v>
      </c>
      <c r="I29" s="23" t="n">
        <v>545000</v>
      </c>
      <c r="J29" s="23" t="n">
        <v>2500</v>
      </c>
      <c r="K29" s="6" t="n">
        <v>500</v>
      </c>
      <c r="L29" s="6" t="s">
        <v>264</v>
      </c>
      <c r="M29" s="6" t="n">
        <v>0</v>
      </c>
      <c r="N29" s="6" t="n">
        <v>1</v>
      </c>
      <c r="O29" s="6" t="n">
        <v>0</v>
      </c>
      <c r="P29" s="6" t="n">
        <v>0</v>
      </c>
      <c r="Q29" s="6" t="n">
        <v>0</v>
      </c>
      <c r="R29" s="6" t="s">
        <v>265</v>
      </c>
      <c r="S29" s="5"/>
      <c r="T29" s="32"/>
      <c r="U29" s="17"/>
      <c r="V29" s="33" t="n">
        <f aca="false">MATCH($B29,Home_Data!$B$5:$B$56,0)</f>
        <v>43</v>
      </c>
      <c r="W29" s="34" t="n">
        <f aca="false">MIN(MAX($I29,50000),3000000)</f>
        <v>545000</v>
      </c>
      <c r="X29" s="35" t="n">
        <f aca="false">IFERROR(MIN(3,MAX(1,MATCH(W29,Home_Data!$C$4:$F$4,1))),1)</f>
        <v>3</v>
      </c>
      <c r="Y29" s="36" t="n">
        <f aca="false">INDEX(Home_Data!$C$5:$F$56,V29,X29)</f>
        <v>5733</v>
      </c>
      <c r="Z29" s="36" t="n">
        <f aca="false">INDEX(Home_Data!$C$5:$F$56,V29,X29+1)</f>
        <v>7858</v>
      </c>
      <c r="AA29" s="36" t="n">
        <f aca="false">INDEX(Home_Data!$C$4:$F$4,X29)</f>
        <v>400000</v>
      </c>
      <c r="AB29" s="36" t="n">
        <f aca="false">INDEX(Home_Data!$C$4:$F$4,X29+1)</f>
        <v>600000</v>
      </c>
      <c r="AC29" s="36" t="n">
        <f aca="false">IF($I29&lt;200000,INDEX(Home_Data!$C$5:$F$56,V29,1)*(MAX($I29,Home_Data!$B$90)/200000)^Home_Data!$B$89,Y29*(W29/AA29)^(LN(Z29/Y29)/LN(AB29/AA29)))</f>
        <v>7291.94143553508</v>
      </c>
      <c r="AD29" s="37" t="n">
        <f aca="false">IF($K29=100,Home_Data!$B$67,IF($K29=500,Home_Data!$B$69,Home_Data!$B$68))</f>
        <v>1.005</v>
      </c>
      <c r="AE29" s="37" t="n">
        <f aca="false">IF($J29&lt;=Home_Data!$B$61,Home_Data!$B$64,IF($J29&gt;=Home_Data!$B$63,Home_Data!$B$66,IF($J29&lt;=Home_Data!$B$62,Home_Data!$B$64+(Home_Data!$B$65-Home_Data!$B$64)*(LN($J29)-LN(Home_Data!$B$61))/(LN(Home_Data!$B$62)-LN(Home_Data!$B$61)),Home_Data!$B$65+(Home_Data!$B$66-Home_Data!$B$65)*(LN($J29)-LN(Home_Data!$B$62))/(LN(Home_Data!$B$63)-LN(Home_Data!$B$62)))))</f>
        <v>0.91</v>
      </c>
      <c r="AF29" s="38" t="n">
        <f aca="false">IF($E29&gt;=20,Home_Data!$B$80,IF($E29&gt;=10,Home_Data!$B$79,1))</f>
        <v>1</v>
      </c>
      <c r="AG29" s="38" t="n">
        <f aca="false">IF($D29&lt;1960,Home_Data!$B$81,IF($D29&lt;1980,Home_Data!$B$82,IF($D29&gt;=2000,Home_Data!$B$83,1)))</f>
        <v>1</v>
      </c>
      <c r="AH29" s="38" t="n">
        <f aca="false">IF($F29="brick",Home_Data!$B$78,1)</f>
        <v>1</v>
      </c>
      <c r="AI29" s="38" t="n">
        <f aca="false">IF($G29="rental",Home_Data!$B$84,IF($G29="vacation",Home_Data!$B$85,1))</f>
        <v>1</v>
      </c>
      <c r="AJ29" s="38" t="n">
        <f aca="false">INDEX(Home_Data!$B$70:$B$73,MIN(3,MAX(0,$H29))+1)</f>
        <v>1</v>
      </c>
      <c r="AK29" s="38" t="n">
        <f aca="false">IF(INDEX(Home_Data!$H$5:$H$56,V29)="Yes",1,IF($L29="poor",Home_Data!$B$74,IF($L29="fair",Home_Data!$B$75,IF($L29="excellent",Home_Data!$B$77,Home_Data!$B$76))))</f>
        <v>0.89</v>
      </c>
      <c r="AL29" s="38" t="n">
        <f aca="false">IF(($N29=1),Home_Data!$B$86,1)*IF(($O29=1),Home_Data!$B$87,1)*IF(($P29=1),Home_Data!$B$88,1)</f>
        <v>1.15</v>
      </c>
      <c r="AM29" s="34" t="n">
        <f aca="false">AC29*AD29*AE29*AF29*AG29*AH29*AI29*AJ29*AK29*AL29</f>
        <v>6825.56289830552</v>
      </c>
      <c r="AN29" s="34" t="n">
        <f aca="false">AM29*EXP(-Car_Data!$B$123*Home_Data!$B$91)</f>
        <v>4971.21675975031</v>
      </c>
      <c r="AO29" s="34" t="n">
        <f aca="false">AM29*EXP(Car_Data!$B$123*Home_Data!$B$91)</f>
        <v>9371.61084101768</v>
      </c>
      <c r="AP29" s="39" t="str">
        <f aca="false">IF($U29&gt;0,IF(AND($U29&gt;=AN29,$U29&lt;=AO29),1,0),"")</f>
        <v/>
      </c>
      <c r="AQ29" s="40" t="str">
        <f aca="false">IF($U29&gt;0,$U29/AM29-1,"")</f>
        <v/>
      </c>
    </row>
    <row r="30" customFormat="false" ht="15" hidden="false" customHeight="false" outlineLevel="0" collapsed="false">
      <c r="A30" s="6" t="s">
        <v>293</v>
      </c>
      <c r="B30" s="6" t="s">
        <v>56</v>
      </c>
      <c r="C30" s="6" t="n">
        <v>1950</v>
      </c>
      <c r="D30" s="6" t="n">
        <v>1976</v>
      </c>
      <c r="E30" s="6" t="n">
        <v>0</v>
      </c>
      <c r="F30" s="6" t="s">
        <v>133</v>
      </c>
      <c r="G30" s="6" t="s">
        <v>136</v>
      </c>
      <c r="H30" s="6" t="n">
        <v>0</v>
      </c>
      <c r="I30" s="23" t="n">
        <v>430000</v>
      </c>
      <c r="J30" s="23" t="n">
        <v>1000</v>
      </c>
      <c r="K30" s="6" t="n">
        <v>300</v>
      </c>
      <c r="L30" s="6" t="s">
        <v>72</v>
      </c>
      <c r="M30" s="6" t="n">
        <v>0</v>
      </c>
      <c r="N30" s="6" t="n">
        <v>0</v>
      </c>
      <c r="O30" s="6" t="n">
        <v>0</v>
      </c>
      <c r="P30" s="6" t="n">
        <v>1</v>
      </c>
      <c r="Q30" s="6" t="n">
        <v>0</v>
      </c>
      <c r="R30" s="6" t="s">
        <v>262</v>
      </c>
      <c r="S30" s="5"/>
      <c r="T30" s="32"/>
      <c r="U30" s="17"/>
      <c r="V30" s="33" t="n">
        <f aca="false">MATCH($B30,Home_Data!$B$5:$B$56,0)</f>
        <v>43</v>
      </c>
      <c r="W30" s="34" t="n">
        <f aca="false">MIN(MAX($I30,50000),3000000)</f>
        <v>430000</v>
      </c>
      <c r="X30" s="35" t="n">
        <f aca="false">IFERROR(MIN(3,MAX(1,MATCH(W30,Home_Data!$C$4:$F$4,1))),1)</f>
        <v>3</v>
      </c>
      <c r="Y30" s="36" t="n">
        <f aca="false">INDEX(Home_Data!$C$5:$F$56,V30,X30)</f>
        <v>5733</v>
      </c>
      <c r="Z30" s="36" t="n">
        <f aca="false">INDEX(Home_Data!$C$5:$F$56,V30,X30+1)</f>
        <v>7858</v>
      </c>
      <c r="AA30" s="36" t="n">
        <f aca="false">INDEX(Home_Data!$C$4:$F$4,X30)</f>
        <v>400000</v>
      </c>
      <c r="AB30" s="36" t="n">
        <f aca="false">INDEX(Home_Data!$C$4:$F$4,X30+1)</f>
        <v>600000</v>
      </c>
      <c r="AC30" s="36" t="n">
        <f aca="false">IF($I30&lt;200000,INDEX(Home_Data!$C$5:$F$56,V30,1)*(MAX($I30,Home_Data!$B$90)/200000)^Home_Data!$B$89,Y30*(W30/AA30)^(LN(Z30/Y30)/LN(AB30/AA30)))</f>
        <v>6064.64570577613</v>
      </c>
      <c r="AD30" s="37" t="n">
        <f aca="false">IF($K30=100,Home_Data!$B$67,IF($K30=500,Home_Data!$B$69,Home_Data!$B$68))</f>
        <v>1</v>
      </c>
      <c r="AE30" s="37" t="n">
        <f aca="false">IF($J30&lt;=Home_Data!$B$61,Home_Data!$B$64,IF($J30&gt;=Home_Data!$B$63,Home_Data!$B$66,IF($J30&lt;=Home_Data!$B$62,Home_Data!$B$64+(Home_Data!$B$65-Home_Data!$B$64)*(LN($J30)-LN(Home_Data!$B$61))/(LN(Home_Data!$B$62)-LN(Home_Data!$B$61)),Home_Data!$B$65+(Home_Data!$B$66-Home_Data!$B$65)*(LN($J30)-LN(Home_Data!$B$62))/(LN(Home_Data!$B$63)-LN(Home_Data!$B$62)))))</f>
        <v>1</v>
      </c>
      <c r="AF30" s="38" t="n">
        <f aca="false">IF($E30&gt;=20,Home_Data!$B$80,IF($E30&gt;=10,Home_Data!$B$79,1))</f>
        <v>1</v>
      </c>
      <c r="AG30" s="38" t="n">
        <f aca="false">IF($D30&lt;1960,Home_Data!$B$81,IF($D30&lt;1980,Home_Data!$B$82,IF($D30&gt;=2000,Home_Data!$B$83,1)))</f>
        <v>1.08</v>
      </c>
      <c r="AH30" s="38" t="n">
        <f aca="false">IF($F30="brick",Home_Data!$B$78,1)</f>
        <v>1</v>
      </c>
      <c r="AI30" s="38" t="n">
        <f aca="false">IF($G30="rental",Home_Data!$B$84,IF($G30="vacation",Home_Data!$B$85,1))</f>
        <v>1</v>
      </c>
      <c r="AJ30" s="38" t="n">
        <f aca="false">INDEX(Home_Data!$B$70:$B$73,MIN(3,MAX(0,$H30))+1)</f>
        <v>1</v>
      </c>
      <c r="AK30" s="38" t="n">
        <f aca="false">IF(INDEX(Home_Data!$H$5:$H$56,V30)="Yes",1,IF($L30="poor",Home_Data!$B$74,IF($L30="fair",Home_Data!$B$75,IF($L30="excellent",Home_Data!$B$77,Home_Data!$B$76))))</f>
        <v>1</v>
      </c>
      <c r="AL30" s="38" t="n">
        <f aca="false">IF(($N30=1),Home_Data!$B$86,1)*IF(($O30=1),Home_Data!$B$87,1)*IF(($P30=1),Home_Data!$B$88,1)</f>
        <v>1.08</v>
      </c>
      <c r="AM30" s="34" t="n">
        <f aca="false">AC30*AD30*AE30*AF30*AG30*AH30*AI30*AJ30*AK30*AL30</f>
        <v>7073.80275121728</v>
      </c>
      <c r="AN30" s="34" t="n">
        <f aca="false">AM30*EXP(-Car_Data!$B$123*Home_Data!$B$91)</f>
        <v>5152.01563826322</v>
      </c>
      <c r="AO30" s="34" t="n">
        <f aca="false">AM30*EXP(Car_Data!$B$123*Home_Data!$B$91)</f>
        <v>9712.44826811077</v>
      </c>
      <c r="AP30" s="39" t="str">
        <f aca="false">IF($U30&gt;0,IF(AND($U30&gt;=AN30,$U30&lt;=AO30),1,0),"")</f>
        <v/>
      </c>
      <c r="AQ30" s="40" t="str">
        <f aca="false">IF($U30&gt;0,$U30/AM30-1,"")</f>
        <v/>
      </c>
    </row>
    <row r="31" customFormat="false" ht="15" hidden="false" customHeight="false" outlineLevel="0" collapsed="false">
      <c r="A31" s="6" t="s">
        <v>294</v>
      </c>
      <c r="B31" s="6" t="s">
        <v>56</v>
      </c>
      <c r="C31" s="6" t="n">
        <v>3350</v>
      </c>
      <c r="D31" s="6" t="n">
        <v>1957</v>
      </c>
      <c r="E31" s="6" t="n">
        <v>22</v>
      </c>
      <c r="F31" s="6" t="s">
        <v>133</v>
      </c>
      <c r="G31" s="6" t="s">
        <v>136</v>
      </c>
      <c r="H31" s="6" t="n">
        <v>0</v>
      </c>
      <c r="I31" s="23" t="n">
        <v>915000</v>
      </c>
      <c r="J31" s="23" t="n">
        <v>1000</v>
      </c>
      <c r="K31" s="6" t="n">
        <v>300</v>
      </c>
      <c r="L31" s="6" t="s">
        <v>264</v>
      </c>
      <c r="M31" s="6" t="n">
        <v>1</v>
      </c>
      <c r="N31" s="6" t="n">
        <v>0</v>
      </c>
      <c r="O31" s="6" t="n">
        <v>0</v>
      </c>
      <c r="P31" s="6" t="n">
        <v>0</v>
      </c>
      <c r="Q31" s="6" t="n">
        <v>0</v>
      </c>
      <c r="R31" s="6" t="s">
        <v>285</v>
      </c>
      <c r="S31" s="5"/>
      <c r="T31" s="32"/>
      <c r="U31" s="17"/>
      <c r="V31" s="33" t="n">
        <f aca="false">MATCH($B31,Home_Data!$B$5:$B$56,0)</f>
        <v>43</v>
      </c>
      <c r="W31" s="34" t="n">
        <f aca="false">MIN(MAX($I31,50000),3000000)</f>
        <v>915000</v>
      </c>
      <c r="X31" s="35" t="n">
        <f aca="false">IFERROR(MIN(3,MAX(1,MATCH(W31,Home_Data!$C$4:$F$4,1))),1)</f>
        <v>3</v>
      </c>
      <c r="Y31" s="36" t="n">
        <f aca="false">INDEX(Home_Data!$C$5:$F$56,V31,X31)</f>
        <v>5733</v>
      </c>
      <c r="Z31" s="36" t="n">
        <f aca="false">INDEX(Home_Data!$C$5:$F$56,V31,X31+1)</f>
        <v>7858</v>
      </c>
      <c r="AA31" s="36" t="n">
        <f aca="false">INDEX(Home_Data!$C$4:$F$4,X31)</f>
        <v>400000</v>
      </c>
      <c r="AB31" s="36" t="n">
        <f aca="false">INDEX(Home_Data!$C$4:$F$4,X31+1)</f>
        <v>600000</v>
      </c>
      <c r="AC31" s="36" t="n">
        <f aca="false">IF($I31&lt;200000,INDEX(Home_Data!$C$5:$F$56,V31,1)*(MAX($I31,Home_Data!$B$90)/200000)^Home_Data!$B$89,Y31*(W31/AA31)^(LN(Z31/Y31)/LN(AB31/AA31)))</f>
        <v>10909.987086339</v>
      </c>
      <c r="AD31" s="37" t="n">
        <f aca="false">IF($K31=100,Home_Data!$B$67,IF($K31=500,Home_Data!$B$69,Home_Data!$B$68))</f>
        <v>1</v>
      </c>
      <c r="AE31" s="37" t="n">
        <f aca="false">IF($J31&lt;=Home_Data!$B$61,Home_Data!$B$64,IF($J31&gt;=Home_Data!$B$63,Home_Data!$B$66,IF($J31&lt;=Home_Data!$B$62,Home_Data!$B$64+(Home_Data!$B$65-Home_Data!$B$64)*(LN($J31)-LN(Home_Data!$B$61))/(LN(Home_Data!$B$62)-LN(Home_Data!$B$61)),Home_Data!$B$65+(Home_Data!$B$66-Home_Data!$B$65)*(LN($J31)-LN(Home_Data!$B$62))/(LN(Home_Data!$B$63)-LN(Home_Data!$B$62)))))</f>
        <v>1</v>
      </c>
      <c r="AF31" s="38" t="n">
        <f aca="false">IF($E31&gt;=20,Home_Data!$B$80,IF($E31&gt;=10,Home_Data!$B$79,1))</f>
        <v>1.3</v>
      </c>
      <c r="AG31" s="38" t="n">
        <f aca="false">IF($D31&lt;1960,Home_Data!$B$81,IF($D31&lt;1980,Home_Data!$B$82,IF($D31&gt;=2000,Home_Data!$B$83,1)))</f>
        <v>1.18</v>
      </c>
      <c r="AH31" s="38" t="n">
        <f aca="false">IF($F31="brick",Home_Data!$B$78,1)</f>
        <v>1</v>
      </c>
      <c r="AI31" s="38" t="n">
        <f aca="false">IF($G31="rental",Home_Data!$B$84,IF($G31="vacation",Home_Data!$B$85,1))</f>
        <v>1</v>
      </c>
      <c r="AJ31" s="38" t="n">
        <f aca="false">INDEX(Home_Data!$B$70:$B$73,MIN(3,MAX(0,$H31))+1)</f>
        <v>1</v>
      </c>
      <c r="AK31" s="38" t="n">
        <f aca="false">IF(INDEX(Home_Data!$H$5:$H$56,V31)="Yes",1,IF($L31="poor",Home_Data!$B$74,IF($L31="fair",Home_Data!$B$75,IF($L31="excellent",Home_Data!$B$77,Home_Data!$B$76))))</f>
        <v>0.89</v>
      </c>
      <c r="AL31" s="38" t="n">
        <f aca="false">IF(($N31=1),Home_Data!$B$86,1)*IF(($O31=1),Home_Data!$B$87,1)*IF(($P31=1),Home_Data!$B$88,1)</f>
        <v>1</v>
      </c>
      <c r="AM31" s="34" t="n">
        <f aca="false">AC31*AD31*AE31*AF31*AG31*AH31*AI31*AJ31*AK31*AL31</f>
        <v>14894.9689694952</v>
      </c>
      <c r="AN31" s="34" t="n">
        <f aca="false">AM31*EXP(-Car_Data!$B$123*Home_Data!$B$91)</f>
        <v>10848.3535322044</v>
      </c>
      <c r="AO31" s="34" t="n">
        <f aca="false">AM31*EXP(Car_Data!$B$123*Home_Data!$B$91)</f>
        <v>20451.0389473955</v>
      </c>
      <c r="AP31" s="39" t="str">
        <f aca="false">IF($U31&gt;0,IF(AND($U31&gt;=AN31,$U31&lt;=AO31),1,0),"")</f>
        <v/>
      </c>
      <c r="AQ31" s="40" t="str">
        <f aca="false">IF($U31&gt;0,$U31/AM31-1,"")</f>
        <v/>
      </c>
    </row>
    <row r="32" customFormat="false" ht="15" hidden="false" customHeight="false" outlineLevel="0" collapsed="false">
      <c r="A32" s="6" t="s">
        <v>295</v>
      </c>
      <c r="B32" s="6" t="s">
        <v>56</v>
      </c>
      <c r="C32" s="6" t="n">
        <v>1700</v>
      </c>
      <c r="D32" s="6" t="n">
        <v>1969</v>
      </c>
      <c r="E32" s="6" t="n">
        <v>13</v>
      </c>
      <c r="F32" s="6" t="s">
        <v>133</v>
      </c>
      <c r="G32" s="6" t="s">
        <v>136</v>
      </c>
      <c r="H32" s="6" t="n">
        <v>0</v>
      </c>
      <c r="I32" s="23" t="n">
        <v>400000</v>
      </c>
      <c r="J32" s="23" t="n">
        <v>1000</v>
      </c>
      <c r="K32" s="6" t="n">
        <v>300</v>
      </c>
      <c r="L32" s="6" t="s">
        <v>72</v>
      </c>
      <c r="M32" s="6" t="n">
        <v>0</v>
      </c>
      <c r="N32" s="6" t="n">
        <v>1</v>
      </c>
      <c r="O32" s="6" t="n">
        <v>0</v>
      </c>
      <c r="P32" s="6" t="n">
        <v>1</v>
      </c>
      <c r="Q32" s="6" t="n">
        <v>0</v>
      </c>
      <c r="R32" s="6" t="s">
        <v>269</v>
      </c>
      <c r="S32" s="5"/>
      <c r="T32" s="32"/>
      <c r="U32" s="17"/>
      <c r="V32" s="33" t="n">
        <f aca="false">MATCH($B32,Home_Data!$B$5:$B$56,0)</f>
        <v>43</v>
      </c>
      <c r="W32" s="34" t="n">
        <f aca="false">MIN(MAX($I32,50000),3000000)</f>
        <v>400000</v>
      </c>
      <c r="X32" s="35" t="n">
        <f aca="false">IFERROR(MIN(3,MAX(1,MATCH(W32,Home_Data!$C$4:$F$4,1))),1)</f>
        <v>3</v>
      </c>
      <c r="Y32" s="36" t="n">
        <f aca="false">INDEX(Home_Data!$C$5:$F$56,V32,X32)</f>
        <v>5733</v>
      </c>
      <c r="Z32" s="36" t="n">
        <f aca="false">INDEX(Home_Data!$C$5:$F$56,V32,X32+1)</f>
        <v>7858</v>
      </c>
      <c r="AA32" s="36" t="n">
        <f aca="false">INDEX(Home_Data!$C$4:$F$4,X32)</f>
        <v>400000</v>
      </c>
      <c r="AB32" s="36" t="n">
        <f aca="false">INDEX(Home_Data!$C$4:$F$4,X32+1)</f>
        <v>600000</v>
      </c>
      <c r="AC32" s="36" t="n">
        <f aca="false">IF($I32&lt;200000,INDEX(Home_Data!$C$5:$F$56,V32,1)*(MAX($I32,Home_Data!$B$90)/200000)^Home_Data!$B$89,Y32*(W32/AA32)^(LN(Z32/Y32)/LN(AB32/AA32)))</f>
        <v>5733</v>
      </c>
      <c r="AD32" s="37" t="n">
        <f aca="false">IF($K32=100,Home_Data!$B$67,IF($K32=500,Home_Data!$B$69,Home_Data!$B$68))</f>
        <v>1</v>
      </c>
      <c r="AE32" s="37" t="n">
        <f aca="false">IF($J32&lt;=Home_Data!$B$61,Home_Data!$B$64,IF($J32&gt;=Home_Data!$B$63,Home_Data!$B$66,IF($J32&lt;=Home_Data!$B$62,Home_Data!$B$64+(Home_Data!$B$65-Home_Data!$B$64)*(LN($J32)-LN(Home_Data!$B$61))/(LN(Home_Data!$B$62)-LN(Home_Data!$B$61)),Home_Data!$B$65+(Home_Data!$B$66-Home_Data!$B$65)*(LN($J32)-LN(Home_Data!$B$62))/(LN(Home_Data!$B$63)-LN(Home_Data!$B$62)))))</f>
        <v>1</v>
      </c>
      <c r="AF32" s="38" t="n">
        <f aca="false">IF($E32&gt;=20,Home_Data!$B$80,IF($E32&gt;=10,Home_Data!$B$79,1))</f>
        <v>1.1</v>
      </c>
      <c r="AG32" s="38" t="n">
        <f aca="false">IF($D32&lt;1960,Home_Data!$B$81,IF($D32&lt;1980,Home_Data!$B$82,IF($D32&gt;=2000,Home_Data!$B$83,1)))</f>
        <v>1.08</v>
      </c>
      <c r="AH32" s="38" t="n">
        <f aca="false">IF($F32="brick",Home_Data!$B$78,1)</f>
        <v>1</v>
      </c>
      <c r="AI32" s="38" t="n">
        <f aca="false">IF($G32="rental",Home_Data!$B$84,IF($G32="vacation",Home_Data!$B$85,1))</f>
        <v>1</v>
      </c>
      <c r="AJ32" s="38" t="n">
        <f aca="false">INDEX(Home_Data!$B$70:$B$73,MIN(3,MAX(0,$H32))+1)</f>
        <v>1</v>
      </c>
      <c r="AK32" s="38" t="n">
        <f aca="false">IF(INDEX(Home_Data!$H$5:$H$56,V32)="Yes",1,IF($L32="poor",Home_Data!$B$74,IF($L32="fair",Home_Data!$B$75,IF($L32="excellent",Home_Data!$B$77,Home_Data!$B$76))))</f>
        <v>1</v>
      </c>
      <c r="AL32" s="38" t="n">
        <f aca="false">IF(($N32=1),Home_Data!$B$86,1)*IF(($O32=1),Home_Data!$B$87,1)*IF(($P32=1),Home_Data!$B$88,1)</f>
        <v>1.242</v>
      </c>
      <c r="AM32" s="34" t="n">
        <f aca="false">AC32*AD32*AE32*AF32*AG32*AH32*AI32*AJ32*AK32*AL32</f>
        <v>8459.018568</v>
      </c>
      <c r="AN32" s="34" t="n">
        <f aca="false">AM32*EXP(-Car_Data!$B$123*Home_Data!$B$91)</f>
        <v>6160.90064699576</v>
      </c>
      <c r="AO32" s="34" t="n">
        <f aca="false">AM32*EXP(Car_Data!$B$123*Home_Data!$B$91)</f>
        <v>11614.3725136456</v>
      </c>
      <c r="AP32" s="39" t="str">
        <f aca="false">IF($U32&gt;0,IF(AND($U32&gt;=AN32,$U32&lt;=AO32),1,0),"")</f>
        <v/>
      </c>
      <c r="AQ32" s="40" t="str">
        <f aca="false">IF($U32&gt;0,$U32/AM32-1,"")</f>
        <v/>
      </c>
    </row>
    <row r="33" customFormat="false" ht="15" hidden="false" customHeight="false" outlineLevel="0" collapsed="false">
      <c r="A33" s="6" t="s">
        <v>296</v>
      </c>
      <c r="B33" s="6" t="s">
        <v>56</v>
      </c>
      <c r="C33" s="6" t="n">
        <v>2200</v>
      </c>
      <c r="D33" s="6" t="n">
        <v>2023</v>
      </c>
      <c r="E33" s="6" t="n">
        <v>1</v>
      </c>
      <c r="F33" s="6" t="s">
        <v>133</v>
      </c>
      <c r="G33" s="6" t="s">
        <v>136</v>
      </c>
      <c r="H33" s="6" t="n">
        <v>0</v>
      </c>
      <c r="I33" s="23" t="n">
        <v>470000</v>
      </c>
      <c r="J33" s="23" t="n">
        <v>1000</v>
      </c>
      <c r="K33" s="6" t="n">
        <v>300</v>
      </c>
      <c r="L33" s="6" t="s">
        <v>72</v>
      </c>
      <c r="M33" s="6" t="n">
        <v>0</v>
      </c>
      <c r="N33" s="6" t="n">
        <v>0</v>
      </c>
      <c r="O33" s="6" t="n">
        <v>0</v>
      </c>
      <c r="P33" s="6" t="n">
        <v>0</v>
      </c>
      <c r="Q33" s="6" t="n">
        <v>0</v>
      </c>
      <c r="R33" s="6" t="s">
        <v>267</v>
      </c>
      <c r="S33" s="5"/>
      <c r="T33" s="32"/>
      <c r="U33" s="17"/>
      <c r="V33" s="33" t="n">
        <f aca="false">MATCH($B33,Home_Data!$B$5:$B$56,0)</f>
        <v>43</v>
      </c>
      <c r="W33" s="34" t="n">
        <f aca="false">MIN(MAX($I33,50000),3000000)</f>
        <v>470000</v>
      </c>
      <c r="X33" s="35" t="n">
        <f aca="false">IFERROR(MIN(3,MAX(1,MATCH(W33,Home_Data!$C$4:$F$4,1))),1)</f>
        <v>3</v>
      </c>
      <c r="Y33" s="36" t="n">
        <f aca="false">INDEX(Home_Data!$C$5:$F$56,V33,X33)</f>
        <v>5733</v>
      </c>
      <c r="Z33" s="36" t="n">
        <f aca="false">INDEX(Home_Data!$C$5:$F$56,V33,X33+1)</f>
        <v>7858</v>
      </c>
      <c r="AA33" s="36" t="n">
        <f aca="false">INDEX(Home_Data!$C$4:$F$4,X33)</f>
        <v>400000</v>
      </c>
      <c r="AB33" s="36" t="n">
        <f aca="false">INDEX(Home_Data!$C$4:$F$4,X33+1)</f>
        <v>600000</v>
      </c>
      <c r="AC33" s="36" t="n">
        <f aca="false">IF($I33&lt;200000,INDEX(Home_Data!$C$5:$F$56,V33,1)*(MAX($I33,Home_Data!$B$90)/200000)^Home_Data!$B$89,Y33*(W33/AA33)^(LN(Z33/Y33)/LN(AB33/AA33)))</f>
        <v>6498.96190506261</v>
      </c>
      <c r="AD33" s="37" t="n">
        <f aca="false">IF($K33=100,Home_Data!$B$67,IF($K33=500,Home_Data!$B$69,Home_Data!$B$68))</f>
        <v>1</v>
      </c>
      <c r="AE33" s="37" t="n">
        <f aca="false">IF($J33&lt;=Home_Data!$B$61,Home_Data!$B$64,IF($J33&gt;=Home_Data!$B$63,Home_Data!$B$66,IF($J33&lt;=Home_Data!$B$62,Home_Data!$B$64+(Home_Data!$B$65-Home_Data!$B$64)*(LN($J33)-LN(Home_Data!$B$61))/(LN(Home_Data!$B$62)-LN(Home_Data!$B$61)),Home_Data!$B$65+(Home_Data!$B$66-Home_Data!$B$65)*(LN($J33)-LN(Home_Data!$B$62))/(LN(Home_Data!$B$63)-LN(Home_Data!$B$62)))))</f>
        <v>1</v>
      </c>
      <c r="AF33" s="38" t="n">
        <f aca="false">IF($E33&gt;=20,Home_Data!$B$80,IF($E33&gt;=10,Home_Data!$B$79,1))</f>
        <v>1</v>
      </c>
      <c r="AG33" s="38" t="n">
        <f aca="false">IF($D33&lt;1960,Home_Data!$B$81,IF($D33&lt;1980,Home_Data!$B$82,IF($D33&gt;=2000,Home_Data!$B$83,1)))</f>
        <v>0.95</v>
      </c>
      <c r="AH33" s="38" t="n">
        <f aca="false">IF($F33="brick",Home_Data!$B$78,1)</f>
        <v>1</v>
      </c>
      <c r="AI33" s="38" t="n">
        <f aca="false">IF($G33="rental",Home_Data!$B$84,IF($G33="vacation",Home_Data!$B$85,1))</f>
        <v>1</v>
      </c>
      <c r="AJ33" s="38" t="n">
        <f aca="false">INDEX(Home_Data!$B$70:$B$73,MIN(3,MAX(0,$H33))+1)</f>
        <v>1</v>
      </c>
      <c r="AK33" s="38" t="n">
        <f aca="false">IF(INDEX(Home_Data!$H$5:$H$56,V33)="Yes",1,IF($L33="poor",Home_Data!$B$74,IF($L33="fair",Home_Data!$B$75,IF($L33="excellent",Home_Data!$B$77,Home_Data!$B$76))))</f>
        <v>1</v>
      </c>
      <c r="AL33" s="38" t="n">
        <f aca="false">IF(($N33=1),Home_Data!$B$86,1)*IF(($O33=1),Home_Data!$B$87,1)*IF(($P33=1),Home_Data!$B$88,1)</f>
        <v>1</v>
      </c>
      <c r="AM33" s="34" t="n">
        <f aca="false">AC33*AD33*AE33*AF33*AG33*AH33*AI33*AJ33*AK33*AL33</f>
        <v>6174.01380980948</v>
      </c>
      <c r="AN33" s="34" t="n">
        <f aca="false">AM33*EXP(-Car_Data!$B$123*Home_Data!$B$91)</f>
        <v>4496.6783521802</v>
      </c>
      <c r="AO33" s="34" t="n">
        <f aca="false">AM33*EXP(Car_Data!$B$123*Home_Data!$B$91)</f>
        <v>8477.02315760177</v>
      </c>
      <c r="AP33" s="39" t="str">
        <f aca="false">IF($U33&gt;0,IF(AND($U33&gt;=AN33,$U33&lt;=AO33),1,0),"")</f>
        <v/>
      </c>
      <c r="AQ33" s="40" t="str">
        <f aca="false">IF($U33&gt;0,$U33/AM33-1,"")</f>
        <v/>
      </c>
    </row>
    <row r="34" customFormat="false" ht="15" hidden="false" customHeight="false" outlineLevel="0" collapsed="false">
      <c r="A34" s="6" t="s">
        <v>297</v>
      </c>
      <c r="B34" s="6" t="s">
        <v>56</v>
      </c>
      <c r="C34" s="6" t="n">
        <v>1850</v>
      </c>
      <c r="D34" s="6" t="n">
        <v>1973</v>
      </c>
      <c r="E34" s="6" t="n">
        <v>20</v>
      </c>
      <c r="F34" s="6" t="s">
        <v>133</v>
      </c>
      <c r="G34" s="6" t="s">
        <v>136</v>
      </c>
      <c r="H34" s="6" t="n">
        <v>0</v>
      </c>
      <c r="I34" s="23" t="n">
        <v>430000</v>
      </c>
      <c r="J34" s="23" t="n">
        <v>1000</v>
      </c>
      <c r="K34" s="6" t="n">
        <v>300</v>
      </c>
      <c r="L34" s="6" t="s">
        <v>271</v>
      </c>
      <c r="M34" s="6" t="n">
        <v>1</v>
      </c>
      <c r="N34" s="6" t="n">
        <v>0</v>
      </c>
      <c r="O34" s="6" t="n">
        <v>1</v>
      </c>
      <c r="P34" s="6" t="n">
        <v>1</v>
      </c>
      <c r="Q34" s="6" t="n">
        <v>0</v>
      </c>
      <c r="R34" s="6" t="s">
        <v>298</v>
      </c>
      <c r="S34" s="5"/>
      <c r="T34" s="32"/>
      <c r="U34" s="17"/>
      <c r="V34" s="33" t="n">
        <f aca="false">MATCH($B34,Home_Data!$B$5:$B$56,0)</f>
        <v>43</v>
      </c>
      <c r="W34" s="34" t="n">
        <f aca="false">MIN(MAX($I34,50000),3000000)</f>
        <v>430000</v>
      </c>
      <c r="X34" s="35" t="n">
        <f aca="false">IFERROR(MIN(3,MAX(1,MATCH(W34,Home_Data!$C$4:$F$4,1))),1)</f>
        <v>3</v>
      </c>
      <c r="Y34" s="36" t="n">
        <f aca="false">INDEX(Home_Data!$C$5:$F$56,V34,X34)</f>
        <v>5733</v>
      </c>
      <c r="Z34" s="36" t="n">
        <f aca="false">INDEX(Home_Data!$C$5:$F$56,V34,X34+1)</f>
        <v>7858</v>
      </c>
      <c r="AA34" s="36" t="n">
        <f aca="false">INDEX(Home_Data!$C$4:$F$4,X34)</f>
        <v>400000</v>
      </c>
      <c r="AB34" s="36" t="n">
        <f aca="false">INDEX(Home_Data!$C$4:$F$4,X34+1)</f>
        <v>600000</v>
      </c>
      <c r="AC34" s="36" t="n">
        <f aca="false">IF($I34&lt;200000,INDEX(Home_Data!$C$5:$F$56,V34,1)*(MAX($I34,Home_Data!$B$90)/200000)^Home_Data!$B$89,Y34*(W34/AA34)^(LN(Z34/Y34)/LN(AB34/AA34)))</f>
        <v>6064.64570577613</v>
      </c>
      <c r="AD34" s="37" t="n">
        <f aca="false">IF($K34=100,Home_Data!$B$67,IF($K34=500,Home_Data!$B$69,Home_Data!$B$68))</f>
        <v>1</v>
      </c>
      <c r="AE34" s="37" t="n">
        <f aca="false">IF($J34&lt;=Home_Data!$B$61,Home_Data!$B$64,IF($J34&gt;=Home_Data!$B$63,Home_Data!$B$66,IF($J34&lt;=Home_Data!$B$62,Home_Data!$B$64+(Home_Data!$B$65-Home_Data!$B$64)*(LN($J34)-LN(Home_Data!$B$61))/(LN(Home_Data!$B$62)-LN(Home_Data!$B$61)),Home_Data!$B$65+(Home_Data!$B$66-Home_Data!$B$65)*(LN($J34)-LN(Home_Data!$B$62))/(LN(Home_Data!$B$63)-LN(Home_Data!$B$62)))))</f>
        <v>1</v>
      </c>
      <c r="AF34" s="38" t="n">
        <f aca="false">IF($E34&gt;=20,Home_Data!$B$80,IF($E34&gt;=10,Home_Data!$B$79,1))</f>
        <v>1.3</v>
      </c>
      <c r="AG34" s="38" t="n">
        <f aca="false">IF($D34&lt;1960,Home_Data!$B$81,IF($D34&lt;1980,Home_Data!$B$82,IF($D34&gt;=2000,Home_Data!$B$83,1)))</f>
        <v>1.08</v>
      </c>
      <c r="AH34" s="38" t="n">
        <f aca="false">IF($F34="brick",Home_Data!$B$78,1)</f>
        <v>1</v>
      </c>
      <c r="AI34" s="38" t="n">
        <f aca="false">IF($G34="rental",Home_Data!$B$84,IF($G34="vacation",Home_Data!$B$85,1))</f>
        <v>1</v>
      </c>
      <c r="AJ34" s="38" t="n">
        <f aca="false">INDEX(Home_Data!$B$70:$B$73,MIN(3,MAX(0,$H34))+1)</f>
        <v>1</v>
      </c>
      <c r="AK34" s="38" t="n">
        <f aca="false">IF(INDEX(Home_Data!$H$5:$H$56,V34)="Yes",1,IF($L34="poor",Home_Data!$B$74,IF($L34="fair",Home_Data!$B$75,IF($L34="excellent",Home_Data!$B$77,Home_Data!$B$76))))</f>
        <v>1.07</v>
      </c>
      <c r="AL34" s="38" t="n">
        <f aca="false">IF(($N34=1),Home_Data!$B$86,1)*IF(($O34=1),Home_Data!$B$87,1)*IF(($P34=1),Home_Data!$B$88,1)</f>
        <v>1.242</v>
      </c>
      <c r="AM34" s="34" t="n">
        <f aca="false">AC34*AD34*AE34*AF34*AG34*AH34*AI34*AJ34*AK34*AL34</f>
        <v>11315.6085709847</v>
      </c>
      <c r="AN34" s="34" t="n">
        <f aca="false">AM34*EXP(-Car_Data!$B$123*Home_Data!$B$91)</f>
        <v>8241.42181574776</v>
      </c>
      <c r="AO34" s="34" t="n">
        <f aca="false">AM34*EXP(Car_Data!$B$123*Home_Data!$B$91)</f>
        <v>15536.5178720834</v>
      </c>
      <c r="AP34" s="39" t="str">
        <f aca="false">IF($U34&gt;0,IF(AND($U34&gt;=AN34,$U34&lt;=AO34),1,0),"")</f>
        <v/>
      </c>
      <c r="AQ34" s="40" t="str">
        <f aca="false">IF($U34&gt;0,$U34/AM34-1,"")</f>
        <v/>
      </c>
    </row>
    <row r="35" customFormat="false" ht="15" hidden="false" customHeight="false" outlineLevel="0" collapsed="false">
      <c r="A35" s="6" t="s">
        <v>299</v>
      </c>
      <c r="B35" s="6" t="s">
        <v>56</v>
      </c>
      <c r="C35" s="6" t="n">
        <v>2650</v>
      </c>
      <c r="D35" s="6" t="n">
        <v>1980</v>
      </c>
      <c r="E35" s="6" t="n">
        <v>18</v>
      </c>
      <c r="F35" s="6" t="s">
        <v>133</v>
      </c>
      <c r="G35" s="6" t="s">
        <v>136</v>
      </c>
      <c r="H35" s="6" t="n">
        <v>0</v>
      </c>
      <c r="I35" s="23" t="n">
        <v>565000</v>
      </c>
      <c r="J35" s="23" t="n">
        <v>1000</v>
      </c>
      <c r="K35" s="6" t="n">
        <v>300</v>
      </c>
      <c r="L35" s="6" t="s">
        <v>271</v>
      </c>
      <c r="M35" s="6" t="n">
        <v>0</v>
      </c>
      <c r="N35" s="6" t="n">
        <v>0</v>
      </c>
      <c r="O35" s="6" t="n">
        <v>0</v>
      </c>
      <c r="P35" s="6" t="n">
        <v>1</v>
      </c>
      <c r="Q35" s="6" t="n">
        <v>0</v>
      </c>
      <c r="R35" s="6" t="s">
        <v>262</v>
      </c>
      <c r="S35" s="5"/>
      <c r="T35" s="32"/>
      <c r="U35" s="17"/>
      <c r="V35" s="33" t="n">
        <f aca="false">MATCH($B35,Home_Data!$B$5:$B$56,0)</f>
        <v>43</v>
      </c>
      <c r="W35" s="34" t="n">
        <f aca="false">MIN(MAX($I35,50000),3000000)</f>
        <v>565000</v>
      </c>
      <c r="X35" s="35" t="n">
        <f aca="false">IFERROR(MIN(3,MAX(1,MATCH(W35,Home_Data!$C$4:$F$4,1))),1)</f>
        <v>3</v>
      </c>
      <c r="Y35" s="36" t="n">
        <f aca="false">INDEX(Home_Data!$C$5:$F$56,V35,X35)</f>
        <v>5733</v>
      </c>
      <c r="Z35" s="36" t="n">
        <f aca="false">INDEX(Home_Data!$C$5:$F$56,V35,X35+1)</f>
        <v>7858</v>
      </c>
      <c r="AA35" s="36" t="n">
        <f aca="false">INDEX(Home_Data!$C$4:$F$4,X35)</f>
        <v>400000</v>
      </c>
      <c r="AB35" s="36" t="n">
        <f aca="false">INDEX(Home_Data!$C$4:$F$4,X35+1)</f>
        <v>600000</v>
      </c>
      <c r="AC35" s="36" t="n">
        <f aca="false">IF($I35&lt;200000,INDEX(Home_Data!$C$5:$F$56,V35,1)*(MAX($I35,Home_Data!$B$90)/200000)^Home_Data!$B$89,Y35*(W35/AA35)^(LN(Z35/Y35)/LN(AB35/AA35)))</f>
        <v>7499.18832299936</v>
      </c>
      <c r="AD35" s="37" t="n">
        <f aca="false">IF($K35=100,Home_Data!$B$67,IF($K35=500,Home_Data!$B$69,Home_Data!$B$68))</f>
        <v>1</v>
      </c>
      <c r="AE35" s="37" t="n">
        <f aca="false">IF($J35&lt;=Home_Data!$B$61,Home_Data!$B$64,IF($J35&gt;=Home_Data!$B$63,Home_Data!$B$66,IF($J35&lt;=Home_Data!$B$62,Home_Data!$B$64+(Home_Data!$B$65-Home_Data!$B$64)*(LN($J35)-LN(Home_Data!$B$61))/(LN(Home_Data!$B$62)-LN(Home_Data!$B$61)),Home_Data!$B$65+(Home_Data!$B$66-Home_Data!$B$65)*(LN($J35)-LN(Home_Data!$B$62))/(LN(Home_Data!$B$63)-LN(Home_Data!$B$62)))))</f>
        <v>1</v>
      </c>
      <c r="AF35" s="38" t="n">
        <f aca="false">IF($E35&gt;=20,Home_Data!$B$80,IF($E35&gt;=10,Home_Data!$B$79,1))</f>
        <v>1.1</v>
      </c>
      <c r="AG35" s="38" t="n">
        <f aca="false">IF($D35&lt;1960,Home_Data!$B$81,IF($D35&lt;1980,Home_Data!$B$82,IF($D35&gt;=2000,Home_Data!$B$83,1)))</f>
        <v>1</v>
      </c>
      <c r="AH35" s="38" t="n">
        <f aca="false">IF($F35="brick",Home_Data!$B$78,1)</f>
        <v>1</v>
      </c>
      <c r="AI35" s="38" t="n">
        <f aca="false">IF($G35="rental",Home_Data!$B$84,IF($G35="vacation",Home_Data!$B$85,1))</f>
        <v>1</v>
      </c>
      <c r="AJ35" s="38" t="n">
        <f aca="false">INDEX(Home_Data!$B$70:$B$73,MIN(3,MAX(0,$H35))+1)</f>
        <v>1</v>
      </c>
      <c r="AK35" s="38" t="n">
        <f aca="false">IF(INDEX(Home_Data!$H$5:$H$56,V35)="Yes",1,IF($L35="poor",Home_Data!$B$74,IF($L35="fair",Home_Data!$B$75,IF($L35="excellent",Home_Data!$B$77,Home_Data!$B$76))))</f>
        <v>1.07</v>
      </c>
      <c r="AL35" s="38" t="n">
        <f aca="false">IF(($N35=1),Home_Data!$B$86,1)*IF(($O35=1),Home_Data!$B$87,1)*IF(($P35=1),Home_Data!$B$88,1)</f>
        <v>1.08</v>
      </c>
      <c r="AM35" s="34" t="n">
        <f aca="false">AC35*AD35*AE35*AF35*AG35*AH35*AI35*AJ35*AK35*AL35</f>
        <v>9532.66822866386</v>
      </c>
      <c r="AN35" s="34" t="n">
        <f aca="false">AM35*EXP(-Car_Data!$B$123*Home_Data!$B$91)</f>
        <v>6942.86475262541</v>
      </c>
      <c r="AO35" s="34" t="n">
        <f aca="false">AM35*EXP(Car_Data!$B$123*Home_Data!$B$91)</f>
        <v>13088.5112695613</v>
      </c>
      <c r="AP35" s="39" t="str">
        <f aca="false">IF($U35&gt;0,IF(AND($U35&gt;=AN35,$U35&lt;=AO35),1,0),"")</f>
        <v/>
      </c>
      <c r="AQ35" s="40" t="str">
        <f aca="false">IF($U35&gt;0,$U35/AM35-1,"")</f>
        <v/>
      </c>
    </row>
    <row r="36" customFormat="false" ht="15" hidden="false" customHeight="false" outlineLevel="0" collapsed="false">
      <c r="A36" s="6" t="s">
        <v>300</v>
      </c>
      <c r="B36" s="6" t="s">
        <v>56</v>
      </c>
      <c r="C36" s="6" t="n">
        <v>3450</v>
      </c>
      <c r="D36" s="6" t="n">
        <v>1998</v>
      </c>
      <c r="E36" s="6" t="n">
        <v>25</v>
      </c>
      <c r="F36" s="6" t="s">
        <v>133</v>
      </c>
      <c r="G36" s="6" t="s">
        <v>136</v>
      </c>
      <c r="H36" s="6" t="n">
        <v>2</v>
      </c>
      <c r="I36" s="23" t="n">
        <v>830000</v>
      </c>
      <c r="J36" s="23" t="n">
        <v>2500</v>
      </c>
      <c r="K36" s="6" t="n">
        <v>100</v>
      </c>
      <c r="L36" s="6" t="s">
        <v>72</v>
      </c>
      <c r="M36" s="6" t="n">
        <v>0</v>
      </c>
      <c r="N36" s="6" t="n">
        <v>0</v>
      </c>
      <c r="O36" s="6" t="n">
        <v>0</v>
      </c>
      <c r="P36" s="6" t="n">
        <v>1</v>
      </c>
      <c r="Q36" s="6" t="n">
        <v>0</v>
      </c>
      <c r="R36" s="6" t="s">
        <v>262</v>
      </c>
      <c r="S36" s="5"/>
      <c r="T36" s="32"/>
      <c r="U36" s="17"/>
      <c r="V36" s="33" t="n">
        <f aca="false">MATCH($B36,Home_Data!$B$5:$B$56,0)</f>
        <v>43</v>
      </c>
      <c r="W36" s="34" t="n">
        <f aca="false">MIN(MAX($I36,50000),3000000)</f>
        <v>830000</v>
      </c>
      <c r="X36" s="35" t="n">
        <f aca="false">IFERROR(MIN(3,MAX(1,MATCH(W36,Home_Data!$C$4:$F$4,1))),1)</f>
        <v>3</v>
      </c>
      <c r="Y36" s="36" t="n">
        <f aca="false">INDEX(Home_Data!$C$5:$F$56,V36,X36)</f>
        <v>5733</v>
      </c>
      <c r="Z36" s="36" t="n">
        <f aca="false">INDEX(Home_Data!$C$5:$F$56,V36,X36+1)</f>
        <v>7858</v>
      </c>
      <c r="AA36" s="36" t="n">
        <f aca="false">INDEX(Home_Data!$C$4:$F$4,X36)</f>
        <v>400000</v>
      </c>
      <c r="AB36" s="36" t="n">
        <f aca="false">INDEX(Home_Data!$C$4:$F$4,X36+1)</f>
        <v>600000</v>
      </c>
      <c r="AC36" s="36" t="n">
        <f aca="false">IF($I36&lt;200000,INDEX(Home_Data!$C$5:$F$56,V36,1)*(MAX($I36,Home_Data!$B$90)/200000)^Home_Data!$B$89,Y36*(W36/AA36)^(LN(Z36/Y36)/LN(AB36/AA36)))</f>
        <v>10113.4178943876</v>
      </c>
      <c r="AD36" s="37" t="n">
        <f aca="false">IF($K36=100,Home_Data!$B$67,IF($K36=500,Home_Data!$B$69,Home_Data!$B$68))</f>
        <v>0.991</v>
      </c>
      <c r="AE36" s="37" t="n">
        <f aca="false">IF($J36&lt;=Home_Data!$B$61,Home_Data!$B$64,IF($J36&gt;=Home_Data!$B$63,Home_Data!$B$66,IF($J36&lt;=Home_Data!$B$62,Home_Data!$B$64+(Home_Data!$B$65-Home_Data!$B$64)*(LN($J36)-LN(Home_Data!$B$61))/(LN(Home_Data!$B$62)-LN(Home_Data!$B$61)),Home_Data!$B$65+(Home_Data!$B$66-Home_Data!$B$65)*(LN($J36)-LN(Home_Data!$B$62))/(LN(Home_Data!$B$63)-LN(Home_Data!$B$62)))))</f>
        <v>0.91</v>
      </c>
      <c r="AF36" s="38" t="n">
        <f aca="false">IF($E36&gt;=20,Home_Data!$B$80,IF($E36&gt;=10,Home_Data!$B$79,1))</f>
        <v>1.3</v>
      </c>
      <c r="AG36" s="38" t="n">
        <f aca="false">IF($D36&lt;1960,Home_Data!$B$81,IF($D36&lt;1980,Home_Data!$B$82,IF($D36&gt;=2000,Home_Data!$B$83,1)))</f>
        <v>1</v>
      </c>
      <c r="AH36" s="38" t="n">
        <f aca="false">IF($F36="brick",Home_Data!$B$78,1)</f>
        <v>1</v>
      </c>
      <c r="AI36" s="38" t="n">
        <f aca="false">IF($G36="rental",Home_Data!$B$84,IF($G36="vacation",Home_Data!$B$85,1))</f>
        <v>1</v>
      </c>
      <c r="AJ36" s="38" t="n">
        <f aca="false">INDEX(Home_Data!$B$70:$B$73,MIN(3,MAX(0,$H36))+1)</f>
        <v>1.29</v>
      </c>
      <c r="AK36" s="38" t="n">
        <f aca="false">IF(INDEX(Home_Data!$H$5:$H$56,V36)="Yes",1,IF($L36="poor",Home_Data!$B$74,IF($L36="fair",Home_Data!$B$75,IF($L36="excellent",Home_Data!$B$77,Home_Data!$B$76))))</f>
        <v>1</v>
      </c>
      <c r="AL36" s="38" t="n">
        <f aca="false">IF(($N36=1),Home_Data!$B$86,1)*IF(($O36=1),Home_Data!$B$87,1)*IF(($P36=1),Home_Data!$B$88,1)</f>
        <v>1.08</v>
      </c>
      <c r="AM36" s="34" t="n">
        <f aca="false">AC36*AD36*AE36*AF36*AG36*AH36*AI36*AJ36*AK36*AL36</f>
        <v>16518.4699607351</v>
      </c>
      <c r="AN36" s="34" t="n">
        <f aca="false">AM36*EXP(-Car_Data!$B$123*Home_Data!$B$91)</f>
        <v>12030.7871948003</v>
      </c>
      <c r="AO36" s="34" t="n">
        <f aca="false">AM36*EXP(Car_Data!$B$123*Home_Data!$B$91)</f>
        <v>22680.1326817281</v>
      </c>
      <c r="AP36" s="39" t="str">
        <f aca="false">IF($U36&gt;0,IF(AND($U36&gt;=AN36,$U36&lt;=AO36),1,0),"")</f>
        <v/>
      </c>
      <c r="AQ36" s="40" t="str">
        <f aca="false">IF($U36&gt;0,$U36/AM36-1,"")</f>
        <v/>
      </c>
    </row>
    <row r="37" customFormat="false" ht="15" hidden="false" customHeight="false" outlineLevel="0" collapsed="false">
      <c r="A37" s="6" t="s">
        <v>301</v>
      </c>
      <c r="B37" s="6" t="s">
        <v>56</v>
      </c>
      <c r="C37" s="6" t="n">
        <v>3550</v>
      </c>
      <c r="D37" s="6" t="n">
        <v>1966</v>
      </c>
      <c r="E37" s="6" t="n">
        <v>17</v>
      </c>
      <c r="F37" s="6" t="s">
        <v>133</v>
      </c>
      <c r="G37" s="6" t="s">
        <v>136</v>
      </c>
      <c r="H37" s="6" t="n">
        <v>0</v>
      </c>
      <c r="I37" s="23" t="n">
        <v>790000</v>
      </c>
      <c r="J37" s="23" t="n">
        <v>1000</v>
      </c>
      <c r="K37" s="6" t="n">
        <v>300</v>
      </c>
      <c r="L37" s="6" t="s">
        <v>72</v>
      </c>
      <c r="M37" s="6" t="n">
        <v>0</v>
      </c>
      <c r="N37" s="6" t="n">
        <v>0</v>
      </c>
      <c r="O37" s="6" t="n">
        <v>0</v>
      </c>
      <c r="P37" s="6" t="n">
        <v>1</v>
      </c>
      <c r="Q37" s="6" t="n">
        <v>0</v>
      </c>
      <c r="R37" s="6" t="s">
        <v>262</v>
      </c>
      <c r="S37" s="5"/>
      <c r="T37" s="32"/>
      <c r="U37" s="17"/>
      <c r="V37" s="33" t="n">
        <f aca="false">MATCH($B37,Home_Data!$B$5:$B$56,0)</f>
        <v>43</v>
      </c>
      <c r="W37" s="34" t="n">
        <f aca="false">MIN(MAX($I37,50000),3000000)</f>
        <v>790000</v>
      </c>
      <c r="X37" s="35" t="n">
        <f aca="false">IFERROR(MIN(3,MAX(1,MATCH(W37,Home_Data!$C$4:$F$4,1))),1)</f>
        <v>3</v>
      </c>
      <c r="Y37" s="36" t="n">
        <f aca="false">INDEX(Home_Data!$C$5:$F$56,V37,X37)</f>
        <v>5733</v>
      </c>
      <c r="Z37" s="36" t="n">
        <f aca="false">INDEX(Home_Data!$C$5:$F$56,V37,X37+1)</f>
        <v>7858</v>
      </c>
      <c r="AA37" s="36" t="n">
        <f aca="false">INDEX(Home_Data!$C$4:$F$4,X37)</f>
        <v>400000</v>
      </c>
      <c r="AB37" s="36" t="n">
        <f aca="false">INDEX(Home_Data!$C$4:$F$4,X37+1)</f>
        <v>600000</v>
      </c>
      <c r="AC37" s="36" t="n">
        <f aca="false">IF($I37&lt;200000,INDEX(Home_Data!$C$5:$F$56,V37,1)*(MAX($I37,Home_Data!$B$90)/200000)^Home_Data!$B$89,Y37*(W37/AA37)^(LN(Z37/Y37)/LN(AB37/AA37)))</f>
        <v>9732.34441026652</v>
      </c>
      <c r="AD37" s="37" t="n">
        <f aca="false">IF($K37=100,Home_Data!$B$67,IF($K37=500,Home_Data!$B$69,Home_Data!$B$68))</f>
        <v>1</v>
      </c>
      <c r="AE37" s="37" t="n">
        <f aca="false">IF($J37&lt;=Home_Data!$B$61,Home_Data!$B$64,IF($J37&gt;=Home_Data!$B$63,Home_Data!$B$66,IF($J37&lt;=Home_Data!$B$62,Home_Data!$B$64+(Home_Data!$B$65-Home_Data!$B$64)*(LN($J37)-LN(Home_Data!$B$61))/(LN(Home_Data!$B$62)-LN(Home_Data!$B$61)),Home_Data!$B$65+(Home_Data!$B$66-Home_Data!$B$65)*(LN($J37)-LN(Home_Data!$B$62))/(LN(Home_Data!$B$63)-LN(Home_Data!$B$62)))))</f>
        <v>1</v>
      </c>
      <c r="AF37" s="38" t="n">
        <f aca="false">IF($E37&gt;=20,Home_Data!$B$80,IF($E37&gt;=10,Home_Data!$B$79,1))</f>
        <v>1.1</v>
      </c>
      <c r="AG37" s="38" t="n">
        <f aca="false">IF($D37&lt;1960,Home_Data!$B$81,IF($D37&lt;1980,Home_Data!$B$82,IF($D37&gt;=2000,Home_Data!$B$83,1)))</f>
        <v>1.08</v>
      </c>
      <c r="AH37" s="38" t="n">
        <f aca="false">IF($F37="brick",Home_Data!$B$78,1)</f>
        <v>1</v>
      </c>
      <c r="AI37" s="38" t="n">
        <f aca="false">IF($G37="rental",Home_Data!$B$84,IF($G37="vacation",Home_Data!$B$85,1))</f>
        <v>1</v>
      </c>
      <c r="AJ37" s="38" t="n">
        <f aca="false">INDEX(Home_Data!$B$70:$B$73,MIN(3,MAX(0,$H37))+1)</f>
        <v>1</v>
      </c>
      <c r="AK37" s="38" t="n">
        <f aca="false">IF(INDEX(Home_Data!$H$5:$H$56,V37)="Yes",1,IF($L37="poor",Home_Data!$B$74,IF($L37="fair",Home_Data!$B$75,IF($L37="excellent",Home_Data!$B$77,Home_Data!$B$76))))</f>
        <v>1</v>
      </c>
      <c r="AL37" s="38" t="n">
        <f aca="false">IF(($N37=1),Home_Data!$B$86,1)*IF(($O37=1),Home_Data!$B$87,1)*IF(($P37=1),Home_Data!$B$88,1)</f>
        <v>1.08</v>
      </c>
      <c r="AM37" s="34" t="n">
        <f aca="false">AC37*AD37*AE37*AF37*AG37*AH37*AI37*AJ37*AK37*AL37</f>
        <v>12486.9871721484</v>
      </c>
      <c r="AN37" s="34" t="n">
        <f aca="false">AM37*EXP(-Car_Data!$B$123*Home_Data!$B$91)</f>
        <v>9094.56418962627</v>
      </c>
      <c r="AO37" s="34" t="n">
        <f aca="false">AM37*EXP(Car_Data!$B$123*Home_Data!$B$91)</f>
        <v>17144.8400809852</v>
      </c>
      <c r="AP37" s="39" t="str">
        <f aca="false">IF($U37&gt;0,IF(AND($U37&gt;=AN37,$U37&lt;=AO37),1,0),"")</f>
        <v/>
      </c>
      <c r="AQ37" s="40" t="str">
        <f aca="false">IF($U37&gt;0,$U37/AM37-1,"")</f>
        <v/>
      </c>
    </row>
    <row r="38" customFormat="false" ht="15" hidden="false" customHeight="false" outlineLevel="0" collapsed="false">
      <c r="A38" s="6" t="s">
        <v>302</v>
      </c>
      <c r="B38" s="6" t="s">
        <v>56</v>
      </c>
      <c r="C38" s="6" t="n">
        <v>1500</v>
      </c>
      <c r="D38" s="6" t="n">
        <v>2015</v>
      </c>
      <c r="E38" s="6" t="n">
        <v>6</v>
      </c>
      <c r="F38" s="6" t="s">
        <v>133</v>
      </c>
      <c r="G38" s="6" t="s">
        <v>136</v>
      </c>
      <c r="H38" s="6" t="n">
        <v>0</v>
      </c>
      <c r="I38" s="23" t="n">
        <v>430000</v>
      </c>
      <c r="J38" s="23" t="n">
        <v>1000</v>
      </c>
      <c r="K38" s="6" t="n">
        <v>300</v>
      </c>
      <c r="L38" s="6" t="s">
        <v>72</v>
      </c>
      <c r="M38" s="6" t="n">
        <v>0</v>
      </c>
      <c r="N38" s="6" t="n">
        <v>0</v>
      </c>
      <c r="O38" s="6" t="n">
        <v>0</v>
      </c>
      <c r="P38" s="6" t="n">
        <v>1</v>
      </c>
      <c r="Q38" s="6" t="n">
        <v>0</v>
      </c>
      <c r="R38" s="6" t="s">
        <v>262</v>
      </c>
      <c r="S38" s="5"/>
      <c r="T38" s="32"/>
      <c r="U38" s="17"/>
      <c r="V38" s="33" t="n">
        <f aca="false">MATCH($B38,Home_Data!$B$5:$B$56,0)</f>
        <v>43</v>
      </c>
      <c r="W38" s="34" t="n">
        <f aca="false">MIN(MAX($I38,50000),3000000)</f>
        <v>430000</v>
      </c>
      <c r="X38" s="35" t="n">
        <f aca="false">IFERROR(MIN(3,MAX(1,MATCH(W38,Home_Data!$C$4:$F$4,1))),1)</f>
        <v>3</v>
      </c>
      <c r="Y38" s="36" t="n">
        <f aca="false">INDEX(Home_Data!$C$5:$F$56,V38,X38)</f>
        <v>5733</v>
      </c>
      <c r="Z38" s="36" t="n">
        <f aca="false">INDEX(Home_Data!$C$5:$F$56,V38,X38+1)</f>
        <v>7858</v>
      </c>
      <c r="AA38" s="36" t="n">
        <f aca="false">INDEX(Home_Data!$C$4:$F$4,X38)</f>
        <v>400000</v>
      </c>
      <c r="AB38" s="36" t="n">
        <f aca="false">INDEX(Home_Data!$C$4:$F$4,X38+1)</f>
        <v>600000</v>
      </c>
      <c r="AC38" s="36" t="n">
        <f aca="false">IF($I38&lt;200000,INDEX(Home_Data!$C$5:$F$56,V38,1)*(MAX($I38,Home_Data!$B$90)/200000)^Home_Data!$B$89,Y38*(W38/AA38)^(LN(Z38/Y38)/LN(AB38/AA38)))</f>
        <v>6064.64570577613</v>
      </c>
      <c r="AD38" s="37" t="n">
        <f aca="false">IF($K38=100,Home_Data!$B$67,IF($K38=500,Home_Data!$B$69,Home_Data!$B$68))</f>
        <v>1</v>
      </c>
      <c r="AE38" s="37" t="n">
        <f aca="false">IF($J38&lt;=Home_Data!$B$61,Home_Data!$B$64,IF($J38&gt;=Home_Data!$B$63,Home_Data!$B$66,IF($J38&lt;=Home_Data!$B$62,Home_Data!$B$64+(Home_Data!$B$65-Home_Data!$B$64)*(LN($J38)-LN(Home_Data!$B$61))/(LN(Home_Data!$B$62)-LN(Home_Data!$B$61)),Home_Data!$B$65+(Home_Data!$B$66-Home_Data!$B$65)*(LN($J38)-LN(Home_Data!$B$62))/(LN(Home_Data!$B$63)-LN(Home_Data!$B$62)))))</f>
        <v>1</v>
      </c>
      <c r="AF38" s="38" t="n">
        <f aca="false">IF($E38&gt;=20,Home_Data!$B$80,IF($E38&gt;=10,Home_Data!$B$79,1))</f>
        <v>1</v>
      </c>
      <c r="AG38" s="38" t="n">
        <f aca="false">IF($D38&lt;1960,Home_Data!$B$81,IF($D38&lt;1980,Home_Data!$B$82,IF($D38&gt;=2000,Home_Data!$B$83,1)))</f>
        <v>0.95</v>
      </c>
      <c r="AH38" s="38" t="n">
        <f aca="false">IF($F38="brick",Home_Data!$B$78,1)</f>
        <v>1</v>
      </c>
      <c r="AI38" s="38" t="n">
        <f aca="false">IF($G38="rental",Home_Data!$B$84,IF($G38="vacation",Home_Data!$B$85,1))</f>
        <v>1</v>
      </c>
      <c r="AJ38" s="38" t="n">
        <f aca="false">INDEX(Home_Data!$B$70:$B$73,MIN(3,MAX(0,$H38))+1)</f>
        <v>1</v>
      </c>
      <c r="AK38" s="38" t="n">
        <f aca="false">IF(INDEX(Home_Data!$H$5:$H$56,V38)="Yes",1,IF($L38="poor",Home_Data!$B$74,IF($L38="fair",Home_Data!$B$75,IF($L38="excellent",Home_Data!$B$77,Home_Data!$B$76))))</f>
        <v>1</v>
      </c>
      <c r="AL38" s="38" t="n">
        <f aca="false">IF(($N38=1),Home_Data!$B$86,1)*IF(($O38=1),Home_Data!$B$87,1)*IF(($P38=1),Home_Data!$B$88,1)</f>
        <v>1.08</v>
      </c>
      <c r="AM38" s="34" t="n">
        <f aca="false">AC38*AD38*AE38*AF38*AG38*AH38*AI38*AJ38*AK38*AL38</f>
        <v>6222.32649412631</v>
      </c>
      <c r="AN38" s="34" t="n">
        <f aca="false">AM38*EXP(-Car_Data!$B$123*Home_Data!$B$91)</f>
        <v>4531.86560773153</v>
      </c>
      <c r="AO38" s="34" t="n">
        <f aca="false">AM38*EXP(Car_Data!$B$123*Home_Data!$B$91)</f>
        <v>8543.35727287522</v>
      </c>
      <c r="AP38" s="39" t="str">
        <f aca="false">IF($U38&gt;0,IF(AND($U38&gt;=AN38,$U38&lt;=AO38),1,0),"")</f>
        <v/>
      </c>
      <c r="AQ38" s="40" t="str">
        <f aca="false">IF($U38&gt;0,$U38/AM38-1,"")</f>
        <v/>
      </c>
    </row>
    <row r="39" customFormat="false" ht="15" hidden="false" customHeight="false" outlineLevel="0" collapsed="false">
      <c r="A39" s="6" t="s">
        <v>303</v>
      </c>
      <c r="B39" s="6" t="s">
        <v>56</v>
      </c>
      <c r="C39" s="6" t="n">
        <v>1500</v>
      </c>
      <c r="D39" s="6" t="n">
        <v>2009</v>
      </c>
      <c r="E39" s="6" t="n">
        <v>8</v>
      </c>
      <c r="F39" s="6" t="s">
        <v>261</v>
      </c>
      <c r="G39" s="6" t="s">
        <v>136</v>
      </c>
      <c r="H39" s="6" t="n">
        <v>0</v>
      </c>
      <c r="I39" s="23" t="n">
        <v>380000</v>
      </c>
      <c r="J39" s="23" t="n">
        <v>1000</v>
      </c>
      <c r="K39" s="6" t="n">
        <v>300</v>
      </c>
      <c r="L39" s="6" t="s">
        <v>72</v>
      </c>
      <c r="M39" s="6" t="n">
        <v>0</v>
      </c>
      <c r="N39" s="6" t="n">
        <v>0</v>
      </c>
      <c r="O39" s="6" t="n">
        <v>1</v>
      </c>
      <c r="P39" s="6" t="n">
        <v>1</v>
      </c>
      <c r="Q39" s="6" t="n">
        <v>0</v>
      </c>
      <c r="R39" s="6" t="s">
        <v>276</v>
      </c>
      <c r="S39" s="5"/>
      <c r="T39" s="32"/>
      <c r="U39" s="17"/>
      <c r="V39" s="33" t="n">
        <f aca="false">MATCH($B39,Home_Data!$B$5:$B$56,0)</f>
        <v>43</v>
      </c>
      <c r="W39" s="34" t="n">
        <f aca="false">MIN(MAX($I39,50000),3000000)</f>
        <v>380000</v>
      </c>
      <c r="X39" s="35" t="n">
        <f aca="false">IFERROR(MIN(3,MAX(1,MATCH(W39,Home_Data!$C$4:$F$4,1))),1)</f>
        <v>2</v>
      </c>
      <c r="Y39" s="36" t="n">
        <f aca="false">INDEX(Home_Data!$C$5:$F$56,V39,X39)</f>
        <v>4582</v>
      </c>
      <c r="Z39" s="36" t="n">
        <f aca="false">INDEX(Home_Data!$C$5:$F$56,V39,X39+1)</f>
        <v>5733</v>
      </c>
      <c r="AA39" s="36" t="n">
        <f aca="false">INDEX(Home_Data!$C$4:$F$4,X39)</f>
        <v>300000</v>
      </c>
      <c r="AB39" s="36" t="n">
        <f aca="false">INDEX(Home_Data!$C$4:$F$4,X39+1)</f>
        <v>400000</v>
      </c>
      <c r="AC39" s="36" t="n">
        <f aca="false">IF($I39&lt;200000,INDEX(Home_Data!$C$5:$F$56,V39,1)*(MAX($I39,Home_Data!$B$90)/200000)^Home_Data!$B$89,Y39*(W39/AA39)^(LN(Z39/Y39)/LN(AB39/AA39)))</f>
        <v>5508.441036105</v>
      </c>
      <c r="AD39" s="37" t="n">
        <f aca="false">IF($K39=100,Home_Data!$B$67,IF($K39=500,Home_Data!$B$69,Home_Data!$B$68))</f>
        <v>1</v>
      </c>
      <c r="AE39" s="37" t="n">
        <f aca="false">IF($J39&lt;=Home_Data!$B$61,Home_Data!$B$64,IF($J39&gt;=Home_Data!$B$63,Home_Data!$B$66,IF($J39&lt;=Home_Data!$B$62,Home_Data!$B$64+(Home_Data!$B$65-Home_Data!$B$64)*(LN($J39)-LN(Home_Data!$B$61))/(LN(Home_Data!$B$62)-LN(Home_Data!$B$61)),Home_Data!$B$65+(Home_Data!$B$66-Home_Data!$B$65)*(LN($J39)-LN(Home_Data!$B$62))/(LN(Home_Data!$B$63)-LN(Home_Data!$B$62)))))</f>
        <v>1</v>
      </c>
      <c r="AF39" s="38" t="n">
        <f aca="false">IF($E39&gt;=20,Home_Data!$B$80,IF($E39&gt;=10,Home_Data!$B$79,1))</f>
        <v>1</v>
      </c>
      <c r="AG39" s="38" t="n">
        <f aca="false">IF($D39&lt;1960,Home_Data!$B$81,IF($D39&lt;1980,Home_Data!$B$82,IF($D39&gt;=2000,Home_Data!$B$83,1)))</f>
        <v>0.95</v>
      </c>
      <c r="AH39" s="38" t="n">
        <f aca="false">IF($F39="brick",Home_Data!$B$78,1)</f>
        <v>0.98</v>
      </c>
      <c r="AI39" s="38" t="n">
        <f aca="false">IF($G39="rental",Home_Data!$B$84,IF($G39="vacation",Home_Data!$B$85,1))</f>
        <v>1</v>
      </c>
      <c r="AJ39" s="38" t="n">
        <f aca="false">INDEX(Home_Data!$B$70:$B$73,MIN(3,MAX(0,$H39))+1)</f>
        <v>1</v>
      </c>
      <c r="AK39" s="38" t="n">
        <f aca="false">IF(INDEX(Home_Data!$H$5:$H$56,V39)="Yes",1,IF($L39="poor",Home_Data!$B$74,IF($L39="fair",Home_Data!$B$75,IF($L39="excellent",Home_Data!$B$77,Home_Data!$B$76))))</f>
        <v>1</v>
      </c>
      <c r="AL39" s="38" t="n">
        <f aca="false">IF(($N39=1),Home_Data!$B$86,1)*IF(($O39=1),Home_Data!$B$87,1)*IF(($P39=1),Home_Data!$B$88,1)</f>
        <v>1.242</v>
      </c>
      <c r="AM39" s="34" t="n">
        <f aca="false">AC39*AD39*AE39*AF39*AG39*AH39*AI39*AJ39*AK39*AL39</f>
        <v>6369.42138693028</v>
      </c>
      <c r="AN39" s="34" t="n">
        <f aca="false">AM39*EXP(-Car_Data!$B$123*Home_Data!$B$91)</f>
        <v>4638.99825118901</v>
      </c>
      <c r="AO39" s="34" t="n">
        <f aca="false">AM39*EXP(Car_Data!$B$123*Home_Data!$B$91)</f>
        <v>8745.32099551591</v>
      </c>
      <c r="AP39" s="39" t="str">
        <f aca="false">IF($U39&gt;0,IF(AND($U39&gt;=AN39,$U39&lt;=AO39),1,0),"")</f>
        <v/>
      </c>
      <c r="AQ39" s="40" t="str">
        <f aca="false">IF($U39&gt;0,$U39/AM39-1,"")</f>
        <v/>
      </c>
    </row>
    <row r="40" customFormat="false" ht="15" hidden="false" customHeight="false" outlineLevel="0" collapsed="false">
      <c r="A40" s="6" t="s">
        <v>304</v>
      </c>
      <c r="B40" s="6" t="s">
        <v>56</v>
      </c>
      <c r="C40" s="6" t="n">
        <v>1200</v>
      </c>
      <c r="D40" s="6" t="n">
        <v>1997</v>
      </c>
      <c r="E40" s="6" t="n">
        <v>6</v>
      </c>
      <c r="F40" s="6" t="s">
        <v>133</v>
      </c>
      <c r="G40" s="6" t="s">
        <v>136</v>
      </c>
      <c r="H40" s="6" t="n">
        <v>0</v>
      </c>
      <c r="I40" s="23" t="n">
        <v>305000</v>
      </c>
      <c r="J40" s="23" t="n">
        <v>1000</v>
      </c>
      <c r="K40" s="6" t="n">
        <v>300</v>
      </c>
      <c r="L40" s="6" t="s">
        <v>264</v>
      </c>
      <c r="M40" s="6" t="n">
        <v>0</v>
      </c>
      <c r="N40" s="6" t="n">
        <v>0</v>
      </c>
      <c r="O40" s="6" t="n">
        <v>0</v>
      </c>
      <c r="P40" s="6" t="n">
        <v>0</v>
      </c>
      <c r="Q40" s="6" t="n">
        <v>0</v>
      </c>
      <c r="R40" s="6" t="s">
        <v>267</v>
      </c>
      <c r="S40" s="5"/>
      <c r="T40" s="32"/>
      <c r="U40" s="17"/>
      <c r="V40" s="33" t="n">
        <f aca="false">MATCH($B40,Home_Data!$B$5:$B$56,0)</f>
        <v>43</v>
      </c>
      <c r="W40" s="34" t="n">
        <f aca="false">MIN(MAX($I40,50000),3000000)</f>
        <v>305000</v>
      </c>
      <c r="X40" s="35" t="n">
        <f aca="false">IFERROR(MIN(3,MAX(1,MATCH(W40,Home_Data!$C$4:$F$4,1))),1)</f>
        <v>2</v>
      </c>
      <c r="Y40" s="36" t="n">
        <f aca="false">INDEX(Home_Data!$C$5:$F$56,V40,X40)</f>
        <v>4582</v>
      </c>
      <c r="Z40" s="36" t="n">
        <f aca="false">INDEX(Home_Data!$C$5:$F$56,V40,X40+1)</f>
        <v>5733</v>
      </c>
      <c r="AA40" s="36" t="n">
        <f aca="false">INDEX(Home_Data!$C$4:$F$4,X40)</f>
        <v>300000</v>
      </c>
      <c r="AB40" s="36" t="n">
        <f aca="false">INDEX(Home_Data!$C$4:$F$4,X40+1)</f>
        <v>400000</v>
      </c>
      <c r="AC40" s="36" t="n">
        <f aca="false">IF($I40&lt;200000,INDEX(Home_Data!$C$5:$F$56,V40,1)*(MAX($I40,Home_Data!$B$90)/200000)^Home_Data!$B$89,Y40*(W40/AA40)^(LN(Z40/Y40)/LN(AB40/AA40)))</f>
        <v>4641.38055241262</v>
      </c>
      <c r="AD40" s="37" t="n">
        <f aca="false">IF($K40=100,Home_Data!$B$67,IF($K40=500,Home_Data!$B$69,Home_Data!$B$68))</f>
        <v>1</v>
      </c>
      <c r="AE40" s="37" t="n">
        <f aca="false">IF($J40&lt;=Home_Data!$B$61,Home_Data!$B$64,IF($J40&gt;=Home_Data!$B$63,Home_Data!$B$66,IF($J40&lt;=Home_Data!$B$62,Home_Data!$B$64+(Home_Data!$B$65-Home_Data!$B$64)*(LN($J40)-LN(Home_Data!$B$61))/(LN(Home_Data!$B$62)-LN(Home_Data!$B$61)),Home_Data!$B$65+(Home_Data!$B$66-Home_Data!$B$65)*(LN($J40)-LN(Home_Data!$B$62))/(LN(Home_Data!$B$63)-LN(Home_Data!$B$62)))))</f>
        <v>1</v>
      </c>
      <c r="AF40" s="38" t="n">
        <f aca="false">IF($E40&gt;=20,Home_Data!$B$80,IF($E40&gt;=10,Home_Data!$B$79,1))</f>
        <v>1</v>
      </c>
      <c r="AG40" s="38" t="n">
        <f aca="false">IF($D40&lt;1960,Home_Data!$B$81,IF($D40&lt;1980,Home_Data!$B$82,IF($D40&gt;=2000,Home_Data!$B$83,1)))</f>
        <v>1</v>
      </c>
      <c r="AH40" s="38" t="n">
        <f aca="false">IF($F40="brick",Home_Data!$B$78,1)</f>
        <v>1</v>
      </c>
      <c r="AI40" s="38" t="n">
        <f aca="false">IF($G40="rental",Home_Data!$B$84,IF($G40="vacation",Home_Data!$B$85,1))</f>
        <v>1</v>
      </c>
      <c r="AJ40" s="38" t="n">
        <f aca="false">INDEX(Home_Data!$B$70:$B$73,MIN(3,MAX(0,$H40))+1)</f>
        <v>1</v>
      </c>
      <c r="AK40" s="38" t="n">
        <f aca="false">IF(INDEX(Home_Data!$H$5:$H$56,V40)="Yes",1,IF($L40="poor",Home_Data!$B$74,IF($L40="fair",Home_Data!$B$75,IF($L40="excellent",Home_Data!$B$77,Home_Data!$B$76))))</f>
        <v>0.89</v>
      </c>
      <c r="AL40" s="38" t="n">
        <f aca="false">IF(($N40=1),Home_Data!$B$86,1)*IF(($O40=1),Home_Data!$B$87,1)*IF(($P40=1),Home_Data!$B$88,1)</f>
        <v>1</v>
      </c>
      <c r="AM40" s="34" t="n">
        <f aca="false">AC40*AD40*AE40*AF40*AG40*AH40*AI40*AJ40*AK40*AL40</f>
        <v>4130.82869164724</v>
      </c>
      <c r="AN40" s="34" t="n">
        <f aca="false">AM40*EXP(-Car_Data!$B$123*Home_Data!$B$91)</f>
        <v>3008.578944994</v>
      </c>
      <c r="AO40" s="34" t="n">
        <f aca="false">AM40*EXP(Car_Data!$B$123*Home_Data!$B$91)</f>
        <v>5671.69617009004</v>
      </c>
      <c r="AP40" s="39" t="str">
        <f aca="false">IF($U40&gt;0,IF(AND($U40&gt;=AN40,$U40&lt;=AO40),1,0),"")</f>
        <v/>
      </c>
      <c r="AQ40" s="40" t="str">
        <f aca="false">IF($U40&gt;0,$U40/AM40-1,"")</f>
        <v/>
      </c>
    </row>
    <row r="41" customFormat="false" ht="15" hidden="false" customHeight="false" outlineLevel="0" collapsed="false">
      <c r="A41" s="6" t="s">
        <v>305</v>
      </c>
      <c r="B41" s="6" t="s">
        <v>56</v>
      </c>
      <c r="C41" s="6" t="n">
        <v>1900</v>
      </c>
      <c r="D41" s="6" t="n">
        <v>1979</v>
      </c>
      <c r="E41" s="6" t="n">
        <v>10</v>
      </c>
      <c r="F41" s="6" t="s">
        <v>133</v>
      </c>
      <c r="G41" s="6" t="s">
        <v>136</v>
      </c>
      <c r="H41" s="6" t="n">
        <v>0</v>
      </c>
      <c r="I41" s="23" t="n">
        <v>475000</v>
      </c>
      <c r="J41" s="23" t="n">
        <v>2500</v>
      </c>
      <c r="K41" s="6" t="n">
        <v>300</v>
      </c>
      <c r="L41" s="6" t="s">
        <v>72</v>
      </c>
      <c r="M41" s="6" t="n">
        <v>1</v>
      </c>
      <c r="N41" s="6" t="n">
        <v>0</v>
      </c>
      <c r="O41" s="6" t="n">
        <v>1</v>
      </c>
      <c r="P41" s="6" t="n">
        <v>0</v>
      </c>
      <c r="Q41" s="6" t="n">
        <v>0</v>
      </c>
      <c r="R41" s="6" t="s">
        <v>306</v>
      </c>
      <c r="S41" s="5"/>
      <c r="T41" s="32"/>
      <c r="U41" s="17"/>
      <c r="V41" s="33" t="n">
        <f aca="false">MATCH($B41,Home_Data!$B$5:$B$56,0)</f>
        <v>43</v>
      </c>
      <c r="W41" s="34" t="n">
        <f aca="false">MIN(MAX($I41,50000),3000000)</f>
        <v>475000</v>
      </c>
      <c r="X41" s="35" t="n">
        <f aca="false">IFERROR(MIN(3,MAX(1,MATCH(W41,Home_Data!$C$4:$F$4,1))),1)</f>
        <v>3</v>
      </c>
      <c r="Y41" s="36" t="n">
        <f aca="false">INDEX(Home_Data!$C$5:$F$56,V41,X41)</f>
        <v>5733</v>
      </c>
      <c r="Z41" s="36" t="n">
        <f aca="false">INDEX(Home_Data!$C$5:$F$56,V41,X41+1)</f>
        <v>7858</v>
      </c>
      <c r="AA41" s="36" t="n">
        <f aca="false">INDEX(Home_Data!$C$4:$F$4,X41)</f>
        <v>400000</v>
      </c>
      <c r="AB41" s="36" t="n">
        <f aca="false">INDEX(Home_Data!$C$4:$F$4,X41+1)</f>
        <v>600000</v>
      </c>
      <c r="AC41" s="36" t="n">
        <f aca="false">IF($I41&lt;200000,INDEX(Home_Data!$C$5:$F$56,V41,1)*(MAX($I41,Home_Data!$B$90)/200000)^Home_Data!$B$89,Y41*(W41/AA41)^(LN(Z41/Y41)/LN(AB41/AA41)))</f>
        <v>6552.66080397123</v>
      </c>
      <c r="AD41" s="37" t="n">
        <f aca="false">IF($K41=100,Home_Data!$B$67,IF($K41=500,Home_Data!$B$69,Home_Data!$B$68))</f>
        <v>1</v>
      </c>
      <c r="AE41" s="37" t="n">
        <f aca="false">IF($J41&lt;=Home_Data!$B$61,Home_Data!$B$64,IF($J41&gt;=Home_Data!$B$63,Home_Data!$B$66,IF($J41&lt;=Home_Data!$B$62,Home_Data!$B$64+(Home_Data!$B$65-Home_Data!$B$64)*(LN($J41)-LN(Home_Data!$B$61))/(LN(Home_Data!$B$62)-LN(Home_Data!$B$61)),Home_Data!$B$65+(Home_Data!$B$66-Home_Data!$B$65)*(LN($J41)-LN(Home_Data!$B$62))/(LN(Home_Data!$B$63)-LN(Home_Data!$B$62)))))</f>
        <v>0.91</v>
      </c>
      <c r="AF41" s="38" t="n">
        <f aca="false">IF($E41&gt;=20,Home_Data!$B$80,IF($E41&gt;=10,Home_Data!$B$79,1))</f>
        <v>1.1</v>
      </c>
      <c r="AG41" s="38" t="n">
        <f aca="false">IF($D41&lt;1960,Home_Data!$B$81,IF($D41&lt;1980,Home_Data!$B$82,IF($D41&gt;=2000,Home_Data!$B$83,1)))</f>
        <v>1.08</v>
      </c>
      <c r="AH41" s="38" t="n">
        <f aca="false">IF($F41="brick",Home_Data!$B$78,1)</f>
        <v>1</v>
      </c>
      <c r="AI41" s="38" t="n">
        <f aca="false">IF($G41="rental",Home_Data!$B$84,IF($G41="vacation",Home_Data!$B$85,1))</f>
        <v>1</v>
      </c>
      <c r="AJ41" s="38" t="n">
        <f aca="false">INDEX(Home_Data!$B$70:$B$73,MIN(3,MAX(0,$H41))+1)</f>
        <v>1</v>
      </c>
      <c r="AK41" s="38" t="n">
        <f aca="false">IF(INDEX(Home_Data!$H$5:$H$56,V41)="Yes",1,IF($L41="poor",Home_Data!$B$74,IF($L41="fair",Home_Data!$B$75,IF($L41="excellent",Home_Data!$B$77,Home_Data!$B$76))))</f>
        <v>1</v>
      </c>
      <c r="AL41" s="38" t="n">
        <f aca="false">IF(($N41=1),Home_Data!$B$86,1)*IF(($O41=1),Home_Data!$B$87,1)*IF(($P41=1),Home_Data!$B$88,1)</f>
        <v>1.15</v>
      </c>
      <c r="AM41" s="34" t="n">
        <f aca="false">AC41*AD41*AE41*AF41*AG41*AH41*AI41*AJ41*AK41*AL41</f>
        <v>8146.5431232508</v>
      </c>
      <c r="AN41" s="34" t="n">
        <f aca="false">AM41*EXP(-Car_Data!$B$123*Home_Data!$B$91)</f>
        <v>5933.31748776163</v>
      </c>
      <c r="AO41" s="34" t="n">
        <f aca="false">AM41*EXP(Car_Data!$B$123*Home_Data!$B$91)</f>
        <v>11185.3385556858</v>
      </c>
      <c r="AP41" s="39" t="str">
        <f aca="false">IF($U41&gt;0,IF(AND($U41&gt;=AN41,$U41&lt;=AO41),1,0),"")</f>
        <v/>
      </c>
      <c r="AQ41" s="40" t="str">
        <f aca="false">IF($U41&gt;0,$U41/AM41-1,"")</f>
        <v/>
      </c>
    </row>
    <row r="42" customFormat="false" ht="15" hidden="false" customHeight="false" outlineLevel="0" collapsed="false">
      <c r="A42" s="6" t="s">
        <v>307</v>
      </c>
      <c r="B42" s="6" t="s">
        <v>56</v>
      </c>
      <c r="C42" s="6" t="n">
        <v>1500</v>
      </c>
      <c r="D42" s="6" t="n">
        <v>1960</v>
      </c>
      <c r="E42" s="6" t="n">
        <v>20</v>
      </c>
      <c r="F42" s="6" t="s">
        <v>261</v>
      </c>
      <c r="G42" s="6" t="s">
        <v>136</v>
      </c>
      <c r="H42" s="6" t="n">
        <v>1</v>
      </c>
      <c r="I42" s="23" t="n">
        <v>440000</v>
      </c>
      <c r="J42" s="23" t="n">
        <v>2500</v>
      </c>
      <c r="K42" s="6" t="n">
        <v>300</v>
      </c>
      <c r="L42" s="6" t="s">
        <v>72</v>
      </c>
      <c r="M42" s="6" t="n">
        <v>0</v>
      </c>
      <c r="N42" s="6" t="n">
        <v>1</v>
      </c>
      <c r="O42" s="6" t="n">
        <v>0</v>
      </c>
      <c r="P42" s="6" t="n">
        <v>1</v>
      </c>
      <c r="Q42" s="6" t="n">
        <v>0</v>
      </c>
      <c r="R42" s="6" t="s">
        <v>269</v>
      </c>
      <c r="S42" s="5"/>
      <c r="T42" s="32"/>
      <c r="U42" s="17"/>
      <c r="V42" s="33" t="n">
        <f aca="false">MATCH($B42,Home_Data!$B$5:$B$56,0)</f>
        <v>43</v>
      </c>
      <c r="W42" s="34" t="n">
        <f aca="false">MIN(MAX($I42,50000),3000000)</f>
        <v>440000</v>
      </c>
      <c r="X42" s="35" t="n">
        <f aca="false">IFERROR(MIN(3,MAX(1,MATCH(W42,Home_Data!$C$4:$F$4,1))),1)</f>
        <v>3</v>
      </c>
      <c r="Y42" s="36" t="n">
        <f aca="false">INDEX(Home_Data!$C$5:$F$56,V42,X42)</f>
        <v>5733</v>
      </c>
      <c r="Z42" s="36" t="n">
        <f aca="false">INDEX(Home_Data!$C$5:$F$56,V42,X42+1)</f>
        <v>7858</v>
      </c>
      <c r="AA42" s="36" t="n">
        <f aca="false">INDEX(Home_Data!$C$4:$F$4,X42)</f>
        <v>400000</v>
      </c>
      <c r="AB42" s="36" t="n">
        <f aca="false">INDEX(Home_Data!$C$4:$F$4,X42+1)</f>
        <v>600000</v>
      </c>
      <c r="AC42" s="36" t="n">
        <f aca="false">IF($I42&lt;200000,INDEX(Home_Data!$C$5:$F$56,V42,1)*(MAX($I42,Home_Data!$B$90)/200000)^Home_Data!$B$89,Y42*(W42/AA42)^(LN(Z42/Y42)/LN(AB42/AA42)))</f>
        <v>6174.03732925633</v>
      </c>
      <c r="AD42" s="37" t="n">
        <f aca="false">IF($K42=100,Home_Data!$B$67,IF($K42=500,Home_Data!$B$69,Home_Data!$B$68))</f>
        <v>1</v>
      </c>
      <c r="AE42" s="37" t="n">
        <f aca="false">IF($J42&lt;=Home_Data!$B$61,Home_Data!$B$64,IF($J42&gt;=Home_Data!$B$63,Home_Data!$B$66,IF($J42&lt;=Home_Data!$B$62,Home_Data!$B$64+(Home_Data!$B$65-Home_Data!$B$64)*(LN($J42)-LN(Home_Data!$B$61))/(LN(Home_Data!$B$62)-LN(Home_Data!$B$61)),Home_Data!$B$65+(Home_Data!$B$66-Home_Data!$B$65)*(LN($J42)-LN(Home_Data!$B$62))/(LN(Home_Data!$B$63)-LN(Home_Data!$B$62)))))</f>
        <v>0.91</v>
      </c>
      <c r="AF42" s="38" t="n">
        <f aca="false">IF($E42&gt;=20,Home_Data!$B$80,IF($E42&gt;=10,Home_Data!$B$79,1))</f>
        <v>1.3</v>
      </c>
      <c r="AG42" s="38" t="n">
        <f aca="false">IF($D42&lt;1960,Home_Data!$B$81,IF($D42&lt;1980,Home_Data!$B$82,IF($D42&gt;=2000,Home_Data!$B$83,1)))</f>
        <v>1.08</v>
      </c>
      <c r="AH42" s="38" t="n">
        <f aca="false">IF($F42="brick",Home_Data!$B$78,1)</f>
        <v>0.98</v>
      </c>
      <c r="AI42" s="38" t="n">
        <f aca="false">IF($G42="rental",Home_Data!$B$84,IF($G42="vacation",Home_Data!$B$85,1))</f>
        <v>1</v>
      </c>
      <c r="AJ42" s="38" t="n">
        <f aca="false">INDEX(Home_Data!$B$70:$B$73,MIN(3,MAX(0,$H42))+1)</f>
        <v>1.16</v>
      </c>
      <c r="AK42" s="38" t="n">
        <f aca="false">IF(INDEX(Home_Data!$H$5:$H$56,V42)="Yes",1,IF($L42="poor",Home_Data!$B$74,IF($L42="fair",Home_Data!$B$75,IF($L42="excellent",Home_Data!$B$77,Home_Data!$B$76))))</f>
        <v>1</v>
      </c>
      <c r="AL42" s="38" t="n">
        <f aca="false">IF(($N42=1),Home_Data!$B$86,1)*IF(($O42=1),Home_Data!$B$87,1)*IF(($P42=1),Home_Data!$B$88,1)</f>
        <v>1.242</v>
      </c>
      <c r="AM42" s="34" t="n">
        <f aca="false">AC42*AD42*AE42*AF42*AG42*AH42*AI42*AJ42*AK42*AL42</f>
        <v>11137.3895935299</v>
      </c>
      <c r="AN42" s="34" t="n">
        <f aca="false">AM42*EXP(-Car_Data!$B$123*Home_Data!$B$91)</f>
        <v>8111.62077503811</v>
      </c>
      <c r="AO42" s="34" t="n">
        <f aca="false">AM42*EXP(Car_Data!$B$123*Home_Data!$B$91)</f>
        <v>15291.8202660287</v>
      </c>
      <c r="AP42" s="39" t="str">
        <f aca="false">IF($U42&gt;0,IF(AND($U42&gt;=AN42,$U42&lt;=AO42),1,0),"")</f>
        <v/>
      </c>
      <c r="AQ42" s="40" t="str">
        <f aca="false">IF($U42&gt;0,$U42/AM42-1,"")</f>
        <v/>
      </c>
    </row>
    <row r="43" customFormat="false" ht="15" hidden="false" customHeight="false" outlineLevel="0" collapsed="false">
      <c r="A43" s="6" t="s">
        <v>308</v>
      </c>
      <c r="B43" s="6" t="s">
        <v>56</v>
      </c>
      <c r="C43" s="6" t="n">
        <v>1750</v>
      </c>
      <c r="D43" s="6" t="n">
        <v>2022</v>
      </c>
      <c r="E43" s="6" t="n">
        <v>0</v>
      </c>
      <c r="F43" s="6" t="s">
        <v>133</v>
      </c>
      <c r="G43" s="6" t="s">
        <v>136</v>
      </c>
      <c r="H43" s="6" t="n">
        <v>1</v>
      </c>
      <c r="I43" s="23" t="n">
        <v>405000</v>
      </c>
      <c r="J43" s="23" t="n">
        <v>1000</v>
      </c>
      <c r="K43" s="6" t="n">
        <v>300</v>
      </c>
      <c r="L43" s="6" t="s">
        <v>72</v>
      </c>
      <c r="M43" s="6" t="n">
        <v>0</v>
      </c>
      <c r="N43" s="6" t="n">
        <v>0</v>
      </c>
      <c r="O43" s="6" t="n">
        <v>1</v>
      </c>
      <c r="P43" s="6" t="n">
        <v>1</v>
      </c>
      <c r="Q43" s="6" t="n">
        <v>0</v>
      </c>
      <c r="R43" s="6" t="s">
        <v>276</v>
      </c>
      <c r="S43" s="5"/>
      <c r="T43" s="32"/>
      <c r="U43" s="17"/>
      <c r="V43" s="33" t="n">
        <f aca="false">MATCH($B43,Home_Data!$B$5:$B$56,0)</f>
        <v>43</v>
      </c>
      <c r="W43" s="34" t="n">
        <f aca="false">MIN(MAX($I43,50000),3000000)</f>
        <v>405000</v>
      </c>
      <c r="X43" s="35" t="n">
        <f aca="false">IFERROR(MIN(3,MAX(1,MATCH(W43,Home_Data!$C$4:$F$4,1))),1)</f>
        <v>3</v>
      </c>
      <c r="Y43" s="36" t="n">
        <f aca="false">INDEX(Home_Data!$C$5:$F$56,V43,X43)</f>
        <v>5733</v>
      </c>
      <c r="Z43" s="36" t="n">
        <f aca="false">INDEX(Home_Data!$C$5:$F$56,V43,X43+1)</f>
        <v>7858</v>
      </c>
      <c r="AA43" s="36" t="n">
        <f aca="false">INDEX(Home_Data!$C$4:$F$4,X43)</f>
        <v>400000</v>
      </c>
      <c r="AB43" s="36" t="n">
        <f aca="false">INDEX(Home_Data!$C$4:$F$4,X43+1)</f>
        <v>600000</v>
      </c>
      <c r="AC43" s="36" t="n">
        <f aca="false">IF($I43&lt;200000,INDEX(Home_Data!$C$5:$F$56,V43,1)*(MAX($I43,Home_Data!$B$90)/200000)^Home_Data!$B$89,Y43*(W43/AA43)^(LN(Z43/Y43)/LN(AB43/AA43)))</f>
        <v>5788.64831495849</v>
      </c>
      <c r="AD43" s="37" t="n">
        <f aca="false">IF($K43=100,Home_Data!$B$67,IF($K43=500,Home_Data!$B$69,Home_Data!$B$68))</f>
        <v>1</v>
      </c>
      <c r="AE43" s="37" t="n">
        <f aca="false">IF($J43&lt;=Home_Data!$B$61,Home_Data!$B$64,IF($J43&gt;=Home_Data!$B$63,Home_Data!$B$66,IF($J43&lt;=Home_Data!$B$62,Home_Data!$B$64+(Home_Data!$B$65-Home_Data!$B$64)*(LN($J43)-LN(Home_Data!$B$61))/(LN(Home_Data!$B$62)-LN(Home_Data!$B$61)),Home_Data!$B$65+(Home_Data!$B$66-Home_Data!$B$65)*(LN($J43)-LN(Home_Data!$B$62))/(LN(Home_Data!$B$63)-LN(Home_Data!$B$62)))))</f>
        <v>1</v>
      </c>
      <c r="AF43" s="38" t="n">
        <f aca="false">IF($E43&gt;=20,Home_Data!$B$80,IF($E43&gt;=10,Home_Data!$B$79,1))</f>
        <v>1</v>
      </c>
      <c r="AG43" s="38" t="n">
        <f aca="false">IF($D43&lt;1960,Home_Data!$B$81,IF($D43&lt;1980,Home_Data!$B$82,IF($D43&gt;=2000,Home_Data!$B$83,1)))</f>
        <v>0.95</v>
      </c>
      <c r="AH43" s="38" t="n">
        <f aca="false">IF($F43="brick",Home_Data!$B$78,1)</f>
        <v>1</v>
      </c>
      <c r="AI43" s="38" t="n">
        <f aca="false">IF($G43="rental",Home_Data!$B$84,IF($G43="vacation",Home_Data!$B$85,1))</f>
        <v>1</v>
      </c>
      <c r="AJ43" s="38" t="n">
        <f aca="false">INDEX(Home_Data!$B$70:$B$73,MIN(3,MAX(0,$H43))+1)</f>
        <v>1.16</v>
      </c>
      <c r="AK43" s="38" t="n">
        <f aca="false">IF(INDEX(Home_Data!$H$5:$H$56,V43)="Yes",1,IF($L43="poor",Home_Data!$B$74,IF($L43="fair",Home_Data!$B$75,IF($L43="excellent",Home_Data!$B$77,Home_Data!$B$76))))</f>
        <v>1</v>
      </c>
      <c r="AL43" s="38" t="n">
        <f aca="false">IF(($N43=1),Home_Data!$B$86,1)*IF(($O43=1),Home_Data!$B$87,1)*IF(($P43=1),Home_Data!$B$88,1)</f>
        <v>1.242</v>
      </c>
      <c r="AM43" s="34" t="n">
        <f aca="false">AC43*AD43*AE43*AF43*AG43*AH43*AI43*AJ43*AK43*AL43</f>
        <v>7922.83033031064</v>
      </c>
      <c r="AN43" s="34" t="n">
        <f aca="false">AM43*EXP(-Car_Data!$B$123*Home_Data!$B$91)</f>
        <v>5770.38223945987</v>
      </c>
      <c r="AO43" s="34" t="n">
        <f aca="false">AM43*EXP(Car_Data!$B$123*Home_Data!$B$91)</f>
        <v>10878.1771879233</v>
      </c>
      <c r="AP43" s="39" t="str">
        <f aca="false">IF($U43&gt;0,IF(AND($U43&gt;=AN43,$U43&lt;=AO43),1,0),"")</f>
        <v/>
      </c>
      <c r="AQ43" s="40" t="str">
        <f aca="false">IF($U43&gt;0,$U43/AM43-1,"")</f>
        <v/>
      </c>
    </row>
    <row r="44" customFormat="false" ht="15" hidden="false" customHeight="false" outlineLevel="0" collapsed="false">
      <c r="A44" s="6" t="s">
        <v>309</v>
      </c>
      <c r="B44" s="6" t="s">
        <v>56</v>
      </c>
      <c r="C44" s="6" t="n">
        <v>3550</v>
      </c>
      <c r="D44" s="6" t="n">
        <v>1979</v>
      </c>
      <c r="E44" s="6" t="n">
        <v>11</v>
      </c>
      <c r="F44" s="6" t="s">
        <v>133</v>
      </c>
      <c r="G44" s="6" t="s">
        <v>136</v>
      </c>
      <c r="H44" s="6" t="n">
        <v>0</v>
      </c>
      <c r="I44" s="23" t="n">
        <v>885000</v>
      </c>
      <c r="J44" s="23" t="n">
        <v>2500</v>
      </c>
      <c r="K44" s="6" t="n">
        <v>300</v>
      </c>
      <c r="L44" s="6" t="s">
        <v>264</v>
      </c>
      <c r="M44" s="6" t="n">
        <v>0</v>
      </c>
      <c r="N44" s="6" t="n">
        <v>0</v>
      </c>
      <c r="O44" s="6" t="n">
        <v>0</v>
      </c>
      <c r="P44" s="6" t="n">
        <v>1</v>
      </c>
      <c r="Q44" s="6" t="n">
        <v>0</v>
      </c>
      <c r="R44" s="6" t="s">
        <v>262</v>
      </c>
      <c r="S44" s="5"/>
      <c r="T44" s="32"/>
      <c r="U44" s="17"/>
      <c r="V44" s="33" t="n">
        <f aca="false">MATCH($B44,Home_Data!$B$5:$B$56,0)</f>
        <v>43</v>
      </c>
      <c r="W44" s="34" t="n">
        <f aca="false">MIN(MAX($I44,50000),3000000)</f>
        <v>885000</v>
      </c>
      <c r="X44" s="35" t="n">
        <f aca="false">IFERROR(MIN(3,MAX(1,MATCH(W44,Home_Data!$C$4:$F$4,1))),1)</f>
        <v>3</v>
      </c>
      <c r="Y44" s="36" t="n">
        <f aca="false">INDEX(Home_Data!$C$5:$F$56,V44,X44)</f>
        <v>5733</v>
      </c>
      <c r="Z44" s="36" t="n">
        <f aca="false">INDEX(Home_Data!$C$5:$F$56,V44,X44+1)</f>
        <v>7858</v>
      </c>
      <c r="AA44" s="36" t="n">
        <f aca="false">INDEX(Home_Data!$C$4:$F$4,X44)</f>
        <v>400000</v>
      </c>
      <c r="AB44" s="36" t="n">
        <f aca="false">INDEX(Home_Data!$C$4:$F$4,X44+1)</f>
        <v>600000</v>
      </c>
      <c r="AC44" s="36" t="n">
        <f aca="false">IF($I44&lt;200000,INDEX(Home_Data!$C$5:$F$56,V44,1)*(MAX($I44,Home_Data!$B$90)/200000)^Home_Data!$B$89,Y44*(W44/AA44)^(LN(Z44/Y44)/LN(AB44/AA44)))</f>
        <v>10630.805101456</v>
      </c>
      <c r="AD44" s="37" t="n">
        <f aca="false">IF($K44=100,Home_Data!$B$67,IF($K44=500,Home_Data!$B$69,Home_Data!$B$68))</f>
        <v>1</v>
      </c>
      <c r="AE44" s="37" t="n">
        <f aca="false">IF($J44&lt;=Home_Data!$B$61,Home_Data!$B$64,IF($J44&gt;=Home_Data!$B$63,Home_Data!$B$66,IF($J44&lt;=Home_Data!$B$62,Home_Data!$B$64+(Home_Data!$B$65-Home_Data!$B$64)*(LN($J44)-LN(Home_Data!$B$61))/(LN(Home_Data!$B$62)-LN(Home_Data!$B$61)),Home_Data!$B$65+(Home_Data!$B$66-Home_Data!$B$65)*(LN($J44)-LN(Home_Data!$B$62))/(LN(Home_Data!$B$63)-LN(Home_Data!$B$62)))))</f>
        <v>0.91</v>
      </c>
      <c r="AF44" s="38" t="n">
        <f aca="false">IF($E44&gt;=20,Home_Data!$B$80,IF($E44&gt;=10,Home_Data!$B$79,1))</f>
        <v>1.1</v>
      </c>
      <c r="AG44" s="38" t="n">
        <f aca="false">IF($D44&lt;1960,Home_Data!$B$81,IF($D44&lt;1980,Home_Data!$B$82,IF($D44&gt;=2000,Home_Data!$B$83,1)))</f>
        <v>1.08</v>
      </c>
      <c r="AH44" s="38" t="n">
        <f aca="false">IF($F44="brick",Home_Data!$B$78,1)</f>
        <v>1</v>
      </c>
      <c r="AI44" s="38" t="n">
        <f aca="false">IF($G44="rental",Home_Data!$B$84,IF($G44="vacation",Home_Data!$B$85,1))</f>
        <v>1</v>
      </c>
      <c r="AJ44" s="38" t="n">
        <f aca="false">INDEX(Home_Data!$B$70:$B$73,MIN(3,MAX(0,$H44))+1)</f>
        <v>1</v>
      </c>
      <c r="AK44" s="38" t="n">
        <f aca="false">IF(INDEX(Home_Data!$H$5:$H$56,V44)="Yes",1,IF($L44="poor",Home_Data!$B$74,IF($L44="fair",Home_Data!$B$75,IF($L44="excellent",Home_Data!$B$77,Home_Data!$B$76))))</f>
        <v>0.89</v>
      </c>
      <c r="AL44" s="38" t="n">
        <f aca="false">IF(($N44=1),Home_Data!$B$86,1)*IF(($O44=1),Home_Data!$B$87,1)*IF(($P44=1),Home_Data!$B$88,1)</f>
        <v>1.08</v>
      </c>
      <c r="AM44" s="34" t="n">
        <f aca="false">AC44*AD44*AE44*AF44*AG44*AH44*AI44*AJ44*AK44*AL44</f>
        <v>11046.8320488537</v>
      </c>
      <c r="AN44" s="34" t="n">
        <f aca="false">AM44*EXP(-Car_Data!$B$123*Home_Data!$B$91)</f>
        <v>8045.66560173986</v>
      </c>
      <c r="AO44" s="34" t="n">
        <f aca="false">AM44*EXP(Car_Data!$B$123*Home_Data!$B$91)</f>
        <v>15167.4832582145</v>
      </c>
      <c r="AP44" s="39" t="str">
        <f aca="false">IF($U44&gt;0,IF(AND($U44&gt;=AN44,$U44&lt;=AO44),1,0),"")</f>
        <v/>
      </c>
      <c r="AQ44" s="40" t="str">
        <f aca="false">IF($U44&gt;0,$U44/AM44-1,"")</f>
        <v/>
      </c>
    </row>
    <row r="45" customFormat="false" ht="15" hidden="false" customHeight="false" outlineLevel="0" collapsed="false">
      <c r="A45" s="6" t="s">
        <v>310</v>
      </c>
      <c r="B45" s="6" t="s">
        <v>56</v>
      </c>
      <c r="C45" s="6" t="n">
        <v>1700</v>
      </c>
      <c r="D45" s="6" t="n">
        <v>1967</v>
      </c>
      <c r="E45" s="6" t="n">
        <v>16</v>
      </c>
      <c r="F45" s="6" t="s">
        <v>261</v>
      </c>
      <c r="G45" s="6" t="s">
        <v>136</v>
      </c>
      <c r="H45" s="6" t="n">
        <v>0</v>
      </c>
      <c r="I45" s="23" t="n">
        <v>445000</v>
      </c>
      <c r="J45" s="23" t="n">
        <v>1000</v>
      </c>
      <c r="K45" s="6" t="n">
        <v>300</v>
      </c>
      <c r="L45" s="6" t="s">
        <v>72</v>
      </c>
      <c r="M45" s="6" t="n">
        <v>0</v>
      </c>
      <c r="N45" s="6" t="n">
        <v>0</v>
      </c>
      <c r="O45" s="6" t="n">
        <v>0</v>
      </c>
      <c r="P45" s="6" t="n">
        <v>0</v>
      </c>
      <c r="Q45" s="6" t="n">
        <v>0</v>
      </c>
      <c r="R45" s="6" t="s">
        <v>267</v>
      </c>
      <c r="S45" s="5"/>
      <c r="T45" s="32"/>
      <c r="U45" s="17"/>
      <c r="V45" s="33" t="n">
        <f aca="false">MATCH($B45,Home_Data!$B$5:$B$56,0)</f>
        <v>43</v>
      </c>
      <c r="W45" s="34" t="n">
        <f aca="false">MIN(MAX($I45,50000),3000000)</f>
        <v>445000</v>
      </c>
      <c r="X45" s="35" t="n">
        <f aca="false">IFERROR(MIN(3,MAX(1,MATCH(W45,Home_Data!$C$4:$F$4,1))),1)</f>
        <v>3</v>
      </c>
      <c r="Y45" s="36" t="n">
        <f aca="false">INDEX(Home_Data!$C$5:$F$56,V45,X45)</f>
        <v>5733</v>
      </c>
      <c r="Z45" s="36" t="n">
        <f aca="false">INDEX(Home_Data!$C$5:$F$56,V45,X45+1)</f>
        <v>7858</v>
      </c>
      <c r="AA45" s="36" t="n">
        <f aca="false">INDEX(Home_Data!$C$4:$F$4,X45)</f>
        <v>400000</v>
      </c>
      <c r="AB45" s="36" t="n">
        <f aca="false">INDEX(Home_Data!$C$4:$F$4,X45+1)</f>
        <v>600000</v>
      </c>
      <c r="AC45" s="36" t="n">
        <f aca="false">IF($I45&lt;200000,INDEX(Home_Data!$C$5:$F$56,V45,1)*(MAX($I45,Home_Data!$B$90)/200000)^Home_Data!$B$89,Y45*(W45/AA45)^(LN(Z45/Y45)/LN(AB45/AA45)))</f>
        <v>6228.52535378754</v>
      </c>
      <c r="AD45" s="37" t="n">
        <f aca="false">IF($K45=100,Home_Data!$B$67,IF($K45=500,Home_Data!$B$69,Home_Data!$B$68))</f>
        <v>1</v>
      </c>
      <c r="AE45" s="37" t="n">
        <f aca="false">IF($J45&lt;=Home_Data!$B$61,Home_Data!$B$64,IF($J45&gt;=Home_Data!$B$63,Home_Data!$B$66,IF($J45&lt;=Home_Data!$B$62,Home_Data!$B$64+(Home_Data!$B$65-Home_Data!$B$64)*(LN($J45)-LN(Home_Data!$B$61))/(LN(Home_Data!$B$62)-LN(Home_Data!$B$61)),Home_Data!$B$65+(Home_Data!$B$66-Home_Data!$B$65)*(LN($J45)-LN(Home_Data!$B$62))/(LN(Home_Data!$B$63)-LN(Home_Data!$B$62)))))</f>
        <v>1</v>
      </c>
      <c r="AF45" s="38" t="n">
        <f aca="false">IF($E45&gt;=20,Home_Data!$B$80,IF($E45&gt;=10,Home_Data!$B$79,1))</f>
        <v>1.1</v>
      </c>
      <c r="AG45" s="38" t="n">
        <f aca="false">IF($D45&lt;1960,Home_Data!$B$81,IF($D45&lt;1980,Home_Data!$B$82,IF($D45&gt;=2000,Home_Data!$B$83,1)))</f>
        <v>1.08</v>
      </c>
      <c r="AH45" s="38" t="n">
        <f aca="false">IF($F45="brick",Home_Data!$B$78,1)</f>
        <v>0.98</v>
      </c>
      <c r="AI45" s="38" t="n">
        <f aca="false">IF($G45="rental",Home_Data!$B$84,IF($G45="vacation",Home_Data!$B$85,1))</f>
        <v>1</v>
      </c>
      <c r="AJ45" s="38" t="n">
        <f aca="false">INDEX(Home_Data!$B$70:$B$73,MIN(3,MAX(0,$H45))+1)</f>
        <v>1</v>
      </c>
      <c r="AK45" s="38" t="n">
        <f aca="false">IF(INDEX(Home_Data!$H$5:$H$56,V45)="Yes",1,IF($L45="poor",Home_Data!$B$74,IF($L45="fair",Home_Data!$B$75,IF($L45="excellent",Home_Data!$B$77,Home_Data!$B$76))))</f>
        <v>1</v>
      </c>
      <c r="AL45" s="38" t="n">
        <f aca="false">IF(($N45=1),Home_Data!$B$86,1)*IF(($O45=1),Home_Data!$B$87,1)*IF(($P45=1),Home_Data!$B$88,1)</f>
        <v>1</v>
      </c>
      <c r="AM45" s="34" t="n">
        <f aca="false">AC45*AD45*AE45*AF45*AG45*AH45*AI45*AJ45*AK45*AL45</f>
        <v>7251.4983578936</v>
      </c>
      <c r="AN45" s="34" t="n">
        <f aca="false">AM45*EXP(-Car_Data!$B$123*Home_Data!$B$91)</f>
        <v>5281.43549581997</v>
      </c>
      <c r="AO45" s="34" t="n">
        <f aca="false">AM45*EXP(Car_Data!$B$123*Home_Data!$B$91)</f>
        <v>9956.42727742331</v>
      </c>
      <c r="AP45" s="39" t="str">
        <f aca="false">IF($U45&gt;0,IF(AND($U45&gt;=AN45,$U45&lt;=AO45),1,0),"")</f>
        <v/>
      </c>
      <c r="AQ45" s="40" t="str">
        <f aca="false">IF($U45&gt;0,$U45/AM45-1,"")</f>
        <v/>
      </c>
    </row>
    <row r="46" customFormat="false" ht="15" hidden="false" customHeight="false" outlineLevel="0" collapsed="false">
      <c r="A46" s="6" t="s">
        <v>311</v>
      </c>
      <c r="B46" s="6" t="s">
        <v>56</v>
      </c>
      <c r="C46" s="6" t="n">
        <v>1400</v>
      </c>
      <c r="D46" s="6" t="n">
        <v>1983</v>
      </c>
      <c r="E46" s="6" t="n">
        <v>22</v>
      </c>
      <c r="F46" s="6" t="s">
        <v>261</v>
      </c>
      <c r="G46" s="6" t="s">
        <v>136</v>
      </c>
      <c r="H46" s="6" t="n">
        <v>1</v>
      </c>
      <c r="I46" s="23" t="n">
        <v>350000</v>
      </c>
      <c r="J46" s="23" t="n">
        <v>1000</v>
      </c>
      <c r="K46" s="6" t="n">
        <v>300</v>
      </c>
      <c r="L46" s="6" t="s">
        <v>284</v>
      </c>
      <c r="M46" s="6" t="n">
        <v>0</v>
      </c>
      <c r="N46" s="6" t="n">
        <v>0</v>
      </c>
      <c r="O46" s="6" t="n">
        <v>0</v>
      </c>
      <c r="P46" s="6" t="n">
        <v>1</v>
      </c>
      <c r="Q46" s="6" t="n">
        <v>0</v>
      </c>
      <c r="R46" s="6" t="s">
        <v>262</v>
      </c>
      <c r="S46" s="5"/>
      <c r="T46" s="32"/>
      <c r="U46" s="17"/>
      <c r="V46" s="33" t="n">
        <f aca="false">MATCH($B46,Home_Data!$B$5:$B$56,0)</f>
        <v>43</v>
      </c>
      <c r="W46" s="34" t="n">
        <f aca="false">MIN(MAX($I46,50000),3000000)</f>
        <v>350000</v>
      </c>
      <c r="X46" s="35" t="n">
        <f aca="false">IFERROR(MIN(3,MAX(1,MATCH(W46,Home_Data!$C$4:$F$4,1))),1)</f>
        <v>2</v>
      </c>
      <c r="Y46" s="36" t="n">
        <f aca="false">INDEX(Home_Data!$C$5:$F$56,V46,X46)</f>
        <v>4582</v>
      </c>
      <c r="Z46" s="36" t="n">
        <f aca="false">INDEX(Home_Data!$C$5:$F$56,V46,X46+1)</f>
        <v>5733</v>
      </c>
      <c r="AA46" s="36" t="n">
        <f aca="false">INDEX(Home_Data!$C$4:$F$4,X46)</f>
        <v>300000</v>
      </c>
      <c r="AB46" s="36" t="n">
        <f aca="false">INDEX(Home_Data!$C$4:$F$4,X46+1)</f>
        <v>400000</v>
      </c>
      <c r="AC46" s="36" t="n">
        <f aca="false">IF($I46&lt;200000,INDEX(Home_Data!$C$5:$F$56,V46,1)*(MAX($I46,Home_Data!$B$90)/200000)^Home_Data!$B$89,Y46*(W46/AA46)^(LN(Z46/Y46)/LN(AB46/AA46)))</f>
        <v>5166.61867641375</v>
      </c>
      <c r="AD46" s="37" t="n">
        <f aca="false">IF($K46=100,Home_Data!$B$67,IF($K46=500,Home_Data!$B$69,Home_Data!$B$68))</f>
        <v>1</v>
      </c>
      <c r="AE46" s="37" t="n">
        <f aca="false">IF($J46&lt;=Home_Data!$B$61,Home_Data!$B$64,IF($J46&gt;=Home_Data!$B$63,Home_Data!$B$66,IF($J46&lt;=Home_Data!$B$62,Home_Data!$B$64+(Home_Data!$B$65-Home_Data!$B$64)*(LN($J46)-LN(Home_Data!$B$61))/(LN(Home_Data!$B$62)-LN(Home_Data!$B$61)),Home_Data!$B$65+(Home_Data!$B$66-Home_Data!$B$65)*(LN($J46)-LN(Home_Data!$B$62))/(LN(Home_Data!$B$63)-LN(Home_Data!$B$62)))))</f>
        <v>1</v>
      </c>
      <c r="AF46" s="38" t="n">
        <f aca="false">IF($E46&gt;=20,Home_Data!$B$80,IF($E46&gt;=10,Home_Data!$B$79,1))</f>
        <v>1.3</v>
      </c>
      <c r="AG46" s="38" t="n">
        <f aca="false">IF($D46&lt;1960,Home_Data!$B$81,IF($D46&lt;1980,Home_Data!$B$82,IF($D46&gt;=2000,Home_Data!$B$83,1)))</f>
        <v>1</v>
      </c>
      <c r="AH46" s="38" t="n">
        <f aca="false">IF($F46="brick",Home_Data!$B$78,1)</f>
        <v>0.98</v>
      </c>
      <c r="AI46" s="38" t="n">
        <f aca="false">IF($G46="rental",Home_Data!$B$84,IF($G46="vacation",Home_Data!$B$85,1))</f>
        <v>1</v>
      </c>
      <c r="AJ46" s="38" t="n">
        <f aca="false">INDEX(Home_Data!$B$70:$B$73,MIN(3,MAX(0,$H46))+1)</f>
        <v>1.16</v>
      </c>
      <c r="AK46" s="38" t="n">
        <f aca="false">IF(INDEX(Home_Data!$H$5:$H$56,V46)="Yes",1,IF($L46="poor",Home_Data!$B$74,IF($L46="fair",Home_Data!$B$75,IF($L46="excellent",Home_Data!$B$77,Home_Data!$B$76))))</f>
        <v>2.11</v>
      </c>
      <c r="AL46" s="38" t="n">
        <f aca="false">IF(($N46=1),Home_Data!$B$86,1)*IF(($O46=1),Home_Data!$B$87,1)*IF(($P46=1),Home_Data!$B$88,1)</f>
        <v>1.08</v>
      </c>
      <c r="AM46" s="34" t="n">
        <f aca="false">AC46*AD46*AE46*AF46*AG46*AH46*AI46*AJ46*AK46*AL46</f>
        <v>17399.6309751392</v>
      </c>
      <c r="AN46" s="34" t="n">
        <f aca="false">AM46*EXP(-Car_Data!$B$123*Home_Data!$B$91)</f>
        <v>12672.5573268919</v>
      </c>
      <c r="AO46" s="34" t="n">
        <f aca="false">AM46*EXP(Car_Data!$B$123*Home_Data!$B$91)</f>
        <v>23889.9813401182</v>
      </c>
      <c r="AP46" s="39" t="str">
        <f aca="false">IF($U46&gt;0,IF(AND($U46&gt;=AN46,$U46&lt;=AO46),1,0),"")</f>
        <v/>
      </c>
      <c r="AQ46" s="40" t="str">
        <f aca="false">IF($U46&gt;0,$U46/AM46-1,"")</f>
        <v/>
      </c>
    </row>
    <row r="47" customFormat="false" ht="15" hidden="false" customHeight="false" outlineLevel="0" collapsed="false">
      <c r="A47" s="6" t="s">
        <v>312</v>
      </c>
      <c r="B47" s="6" t="s">
        <v>56</v>
      </c>
      <c r="C47" s="6" t="n">
        <v>1950</v>
      </c>
      <c r="D47" s="6" t="n">
        <v>1971</v>
      </c>
      <c r="E47" s="6" t="n">
        <v>8</v>
      </c>
      <c r="F47" s="6" t="s">
        <v>133</v>
      </c>
      <c r="G47" s="6" t="s">
        <v>136</v>
      </c>
      <c r="H47" s="6" t="n">
        <v>1</v>
      </c>
      <c r="I47" s="23" t="n">
        <v>505000</v>
      </c>
      <c r="J47" s="23" t="n">
        <v>1000</v>
      </c>
      <c r="K47" s="6" t="n">
        <v>300</v>
      </c>
      <c r="L47" s="6" t="s">
        <v>271</v>
      </c>
      <c r="M47" s="6" t="n">
        <v>0</v>
      </c>
      <c r="N47" s="6" t="n">
        <v>0</v>
      </c>
      <c r="O47" s="6" t="n">
        <v>0</v>
      </c>
      <c r="P47" s="6" t="n">
        <v>1</v>
      </c>
      <c r="Q47" s="6" t="n">
        <v>0</v>
      </c>
      <c r="R47" s="6" t="s">
        <v>262</v>
      </c>
      <c r="S47" s="5"/>
      <c r="T47" s="32"/>
      <c r="U47" s="17"/>
      <c r="V47" s="33" t="n">
        <f aca="false">MATCH($B47,Home_Data!$B$5:$B$56,0)</f>
        <v>43</v>
      </c>
      <c r="W47" s="34" t="n">
        <f aca="false">MIN(MAX($I47,50000),3000000)</f>
        <v>505000</v>
      </c>
      <c r="X47" s="35" t="n">
        <f aca="false">IFERROR(MIN(3,MAX(1,MATCH(W47,Home_Data!$C$4:$F$4,1))),1)</f>
        <v>3</v>
      </c>
      <c r="Y47" s="36" t="n">
        <f aca="false">INDEX(Home_Data!$C$5:$F$56,V47,X47)</f>
        <v>5733</v>
      </c>
      <c r="Z47" s="36" t="n">
        <f aca="false">INDEX(Home_Data!$C$5:$F$56,V47,X47+1)</f>
        <v>7858</v>
      </c>
      <c r="AA47" s="36" t="n">
        <f aca="false">INDEX(Home_Data!$C$4:$F$4,X47)</f>
        <v>400000</v>
      </c>
      <c r="AB47" s="36" t="n">
        <f aca="false">INDEX(Home_Data!$C$4:$F$4,X47+1)</f>
        <v>600000</v>
      </c>
      <c r="AC47" s="36" t="n">
        <f aca="false">IF($I47&lt;200000,INDEX(Home_Data!$C$5:$F$56,V47,1)*(MAX($I47,Home_Data!$B$90)/200000)^Home_Data!$B$89,Y47*(W47/AA47)^(LN(Z47/Y47)/LN(AB47/AA47)))</f>
        <v>6872.27202393151</v>
      </c>
      <c r="AD47" s="37" t="n">
        <f aca="false">IF($K47=100,Home_Data!$B$67,IF($K47=500,Home_Data!$B$69,Home_Data!$B$68))</f>
        <v>1</v>
      </c>
      <c r="AE47" s="37" t="n">
        <f aca="false">IF($J47&lt;=Home_Data!$B$61,Home_Data!$B$64,IF($J47&gt;=Home_Data!$B$63,Home_Data!$B$66,IF($J47&lt;=Home_Data!$B$62,Home_Data!$B$64+(Home_Data!$B$65-Home_Data!$B$64)*(LN($J47)-LN(Home_Data!$B$61))/(LN(Home_Data!$B$62)-LN(Home_Data!$B$61)),Home_Data!$B$65+(Home_Data!$B$66-Home_Data!$B$65)*(LN($J47)-LN(Home_Data!$B$62))/(LN(Home_Data!$B$63)-LN(Home_Data!$B$62)))))</f>
        <v>1</v>
      </c>
      <c r="AF47" s="38" t="n">
        <f aca="false">IF($E47&gt;=20,Home_Data!$B$80,IF($E47&gt;=10,Home_Data!$B$79,1))</f>
        <v>1</v>
      </c>
      <c r="AG47" s="38" t="n">
        <f aca="false">IF($D47&lt;1960,Home_Data!$B$81,IF($D47&lt;1980,Home_Data!$B$82,IF($D47&gt;=2000,Home_Data!$B$83,1)))</f>
        <v>1.08</v>
      </c>
      <c r="AH47" s="38" t="n">
        <f aca="false">IF($F47="brick",Home_Data!$B$78,1)</f>
        <v>1</v>
      </c>
      <c r="AI47" s="38" t="n">
        <f aca="false">IF($G47="rental",Home_Data!$B$84,IF($G47="vacation",Home_Data!$B$85,1))</f>
        <v>1</v>
      </c>
      <c r="AJ47" s="38" t="n">
        <f aca="false">INDEX(Home_Data!$B$70:$B$73,MIN(3,MAX(0,$H47))+1)</f>
        <v>1.16</v>
      </c>
      <c r="AK47" s="38" t="n">
        <f aca="false">IF(INDEX(Home_Data!$H$5:$H$56,V47)="Yes",1,IF($L47="poor",Home_Data!$B$74,IF($L47="fair",Home_Data!$B$75,IF($L47="excellent",Home_Data!$B$77,Home_Data!$B$76))))</f>
        <v>1.07</v>
      </c>
      <c r="AL47" s="38" t="n">
        <f aca="false">IF(($N47=1),Home_Data!$B$86,1)*IF(($O47=1),Home_Data!$B$87,1)*IF(($P47=1),Home_Data!$B$88,1)</f>
        <v>1.08</v>
      </c>
      <c r="AM47" s="34" t="n">
        <f aca="false">AC47*AD47*AE47*AF47*AG47*AH47*AI47*AJ47*AK47*AL47</f>
        <v>9949.23341171146</v>
      </c>
      <c r="AN47" s="34" t="n">
        <f aca="false">AM47*EXP(-Car_Data!$B$123*Home_Data!$B$91)</f>
        <v>7246.25889759897</v>
      </c>
      <c r="AO47" s="34" t="n">
        <f aca="false">AM47*EXP(Car_Data!$B$123*Home_Data!$B$91)</f>
        <v>13660.4621611732</v>
      </c>
      <c r="AP47" s="39" t="str">
        <f aca="false">IF($U47&gt;0,IF(AND($U47&gt;=AN47,$U47&lt;=AO47),1,0),"")</f>
        <v/>
      </c>
      <c r="AQ47" s="40" t="str">
        <f aca="false">IF($U47&gt;0,$U47/AM47-1,"")</f>
        <v/>
      </c>
    </row>
    <row r="48" customFormat="false" ht="15" hidden="false" customHeight="false" outlineLevel="0" collapsed="false">
      <c r="A48" s="6" t="s">
        <v>313</v>
      </c>
      <c r="B48" s="6" t="s">
        <v>56</v>
      </c>
      <c r="C48" s="6" t="n">
        <v>3050</v>
      </c>
      <c r="D48" s="6" t="n">
        <v>2009</v>
      </c>
      <c r="E48" s="6" t="n">
        <v>10</v>
      </c>
      <c r="F48" s="6" t="s">
        <v>133</v>
      </c>
      <c r="G48" s="6" t="s">
        <v>136</v>
      </c>
      <c r="H48" s="6" t="n">
        <v>0</v>
      </c>
      <c r="I48" s="23" t="n">
        <v>785000</v>
      </c>
      <c r="J48" s="23" t="n">
        <v>5000</v>
      </c>
      <c r="K48" s="6" t="n">
        <v>100</v>
      </c>
      <c r="L48" s="6" t="s">
        <v>72</v>
      </c>
      <c r="M48" s="6" t="n">
        <v>1</v>
      </c>
      <c r="N48" s="6" t="n">
        <v>0</v>
      </c>
      <c r="O48" s="6" t="n">
        <v>0</v>
      </c>
      <c r="P48" s="6" t="n">
        <v>1</v>
      </c>
      <c r="Q48" s="6" t="n">
        <v>0</v>
      </c>
      <c r="R48" s="6" t="s">
        <v>314</v>
      </c>
      <c r="S48" s="5"/>
      <c r="T48" s="32"/>
      <c r="U48" s="17"/>
      <c r="V48" s="33" t="n">
        <f aca="false">MATCH($B48,Home_Data!$B$5:$B$56,0)</f>
        <v>43</v>
      </c>
      <c r="W48" s="34" t="n">
        <f aca="false">MIN(MAX($I48,50000),3000000)</f>
        <v>785000</v>
      </c>
      <c r="X48" s="35" t="n">
        <f aca="false">IFERROR(MIN(3,MAX(1,MATCH(W48,Home_Data!$C$4:$F$4,1))),1)</f>
        <v>3</v>
      </c>
      <c r="Y48" s="36" t="n">
        <f aca="false">INDEX(Home_Data!$C$5:$F$56,V48,X48)</f>
        <v>5733</v>
      </c>
      <c r="Z48" s="36" t="n">
        <f aca="false">INDEX(Home_Data!$C$5:$F$56,V48,X48+1)</f>
        <v>7858</v>
      </c>
      <c r="AA48" s="36" t="n">
        <f aca="false">INDEX(Home_Data!$C$4:$F$4,X48)</f>
        <v>400000</v>
      </c>
      <c r="AB48" s="36" t="n">
        <f aca="false">INDEX(Home_Data!$C$4:$F$4,X48+1)</f>
        <v>600000</v>
      </c>
      <c r="AC48" s="36" t="n">
        <f aca="false">IF($I48&lt;200000,INDEX(Home_Data!$C$5:$F$56,V48,1)*(MAX($I48,Home_Data!$B$90)/200000)^Home_Data!$B$89,Y48*(W48/AA48)^(LN(Z48/Y48)/LN(AB48/AA48)))</f>
        <v>9684.4121641406</v>
      </c>
      <c r="AD48" s="37" t="n">
        <f aca="false">IF($K48=100,Home_Data!$B$67,IF($K48=500,Home_Data!$B$69,Home_Data!$B$68))</f>
        <v>0.991</v>
      </c>
      <c r="AE48" s="37" t="n">
        <f aca="false">IF($J48&lt;=Home_Data!$B$61,Home_Data!$B$64,IF($J48&gt;=Home_Data!$B$63,Home_Data!$B$66,IF($J48&lt;=Home_Data!$B$62,Home_Data!$B$64+(Home_Data!$B$65-Home_Data!$B$64)*(LN($J48)-LN(Home_Data!$B$61))/(LN(Home_Data!$B$62)-LN(Home_Data!$B$61)),Home_Data!$B$65+(Home_Data!$B$66-Home_Data!$B$65)*(LN($J48)-LN(Home_Data!$B$62))/(LN(Home_Data!$B$63)-LN(Home_Data!$B$62)))))</f>
        <v>0.84</v>
      </c>
      <c r="AF48" s="38" t="n">
        <f aca="false">IF($E48&gt;=20,Home_Data!$B$80,IF($E48&gt;=10,Home_Data!$B$79,1))</f>
        <v>1.1</v>
      </c>
      <c r="AG48" s="38" t="n">
        <f aca="false">IF($D48&lt;1960,Home_Data!$B$81,IF($D48&lt;1980,Home_Data!$B$82,IF($D48&gt;=2000,Home_Data!$B$83,1)))</f>
        <v>0.95</v>
      </c>
      <c r="AH48" s="38" t="n">
        <f aca="false">IF($F48="brick",Home_Data!$B$78,1)</f>
        <v>1</v>
      </c>
      <c r="AI48" s="38" t="n">
        <f aca="false">IF($G48="rental",Home_Data!$B$84,IF($G48="vacation",Home_Data!$B$85,1))</f>
        <v>1</v>
      </c>
      <c r="AJ48" s="38" t="n">
        <f aca="false">INDEX(Home_Data!$B$70:$B$73,MIN(3,MAX(0,$H48))+1)</f>
        <v>1</v>
      </c>
      <c r="AK48" s="38" t="n">
        <f aca="false">IF(INDEX(Home_Data!$H$5:$H$56,V48)="Yes",1,IF($L48="poor",Home_Data!$B$74,IF($L48="fair",Home_Data!$B$75,IF($L48="excellent",Home_Data!$B$77,Home_Data!$B$76))))</f>
        <v>1</v>
      </c>
      <c r="AL48" s="38" t="n">
        <f aca="false">IF(($N48=1),Home_Data!$B$86,1)*IF(($O48=1),Home_Data!$B$87,1)*IF(($P48=1),Home_Data!$B$88,1)</f>
        <v>1.08</v>
      </c>
      <c r="AM48" s="34" t="n">
        <f aca="false">AC48*AD48*AE48*AF48*AG48*AH48*AI48*AJ48*AK48*AL48</f>
        <v>9098.42566107976</v>
      </c>
      <c r="AN48" s="34" t="n">
        <f aca="false">AM48*EXP(-Car_Data!$B$123*Home_Data!$B$91)</f>
        <v>6626.59575592376</v>
      </c>
      <c r="AO48" s="34" t="n">
        <f aca="false">AM48*EXP(Car_Data!$B$123*Home_Data!$B$91)</f>
        <v>12492.2890363718</v>
      </c>
      <c r="AP48" s="39" t="str">
        <f aca="false">IF($U48&gt;0,IF(AND($U48&gt;=AN48,$U48&lt;=AO48),1,0),"")</f>
        <v/>
      </c>
      <c r="AQ48" s="40" t="str">
        <f aca="false">IF($U48&gt;0,$U48/AM48-1,"")</f>
        <v/>
      </c>
    </row>
    <row r="49" customFormat="false" ht="15" hidden="false" customHeight="false" outlineLevel="0" collapsed="false">
      <c r="A49" s="6" t="s">
        <v>315</v>
      </c>
      <c r="B49" s="6" t="s">
        <v>56</v>
      </c>
      <c r="C49" s="6" t="n">
        <v>1150</v>
      </c>
      <c r="D49" s="6" t="n">
        <v>1991</v>
      </c>
      <c r="E49" s="6" t="n">
        <v>6</v>
      </c>
      <c r="F49" s="6" t="s">
        <v>133</v>
      </c>
      <c r="G49" s="6" t="s">
        <v>136</v>
      </c>
      <c r="H49" s="6" t="n">
        <v>0</v>
      </c>
      <c r="I49" s="23" t="n">
        <v>315000</v>
      </c>
      <c r="J49" s="23" t="n">
        <v>1000</v>
      </c>
      <c r="K49" s="6" t="n">
        <v>300</v>
      </c>
      <c r="L49" s="6" t="s">
        <v>264</v>
      </c>
      <c r="M49" s="6" t="n">
        <v>0</v>
      </c>
      <c r="N49" s="6" t="n">
        <v>0</v>
      </c>
      <c r="O49" s="6" t="n">
        <v>0</v>
      </c>
      <c r="P49" s="6" t="n">
        <v>0</v>
      </c>
      <c r="Q49" s="6" t="n">
        <v>0</v>
      </c>
      <c r="R49" s="6" t="s">
        <v>267</v>
      </c>
      <c r="S49" s="5"/>
      <c r="T49" s="32"/>
      <c r="U49" s="17"/>
      <c r="V49" s="33" t="n">
        <f aca="false">MATCH($B49,Home_Data!$B$5:$B$56,0)</f>
        <v>43</v>
      </c>
      <c r="W49" s="34" t="n">
        <f aca="false">MIN(MAX($I49,50000),3000000)</f>
        <v>315000</v>
      </c>
      <c r="X49" s="35" t="n">
        <f aca="false">IFERROR(MIN(3,MAX(1,MATCH(W49,Home_Data!$C$4:$F$4,1))),1)</f>
        <v>2</v>
      </c>
      <c r="Y49" s="36" t="n">
        <f aca="false">INDEX(Home_Data!$C$5:$F$56,V49,X49)</f>
        <v>4582</v>
      </c>
      <c r="Z49" s="36" t="n">
        <f aca="false">INDEX(Home_Data!$C$5:$F$56,V49,X49+1)</f>
        <v>5733</v>
      </c>
      <c r="AA49" s="36" t="n">
        <f aca="false">INDEX(Home_Data!$C$4:$F$4,X49)</f>
        <v>300000</v>
      </c>
      <c r="AB49" s="36" t="n">
        <f aca="false">INDEX(Home_Data!$C$4:$F$4,X49+1)</f>
        <v>400000</v>
      </c>
      <c r="AC49" s="36" t="n">
        <f aca="false">IF($I49&lt;200000,INDEX(Home_Data!$C$5:$F$56,V49,1)*(MAX($I49,Home_Data!$B$90)/200000)^Home_Data!$B$89,Y49*(W49/AA49)^(LN(Z49/Y49)/LN(AB49/AA49)))</f>
        <v>4759.50160692948</v>
      </c>
      <c r="AD49" s="37" t="n">
        <f aca="false">IF($K49=100,Home_Data!$B$67,IF($K49=500,Home_Data!$B$69,Home_Data!$B$68))</f>
        <v>1</v>
      </c>
      <c r="AE49" s="37" t="n">
        <f aca="false">IF($J49&lt;=Home_Data!$B$61,Home_Data!$B$64,IF($J49&gt;=Home_Data!$B$63,Home_Data!$B$66,IF($J49&lt;=Home_Data!$B$62,Home_Data!$B$64+(Home_Data!$B$65-Home_Data!$B$64)*(LN($J49)-LN(Home_Data!$B$61))/(LN(Home_Data!$B$62)-LN(Home_Data!$B$61)),Home_Data!$B$65+(Home_Data!$B$66-Home_Data!$B$65)*(LN($J49)-LN(Home_Data!$B$62))/(LN(Home_Data!$B$63)-LN(Home_Data!$B$62)))))</f>
        <v>1</v>
      </c>
      <c r="AF49" s="38" t="n">
        <f aca="false">IF($E49&gt;=20,Home_Data!$B$80,IF($E49&gt;=10,Home_Data!$B$79,1))</f>
        <v>1</v>
      </c>
      <c r="AG49" s="38" t="n">
        <f aca="false">IF($D49&lt;1960,Home_Data!$B$81,IF($D49&lt;1980,Home_Data!$B$82,IF($D49&gt;=2000,Home_Data!$B$83,1)))</f>
        <v>1</v>
      </c>
      <c r="AH49" s="38" t="n">
        <f aca="false">IF($F49="brick",Home_Data!$B$78,1)</f>
        <v>1</v>
      </c>
      <c r="AI49" s="38" t="n">
        <f aca="false">IF($G49="rental",Home_Data!$B$84,IF($G49="vacation",Home_Data!$B$85,1))</f>
        <v>1</v>
      </c>
      <c r="AJ49" s="38" t="n">
        <f aca="false">INDEX(Home_Data!$B$70:$B$73,MIN(3,MAX(0,$H49))+1)</f>
        <v>1</v>
      </c>
      <c r="AK49" s="38" t="n">
        <f aca="false">IF(INDEX(Home_Data!$H$5:$H$56,V49)="Yes",1,IF($L49="poor",Home_Data!$B$74,IF($L49="fair",Home_Data!$B$75,IF($L49="excellent",Home_Data!$B$77,Home_Data!$B$76))))</f>
        <v>0.89</v>
      </c>
      <c r="AL49" s="38" t="n">
        <f aca="false">IF(($N49=1),Home_Data!$B$86,1)*IF(($O49=1),Home_Data!$B$87,1)*IF(($P49=1),Home_Data!$B$88,1)</f>
        <v>1</v>
      </c>
      <c r="AM49" s="34" t="n">
        <f aca="false">AC49*AD49*AE49*AF49*AG49*AH49*AI49*AJ49*AK49*AL49</f>
        <v>4235.95643016724</v>
      </c>
      <c r="AN49" s="34" t="n">
        <f aca="false">AM49*EXP(-Car_Data!$B$123*Home_Data!$B$91)</f>
        <v>3085.14593052058</v>
      </c>
      <c r="AO49" s="34" t="n">
        <f aca="false">AM49*EXP(Car_Data!$B$123*Home_Data!$B$91)</f>
        <v>5816.03829522823</v>
      </c>
      <c r="AP49" s="39" t="str">
        <f aca="false">IF($U49&gt;0,IF(AND($U49&gt;=AN49,$U49&lt;=AO49),1,0),"")</f>
        <v/>
      </c>
      <c r="AQ49" s="40" t="str">
        <f aca="false">IF($U49&gt;0,$U49/AM49-1,"")</f>
        <v/>
      </c>
    </row>
    <row r="50" customFormat="false" ht="15" hidden="false" customHeight="false" outlineLevel="0" collapsed="false">
      <c r="A50" s="6" t="s">
        <v>316</v>
      </c>
      <c r="B50" s="6" t="s">
        <v>56</v>
      </c>
      <c r="C50" s="6" t="n">
        <v>1450</v>
      </c>
      <c r="D50" s="6" t="n">
        <v>2010</v>
      </c>
      <c r="E50" s="6" t="n">
        <v>5</v>
      </c>
      <c r="F50" s="6" t="s">
        <v>133</v>
      </c>
      <c r="G50" s="6" t="s">
        <v>136</v>
      </c>
      <c r="H50" s="6" t="n">
        <v>0</v>
      </c>
      <c r="I50" s="23" t="n">
        <v>390000</v>
      </c>
      <c r="J50" s="23" t="n">
        <v>2500</v>
      </c>
      <c r="K50" s="6" t="n">
        <v>300</v>
      </c>
      <c r="L50" s="6" t="s">
        <v>264</v>
      </c>
      <c r="M50" s="6" t="n">
        <v>1</v>
      </c>
      <c r="N50" s="6" t="n">
        <v>0</v>
      </c>
      <c r="O50" s="6" t="n">
        <v>0</v>
      </c>
      <c r="P50" s="6" t="n">
        <v>1</v>
      </c>
      <c r="Q50" s="6" t="n">
        <v>0</v>
      </c>
      <c r="R50" s="6" t="s">
        <v>314</v>
      </c>
      <c r="S50" s="5"/>
      <c r="T50" s="32"/>
      <c r="U50" s="17"/>
      <c r="V50" s="33" t="n">
        <f aca="false">MATCH($B50,Home_Data!$B$5:$B$56,0)</f>
        <v>43</v>
      </c>
      <c r="W50" s="34" t="n">
        <f aca="false">MIN(MAX($I50,50000),3000000)</f>
        <v>390000</v>
      </c>
      <c r="X50" s="35" t="n">
        <f aca="false">IFERROR(MIN(3,MAX(1,MATCH(W50,Home_Data!$C$4:$F$4,1))),1)</f>
        <v>2</v>
      </c>
      <c r="Y50" s="36" t="n">
        <f aca="false">INDEX(Home_Data!$C$5:$F$56,V50,X50)</f>
        <v>4582</v>
      </c>
      <c r="Z50" s="36" t="n">
        <f aca="false">INDEX(Home_Data!$C$5:$F$56,V50,X50+1)</f>
        <v>5733</v>
      </c>
      <c r="AA50" s="36" t="n">
        <f aca="false">INDEX(Home_Data!$C$4:$F$4,X50)</f>
        <v>300000</v>
      </c>
      <c r="AB50" s="36" t="n">
        <f aca="false">INDEX(Home_Data!$C$4:$F$4,X50+1)</f>
        <v>400000</v>
      </c>
      <c r="AC50" s="36" t="n">
        <f aca="false">IF($I50&lt;200000,INDEX(Home_Data!$C$5:$F$56,V50,1)*(MAX($I50,Home_Data!$B$90)/200000)^Home_Data!$B$89,Y50*(W50/AA50)^(LN(Z50/Y50)/LN(AB50/AA50)))</f>
        <v>5621.03868594891</v>
      </c>
      <c r="AD50" s="37" t="n">
        <f aca="false">IF($K50=100,Home_Data!$B$67,IF($K50=500,Home_Data!$B$69,Home_Data!$B$68))</f>
        <v>1</v>
      </c>
      <c r="AE50" s="37" t="n">
        <f aca="false">IF($J50&lt;=Home_Data!$B$61,Home_Data!$B$64,IF($J50&gt;=Home_Data!$B$63,Home_Data!$B$66,IF($J50&lt;=Home_Data!$B$62,Home_Data!$B$64+(Home_Data!$B$65-Home_Data!$B$64)*(LN($J50)-LN(Home_Data!$B$61))/(LN(Home_Data!$B$62)-LN(Home_Data!$B$61)),Home_Data!$B$65+(Home_Data!$B$66-Home_Data!$B$65)*(LN($J50)-LN(Home_Data!$B$62))/(LN(Home_Data!$B$63)-LN(Home_Data!$B$62)))))</f>
        <v>0.91</v>
      </c>
      <c r="AF50" s="38" t="n">
        <f aca="false">IF($E50&gt;=20,Home_Data!$B$80,IF($E50&gt;=10,Home_Data!$B$79,1))</f>
        <v>1</v>
      </c>
      <c r="AG50" s="38" t="n">
        <f aca="false">IF($D50&lt;1960,Home_Data!$B$81,IF($D50&lt;1980,Home_Data!$B$82,IF($D50&gt;=2000,Home_Data!$B$83,1)))</f>
        <v>0.95</v>
      </c>
      <c r="AH50" s="38" t="n">
        <f aca="false">IF($F50="brick",Home_Data!$B$78,1)</f>
        <v>1</v>
      </c>
      <c r="AI50" s="38" t="n">
        <f aca="false">IF($G50="rental",Home_Data!$B$84,IF($G50="vacation",Home_Data!$B$85,1))</f>
        <v>1</v>
      </c>
      <c r="AJ50" s="38" t="n">
        <f aca="false">INDEX(Home_Data!$B$70:$B$73,MIN(3,MAX(0,$H50))+1)</f>
        <v>1</v>
      </c>
      <c r="AK50" s="38" t="n">
        <f aca="false">IF(INDEX(Home_Data!$H$5:$H$56,V50)="Yes",1,IF($L50="poor",Home_Data!$B$74,IF($L50="fair",Home_Data!$B$75,IF($L50="excellent",Home_Data!$B$77,Home_Data!$B$76))))</f>
        <v>0.89</v>
      </c>
      <c r="AL50" s="38" t="n">
        <f aca="false">IF(($N50=1),Home_Data!$B$86,1)*IF(($O50=1),Home_Data!$B$87,1)*IF(($P50=1),Home_Data!$B$88,1)</f>
        <v>1.08</v>
      </c>
      <c r="AM50" s="34" t="n">
        <f aca="false">AC50*AD50*AE50*AF50*AG50*AH50*AI50*AJ50*AK50*AL50</f>
        <v>4670.84369177552</v>
      </c>
      <c r="AN50" s="34" t="n">
        <f aca="false">AM50*EXP(-Car_Data!$B$123*Home_Data!$B$91)</f>
        <v>3401.88447292646</v>
      </c>
      <c r="AO50" s="34" t="n">
        <f aca="false">AM50*EXP(Car_Data!$B$123*Home_Data!$B$91)</f>
        <v>6413.14570398428</v>
      </c>
      <c r="AP50" s="39" t="str">
        <f aca="false">IF($U50&gt;0,IF(AND($U50&gt;=AN50,$U50&lt;=AO50),1,0),"")</f>
        <v/>
      </c>
      <c r="AQ50" s="40" t="str">
        <f aca="false">IF($U50&gt;0,$U50/AM50-1,"")</f>
        <v/>
      </c>
    </row>
    <row r="51" customFormat="false" ht="15" hidden="false" customHeight="false" outlineLevel="0" collapsed="false">
      <c r="A51" s="6" t="s">
        <v>317</v>
      </c>
      <c r="B51" s="6" t="s">
        <v>56</v>
      </c>
      <c r="C51" s="6" t="n">
        <v>1750</v>
      </c>
      <c r="D51" s="6" t="n">
        <v>1990</v>
      </c>
      <c r="E51" s="6" t="n">
        <v>7</v>
      </c>
      <c r="F51" s="6" t="s">
        <v>133</v>
      </c>
      <c r="G51" s="6" t="s">
        <v>136</v>
      </c>
      <c r="H51" s="6" t="n">
        <v>0</v>
      </c>
      <c r="I51" s="23" t="n">
        <v>520000</v>
      </c>
      <c r="J51" s="23" t="n">
        <v>5000</v>
      </c>
      <c r="K51" s="6" t="n">
        <v>100</v>
      </c>
      <c r="L51" s="6" t="s">
        <v>264</v>
      </c>
      <c r="M51" s="6" t="n">
        <v>1</v>
      </c>
      <c r="N51" s="6" t="n">
        <v>0</v>
      </c>
      <c r="O51" s="6" t="n">
        <v>0</v>
      </c>
      <c r="P51" s="6" t="n">
        <v>1</v>
      </c>
      <c r="Q51" s="6" t="n">
        <v>0</v>
      </c>
      <c r="R51" s="6" t="s">
        <v>314</v>
      </c>
      <c r="S51" s="5"/>
      <c r="T51" s="32"/>
      <c r="U51" s="17"/>
      <c r="V51" s="33" t="n">
        <f aca="false">MATCH($B51,Home_Data!$B$5:$B$56,0)</f>
        <v>43</v>
      </c>
      <c r="W51" s="34" t="n">
        <f aca="false">MIN(MAX($I51,50000),3000000)</f>
        <v>520000</v>
      </c>
      <c r="X51" s="35" t="n">
        <f aca="false">IFERROR(MIN(3,MAX(1,MATCH(W51,Home_Data!$C$4:$F$4,1))),1)</f>
        <v>3</v>
      </c>
      <c r="Y51" s="36" t="n">
        <f aca="false">INDEX(Home_Data!$C$5:$F$56,V51,X51)</f>
        <v>5733</v>
      </c>
      <c r="Z51" s="36" t="n">
        <f aca="false">INDEX(Home_Data!$C$5:$F$56,V51,X51+1)</f>
        <v>7858</v>
      </c>
      <c r="AA51" s="36" t="n">
        <f aca="false">INDEX(Home_Data!$C$4:$F$4,X51)</f>
        <v>400000</v>
      </c>
      <c r="AB51" s="36" t="n">
        <f aca="false">INDEX(Home_Data!$C$4:$F$4,X51+1)</f>
        <v>600000</v>
      </c>
      <c r="AC51" s="36" t="n">
        <f aca="false">IF($I51&lt;200000,INDEX(Home_Data!$C$5:$F$56,V51,1)*(MAX($I51,Home_Data!$B$90)/200000)^Home_Data!$B$89,Y51*(W51/AA51)^(LN(Z51/Y51)/LN(AB51/AA51)))</f>
        <v>7030.48483606371</v>
      </c>
      <c r="AD51" s="37" t="n">
        <f aca="false">IF($K51=100,Home_Data!$B$67,IF($K51=500,Home_Data!$B$69,Home_Data!$B$68))</f>
        <v>0.991</v>
      </c>
      <c r="AE51" s="37" t="n">
        <f aca="false">IF($J51&lt;=Home_Data!$B$61,Home_Data!$B$64,IF($J51&gt;=Home_Data!$B$63,Home_Data!$B$66,IF($J51&lt;=Home_Data!$B$62,Home_Data!$B$64+(Home_Data!$B$65-Home_Data!$B$64)*(LN($J51)-LN(Home_Data!$B$61))/(LN(Home_Data!$B$62)-LN(Home_Data!$B$61)),Home_Data!$B$65+(Home_Data!$B$66-Home_Data!$B$65)*(LN($J51)-LN(Home_Data!$B$62))/(LN(Home_Data!$B$63)-LN(Home_Data!$B$62)))))</f>
        <v>0.84</v>
      </c>
      <c r="AF51" s="38" t="n">
        <f aca="false">IF($E51&gt;=20,Home_Data!$B$80,IF($E51&gt;=10,Home_Data!$B$79,1))</f>
        <v>1</v>
      </c>
      <c r="AG51" s="38" t="n">
        <f aca="false">IF($D51&lt;1960,Home_Data!$B$81,IF($D51&lt;1980,Home_Data!$B$82,IF($D51&gt;=2000,Home_Data!$B$83,1)))</f>
        <v>1</v>
      </c>
      <c r="AH51" s="38" t="n">
        <f aca="false">IF($F51="brick",Home_Data!$B$78,1)</f>
        <v>1</v>
      </c>
      <c r="AI51" s="38" t="n">
        <f aca="false">IF($G51="rental",Home_Data!$B$84,IF($G51="vacation",Home_Data!$B$85,1))</f>
        <v>1</v>
      </c>
      <c r="AJ51" s="38" t="n">
        <f aca="false">INDEX(Home_Data!$B$70:$B$73,MIN(3,MAX(0,$H51))+1)</f>
        <v>1</v>
      </c>
      <c r="AK51" s="38" t="n">
        <f aca="false">IF(INDEX(Home_Data!$H$5:$H$56,V51)="Yes",1,IF($L51="poor",Home_Data!$B$74,IF($L51="fair",Home_Data!$B$75,IF($L51="excellent",Home_Data!$B$77,Home_Data!$B$76))))</f>
        <v>0.89</v>
      </c>
      <c r="AL51" s="38" t="n">
        <f aca="false">IF(($N51=1),Home_Data!$B$86,1)*IF(($O51=1),Home_Data!$B$87,1)*IF(($P51=1),Home_Data!$B$88,1)</f>
        <v>1.08</v>
      </c>
      <c r="AM51" s="34" t="n">
        <f aca="false">AC51*AD51*AE51*AF51*AG51*AH51*AI51*AJ51*AK51*AL51</f>
        <v>5625.38147321188</v>
      </c>
      <c r="AN51" s="34" t="n">
        <f aca="false">AM51*EXP(-Car_Data!$B$123*Home_Data!$B$91)</f>
        <v>4097.09661697825</v>
      </c>
      <c r="AO51" s="34" t="n">
        <f aca="false">AM51*EXP(Car_Data!$B$123*Home_Data!$B$91)</f>
        <v>7723.74187809481</v>
      </c>
      <c r="AP51" s="39" t="str">
        <f aca="false">IF($U51&gt;0,IF(AND($U51&gt;=AN51,$U51&lt;=AO51),1,0),"")</f>
        <v/>
      </c>
      <c r="AQ51" s="40" t="str">
        <f aca="false">IF($U51&gt;0,$U51/AM51-1,"")</f>
        <v/>
      </c>
    </row>
    <row r="52" customFormat="false" ht="15" hidden="false" customHeight="false" outlineLevel="0" collapsed="false">
      <c r="A52" s="6" t="s">
        <v>318</v>
      </c>
      <c r="B52" s="6" t="s">
        <v>56</v>
      </c>
      <c r="C52" s="6" t="n">
        <v>2350</v>
      </c>
      <c r="D52" s="6" t="n">
        <v>1998</v>
      </c>
      <c r="E52" s="6" t="n">
        <v>10</v>
      </c>
      <c r="F52" s="6" t="s">
        <v>261</v>
      </c>
      <c r="G52" s="6" t="s">
        <v>136</v>
      </c>
      <c r="H52" s="6" t="n">
        <v>0</v>
      </c>
      <c r="I52" s="23" t="n">
        <v>480000</v>
      </c>
      <c r="J52" s="23" t="n">
        <v>1000</v>
      </c>
      <c r="K52" s="6" t="n">
        <v>100</v>
      </c>
      <c r="L52" s="6" t="s">
        <v>271</v>
      </c>
      <c r="M52" s="6" t="n">
        <v>0</v>
      </c>
      <c r="N52" s="6" t="n">
        <v>0</v>
      </c>
      <c r="O52" s="6" t="n">
        <v>0</v>
      </c>
      <c r="P52" s="6" t="n">
        <v>1</v>
      </c>
      <c r="Q52" s="6" t="n">
        <v>0</v>
      </c>
      <c r="R52" s="6" t="s">
        <v>262</v>
      </c>
      <c r="S52" s="5"/>
      <c r="T52" s="32"/>
      <c r="U52" s="17"/>
      <c r="V52" s="33" t="n">
        <f aca="false">MATCH($B52,Home_Data!$B$5:$B$56,0)</f>
        <v>43</v>
      </c>
      <c r="W52" s="34" t="n">
        <f aca="false">MIN(MAX($I52,50000),3000000)</f>
        <v>480000</v>
      </c>
      <c r="X52" s="35" t="n">
        <f aca="false">IFERROR(MIN(3,MAX(1,MATCH(W52,Home_Data!$C$4:$F$4,1))),1)</f>
        <v>3</v>
      </c>
      <c r="Y52" s="36" t="n">
        <f aca="false">INDEX(Home_Data!$C$5:$F$56,V52,X52)</f>
        <v>5733</v>
      </c>
      <c r="Z52" s="36" t="n">
        <f aca="false">INDEX(Home_Data!$C$5:$F$56,V52,X52+1)</f>
        <v>7858</v>
      </c>
      <c r="AA52" s="36" t="n">
        <f aca="false">INDEX(Home_Data!$C$4:$F$4,X52)</f>
        <v>400000</v>
      </c>
      <c r="AB52" s="36" t="n">
        <f aca="false">INDEX(Home_Data!$C$4:$F$4,X52+1)</f>
        <v>600000</v>
      </c>
      <c r="AC52" s="36" t="n">
        <f aca="false">IF($I52&lt;200000,INDEX(Home_Data!$C$5:$F$56,V52,1)*(MAX($I52,Home_Data!$B$90)/200000)^Home_Data!$B$89,Y52*(W52/AA52)^(LN(Z52/Y52)/LN(AB52/AA52)))</f>
        <v>6606.23414025864</v>
      </c>
      <c r="AD52" s="37" t="n">
        <f aca="false">IF($K52=100,Home_Data!$B$67,IF($K52=500,Home_Data!$B$69,Home_Data!$B$68))</f>
        <v>0.991</v>
      </c>
      <c r="AE52" s="37" t="n">
        <f aca="false">IF($J52&lt;=Home_Data!$B$61,Home_Data!$B$64,IF($J52&gt;=Home_Data!$B$63,Home_Data!$B$66,IF($J52&lt;=Home_Data!$B$62,Home_Data!$B$64+(Home_Data!$B$65-Home_Data!$B$64)*(LN($J52)-LN(Home_Data!$B$61))/(LN(Home_Data!$B$62)-LN(Home_Data!$B$61)),Home_Data!$B$65+(Home_Data!$B$66-Home_Data!$B$65)*(LN($J52)-LN(Home_Data!$B$62))/(LN(Home_Data!$B$63)-LN(Home_Data!$B$62)))))</f>
        <v>1</v>
      </c>
      <c r="AF52" s="38" t="n">
        <f aca="false">IF($E52&gt;=20,Home_Data!$B$80,IF($E52&gt;=10,Home_Data!$B$79,1))</f>
        <v>1.1</v>
      </c>
      <c r="AG52" s="38" t="n">
        <f aca="false">IF($D52&lt;1960,Home_Data!$B$81,IF($D52&lt;1980,Home_Data!$B$82,IF($D52&gt;=2000,Home_Data!$B$83,1)))</f>
        <v>1</v>
      </c>
      <c r="AH52" s="38" t="n">
        <f aca="false">IF($F52="brick",Home_Data!$B$78,1)</f>
        <v>0.98</v>
      </c>
      <c r="AI52" s="38" t="n">
        <f aca="false">IF($G52="rental",Home_Data!$B$84,IF($G52="vacation",Home_Data!$B$85,1))</f>
        <v>1</v>
      </c>
      <c r="AJ52" s="38" t="n">
        <f aca="false">INDEX(Home_Data!$B$70:$B$73,MIN(3,MAX(0,$H52))+1)</f>
        <v>1</v>
      </c>
      <c r="AK52" s="38" t="n">
        <f aca="false">IF(INDEX(Home_Data!$H$5:$H$56,V52)="Yes",1,IF($L52="poor",Home_Data!$B$74,IF($L52="fair",Home_Data!$B$75,IF($L52="excellent",Home_Data!$B$77,Home_Data!$B$76))))</f>
        <v>1.07</v>
      </c>
      <c r="AL52" s="38" t="n">
        <f aca="false">IF(($N52=1),Home_Data!$B$86,1)*IF(($O52=1),Home_Data!$B$87,1)*IF(($P52=1),Home_Data!$B$88,1)</f>
        <v>1.08</v>
      </c>
      <c r="AM52" s="34" t="n">
        <f aca="false">AC52*AD52*AE52*AF52*AG52*AH52*AI52*AJ52*AK52*AL52</f>
        <v>8155.56231713512</v>
      </c>
      <c r="AN52" s="34" t="n">
        <f aca="false">AM52*EXP(-Car_Data!$B$123*Home_Data!$B$91)</f>
        <v>5939.88637716535</v>
      </c>
      <c r="AO52" s="34" t="n">
        <f aca="false">AM52*EXP(Car_Data!$B$123*Home_Data!$B$91)</f>
        <v>11197.7220581812</v>
      </c>
      <c r="AP52" s="39" t="str">
        <f aca="false">IF($U52&gt;0,IF(AND($U52&gt;=AN52,$U52&lt;=AO52),1,0),"")</f>
        <v/>
      </c>
      <c r="AQ52" s="40" t="str">
        <f aca="false">IF($U52&gt;0,$U52/AM52-1,"")</f>
        <v/>
      </c>
    </row>
    <row r="53" customFormat="false" ht="15" hidden="false" customHeight="false" outlineLevel="0" collapsed="false">
      <c r="A53" s="6" t="s">
        <v>319</v>
      </c>
      <c r="B53" s="6" t="s">
        <v>56</v>
      </c>
      <c r="C53" s="6" t="n">
        <v>1350</v>
      </c>
      <c r="D53" s="6" t="n">
        <v>1962</v>
      </c>
      <c r="E53" s="6" t="n">
        <v>12</v>
      </c>
      <c r="F53" s="6" t="s">
        <v>133</v>
      </c>
      <c r="G53" s="6" t="s">
        <v>136</v>
      </c>
      <c r="H53" s="6" t="n">
        <v>0</v>
      </c>
      <c r="I53" s="23" t="n">
        <v>320000</v>
      </c>
      <c r="J53" s="23" t="n">
        <v>5000</v>
      </c>
      <c r="K53" s="6" t="n">
        <v>300</v>
      </c>
      <c r="L53" s="6" t="s">
        <v>284</v>
      </c>
      <c r="M53" s="6" t="n">
        <v>0</v>
      </c>
      <c r="N53" s="6" t="n">
        <v>1</v>
      </c>
      <c r="O53" s="6" t="n">
        <v>0</v>
      </c>
      <c r="P53" s="6" t="n">
        <v>0</v>
      </c>
      <c r="Q53" s="6" t="n">
        <v>0</v>
      </c>
      <c r="R53" s="6" t="s">
        <v>265</v>
      </c>
      <c r="S53" s="5"/>
      <c r="T53" s="32"/>
      <c r="U53" s="17"/>
      <c r="V53" s="33" t="n">
        <f aca="false">MATCH($B53,Home_Data!$B$5:$B$56,0)</f>
        <v>43</v>
      </c>
      <c r="W53" s="34" t="n">
        <f aca="false">MIN(MAX($I53,50000),3000000)</f>
        <v>320000</v>
      </c>
      <c r="X53" s="35" t="n">
        <f aca="false">IFERROR(MIN(3,MAX(1,MATCH(W53,Home_Data!$C$4:$F$4,1))),1)</f>
        <v>2</v>
      </c>
      <c r="Y53" s="36" t="n">
        <f aca="false">INDEX(Home_Data!$C$5:$F$56,V53,X53)</f>
        <v>4582</v>
      </c>
      <c r="Z53" s="36" t="n">
        <f aca="false">INDEX(Home_Data!$C$5:$F$56,V53,X53+1)</f>
        <v>5733</v>
      </c>
      <c r="AA53" s="36" t="n">
        <f aca="false">INDEX(Home_Data!$C$4:$F$4,X53)</f>
        <v>300000</v>
      </c>
      <c r="AB53" s="36" t="n">
        <f aca="false">INDEX(Home_Data!$C$4:$F$4,X53+1)</f>
        <v>400000</v>
      </c>
      <c r="AC53" s="36" t="n">
        <f aca="false">IF($I53&lt;200000,INDEX(Home_Data!$C$5:$F$56,V53,1)*(MAX($I53,Home_Data!$B$90)/200000)^Home_Data!$B$89,Y53*(W53/AA53)^(LN(Z53/Y53)/LN(AB53/AA53)))</f>
        <v>4818.25040480372</v>
      </c>
      <c r="AD53" s="37" t="n">
        <f aca="false">IF($K53=100,Home_Data!$B$67,IF($K53=500,Home_Data!$B$69,Home_Data!$B$68))</f>
        <v>1</v>
      </c>
      <c r="AE53" s="37" t="n">
        <f aca="false">IF($J53&lt;=Home_Data!$B$61,Home_Data!$B$64,IF($J53&gt;=Home_Data!$B$63,Home_Data!$B$66,IF($J53&lt;=Home_Data!$B$62,Home_Data!$B$64+(Home_Data!$B$65-Home_Data!$B$64)*(LN($J53)-LN(Home_Data!$B$61))/(LN(Home_Data!$B$62)-LN(Home_Data!$B$61)),Home_Data!$B$65+(Home_Data!$B$66-Home_Data!$B$65)*(LN($J53)-LN(Home_Data!$B$62))/(LN(Home_Data!$B$63)-LN(Home_Data!$B$62)))))</f>
        <v>0.84</v>
      </c>
      <c r="AF53" s="38" t="n">
        <f aca="false">IF($E53&gt;=20,Home_Data!$B$80,IF($E53&gt;=10,Home_Data!$B$79,1))</f>
        <v>1.1</v>
      </c>
      <c r="AG53" s="38" t="n">
        <f aca="false">IF($D53&lt;1960,Home_Data!$B$81,IF($D53&lt;1980,Home_Data!$B$82,IF($D53&gt;=2000,Home_Data!$B$83,1)))</f>
        <v>1.08</v>
      </c>
      <c r="AH53" s="38" t="n">
        <f aca="false">IF($F53="brick",Home_Data!$B$78,1)</f>
        <v>1</v>
      </c>
      <c r="AI53" s="38" t="n">
        <f aca="false">IF($G53="rental",Home_Data!$B$84,IF($G53="vacation",Home_Data!$B$85,1))</f>
        <v>1</v>
      </c>
      <c r="AJ53" s="38" t="n">
        <f aca="false">INDEX(Home_Data!$B$70:$B$73,MIN(3,MAX(0,$H53))+1)</f>
        <v>1</v>
      </c>
      <c r="AK53" s="38" t="n">
        <f aca="false">IF(INDEX(Home_Data!$H$5:$H$56,V53)="Yes",1,IF($L53="poor",Home_Data!$B$74,IF($L53="fair",Home_Data!$B$75,IF($L53="excellent",Home_Data!$B$77,Home_Data!$B$76))))</f>
        <v>2.11</v>
      </c>
      <c r="AL53" s="38" t="n">
        <f aca="false">IF(($N53=1),Home_Data!$B$86,1)*IF(($O53=1),Home_Data!$B$87,1)*IF(($P53=1),Home_Data!$B$88,1)</f>
        <v>1.15</v>
      </c>
      <c r="AM53" s="34" t="n">
        <f aca="false">AC53*AD53*AE53*AF53*AG53*AH53*AI53*AJ53*AK53*AL53</f>
        <v>11667.1663192731</v>
      </c>
      <c r="AN53" s="34" t="n">
        <f aca="false">AM53*EXP(-Car_Data!$B$123*Home_Data!$B$91)</f>
        <v>8497.46952878624</v>
      </c>
      <c r="AO53" s="34" t="n">
        <f aca="false">AM53*EXP(Car_Data!$B$123*Home_Data!$B$91)</f>
        <v>16019.212479721</v>
      </c>
      <c r="AP53" s="39" t="str">
        <f aca="false">IF($U53&gt;0,IF(AND($U53&gt;=AN53,$U53&lt;=AO53),1,0),"")</f>
        <v/>
      </c>
      <c r="AQ53" s="40" t="str">
        <f aca="false">IF($U53&gt;0,$U53/AM53-1,"")</f>
        <v/>
      </c>
    </row>
    <row r="54" customFormat="false" ht="15" hidden="false" customHeight="false" outlineLevel="0" collapsed="false">
      <c r="A54" s="6" t="s">
        <v>320</v>
      </c>
      <c r="B54" s="6" t="s">
        <v>56</v>
      </c>
      <c r="C54" s="6" t="n">
        <v>2650</v>
      </c>
      <c r="D54" s="6" t="n">
        <v>1989</v>
      </c>
      <c r="E54" s="6" t="n">
        <v>8</v>
      </c>
      <c r="F54" s="6" t="s">
        <v>133</v>
      </c>
      <c r="G54" s="6" t="s">
        <v>136</v>
      </c>
      <c r="H54" s="6" t="n">
        <v>0</v>
      </c>
      <c r="I54" s="23" t="n">
        <v>645000</v>
      </c>
      <c r="J54" s="23" t="n">
        <v>1000</v>
      </c>
      <c r="K54" s="6" t="n">
        <v>300</v>
      </c>
      <c r="L54" s="6" t="s">
        <v>271</v>
      </c>
      <c r="M54" s="6" t="n">
        <v>0</v>
      </c>
      <c r="N54" s="6" t="n">
        <v>0</v>
      </c>
      <c r="O54" s="6" t="n">
        <v>0</v>
      </c>
      <c r="P54" s="6" t="n">
        <v>0</v>
      </c>
      <c r="Q54" s="6" t="n">
        <v>0</v>
      </c>
      <c r="R54" s="6" t="s">
        <v>267</v>
      </c>
      <c r="S54" s="5"/>
      <c r="T54" s="32"/>
      <c r="U54" s="17"/>
      <c r="V54" s="33" t="n">
        <f aca="false">MATCH($B54,Home_Data!$B$5:$B$56,0)</f>
        <v>43</v>
      </c>
      <c r="W54" s="34" t="n">
        <f aca="false">MIN(MAX($I54,50000),3000000)</f>
        <v>645000</v>
      </c>
      <c r="X54" s="35" t="n">
        <f aca="false">IFERROR(MIN(3,MAX(1,MATCH(W54,Home_Data!$C$4:$F$4,1))),1)</f>
        <v>3</v>
      </c>
      <c r="Y54" s="36" t="n">
        <f aca="false">INDEX(Home_Data!$C$5:$F$56,V54,X54)</f>
        <v>5733</v>
      </c>
      <c r="Z54" s="36" t="n">
        <f aca="false">INDEX(Home_Data!$C$5:$F$56,V54,X54+1)</f>
        <v>7858</v>
      </c>
      <c r="AA54" s="36" t="n">
        <f aca="false">INDEX(Home_Data!$C$4:$F$4,X54)</f>
        <v>400000</v>
      </c>
      <c r="AB54" s="36" t="n">
        <f aca="false">INDEX(Home_Data!$C$4:$F$4,X54+1)</f>
        <v>600000</v>
      </c>
      <c r="AC54" s="36" t="n">
        <f aca="false">IF($I54&lt;200000,INDEX(Home_Data!$C$5:$F$56,V54,1)*(MAX($I54,Home_Data!$B$90)/200000)^Home_Data!$B$89,Y54*(W54/AA54)^(LN(Z54/Y54)/LN(AB54/AA54)))</f>
        <v>8312.57386289706</v>
      </c>
      <c r="AD54" s="37" t="n">
        <f aca="false">IF($K54=100,Home_Data!$B$67,IF($K54=500,Home_Data!$B$69,Home_Data!$B$68))</f>
        <v>1</v>
      </c>
      <c r="AE54" s="37" t="n">
        <f aca="false">IF($J54&lt;=Home_Data!$B$61,Home_Data!$B$64,IF($J54&gt;=Home_Data!$B$63,Home_Data!$B$66,IF($J54&lt;=Home_Data!$B$62,Home_Data!$B$64+(Home_Data!$B$65-Home_Data!$B$64)*(LN($J54)-LN(Home_Data!$B$61))/(LN(Home_Data!$B$62)-LN(Home_Data!$B$61)),Home_Data!$B$65+(Home_Data!$B$66-Home_Data!$B$65)*(LN($J54)-LN(Home_Data!$B$62))/(LN(Home_Data!$B$63)-LN(Home_Data!$B$62)))))</f>
        <v>1</v>
      </c>
      <c r="AF54" s="38" t="n">
        <f aca="false">IF($E54&gt;=20,Home_Data!$B$80,IF($E54&gt;=10,Home_Data!$B$79,1))</f>
        <v>1</v>
      </c>
      <c r="AG54" s="38" t="n">
        <f aca="false">IF($D54&lt;1960,Home_Data!$B$81,IF($D54&lt;1980,Home_Data!$B$82,IF($D54&gt;=2000,Home_Data!$B$83,1)))</f>
        <v>1</v>
      </c>
      <c r="AH54" s="38" t="n">
        <f aca="false">IF($F54="brick",Home_Data!$B$78,1)</f>
        <v>1</v>
      </c>
      <c r="AI54" s="38" t="n">
        <f aca="false">IF($G54="rental",Home_Data!$B$84,IF($G54="vacation",Home_Data!$B$85,1))</f>
        <v>1</v>
      </c>
      <c r="AJ54" s="38" t="n">
        <f aca="false">INDEX(Home_Data!$B$70:$B$73,MIN(3,MAX(0,$H54))+1)</f>
        <v>1</v>
      </c>
      <c r="AK54" s="38" t="n">
        <f aca="false">IF(INDEX(Home_Data!$H$5:$H$56,V54)="Yes",1,IF($L54="poor",Home_Data!$B$74,IF($L54="fair",Home_Data!$B$75,IF($L54="excellent",Home_Data!$B$77,Home_Data!$B$76))))</f>
        <v>1.07</v>
      </c>
      <c r="AL54" s="38" t="n">
        <f aca="false">IF(($N54=1),Home_Data!$B$86,1)*IF(($O54=1),Home_Data!$B$87,1)*IF(($P54=1),Home_Data!$B$88,1)</f>
        <v>1</v>
      </c>
      <c r="AM54" s="34" t="n">
        <f aca="false">AC54*AD54*AE54*AF54*AG54*AH54*AI54*AJ54*AK54*AL54</f>
        <v>8894.45403329986</v>
      </c>
      <c r="AN54" s="34" t="n">
        <f aca="false">AM54*EXP(-Car_Data!$B$123*Home_Data!$B$91)</f>
        <v>6478.03845894468</v>
      </c>
      <c r="AO54" s="34" t="n">
        <f aca="false">AM54*EXP(Car_Data!$B$123*Home_Data!$B$91)</f>
        <v>12212.2326151444</v>
      </c>
      <c r="AP54" s="39" t="str">
        <f aca="false">IF($U54&gt;0,IF(AND($U54&gt;=AN54,$U54&lt;=AO54),1,0),"")</f>
        <v/>
      </c>
      <c r="AQ54" s="40" t="str">
        <f aca="false">IF($U54&gt;0,$U54/AM54-1,"")</f>
        <v/>
      </c>
    </row>
    <row r="55" customFormat="false" ht="15" hidden="false" customHeight="false" outlineLevel="0" collapsed="false">
      <c r="A55" s="6" t="s">
        <v>321</v>
      </c>
      <c r="B55" s="6" t="s">
        <v>56</v>
      </c>
      <c r="C55" s="6" t="n">
        <v>3800</v>
      </c>
      <c r="D55" s="6" t="n">
        <v>2017</v>
      </c>
      <c r="E55" s="6" t="n">
        <v>2</v>
      </c>
      <c r="F55" s="6" t="s">
        <v>133</v>
      </c>
      <c r="G55" s="6" t="s">
        <v>136</v>
      </c>
      <c r="H55" s="6" t="n">
        <v>0</v>
      </c>
      <c r="I55" s="23" t="n">
        <v>890000</v>
      </c>
      <c r="J55" s="23" t="n">
        <v>1000</v>
      </c>
      <c r="K55" s="6" t="n">
        <v>300</v>
      </c>
      <c r="L55" s="6" t="s">
        <v>271</v>
      </c>
      <c r="M55" s="6" t="n">
        <v>0</v>
      </c>
      <c r="N55" s="6" t="n">
        <v>0</v>
      </c>
      <c r="O55" s="6" t="n">
        <v>0</v>
      </c>
      <c r="P55" s="6" t="n">
        <v>0</v>
      </c>
      <c r="Q55" s="6" t="n">
        <v>0</v>
      </c>
      <c r="R55" s="6" t="s">
        <v>267</v>
      </c>
      <c r="S55" s="5"/>
      <c r="T55" s="32"/>
      <c r="U55" s="17"/>
      <c r="V55" s="33" t="n">
        <f aca="false">MATCH($B55,Home_Data!$B$5:$B$56,0)</f>
        <v>43</v>
      </c>
      <c r="W55" s="34" t="n">
        <f aca="false">MIN(MAX($I55,50000),3000000)</f>
        <v>890000</v>
      </c>
      <c r="X55" s="35" t="n">
        <f aca="false">IFERROR(MIN(3,MAX(1,MATCH(W55,Home_Data!$C$4:$F$4,1))),1)</f>
        <v>3</v>
      </c>
      <c r="Y55" s="36" t="n">
        <f aca="false">INDEX(Home_Data!$C$5:$F$56,V55,X55)</f>
        <v>5733</v>
      </c>
      <c r="Z55" s="36" t="n">
        <f aca="false">INDEX(Home_Data!$C$5:$F$56,V55,X55+1)</f>
        <v>7858</v>
      </c>
      <c r="AA55" s="36" t="n">
        <f aca="false">INDEX(Home_Data!$C$4:$F$4,X55)</f>
        <v>400000</v>
      </c>
      <c r="AB55" s="36" t="n">
        <f aca="false">INDEX(Home_Data!$C$4:$F$4,X55+1)</f>
        <v>600000</v>
      </c>
      <c r="AC55" s="36" t="n">
        <f aca="false">IF($I55&lt;200000,INDEX(Home_Data!$C$5:$F$56,V55,1)*(MAX($I55,Home_Data!$B$90)/200000)^Home_Data!$B$89,Y55*(W55/AA55)^(LN(Z55/Y55)/LN(AB55/AA55)))</f>
        <v>10677.4798157283</v>
      </c>
      <c r="AD55" s="37" t="n">
        <f aca="false">IF($K55=100,Home_Data!$B$67,IF($K55=500,Home_Data!$B$69,Home_Data!$B$68))</f>
        <v>1</v>
      </c>
      <c r="AE55" s="37" t="n">
        <f aca="false">IF($J55&lt;=Home_Data!$B$61,Home_Data!$B$64,IF($J55&gt;=Home_Data!$B$63,Home_Data!$B$66,IF($J55&lt;=Home_Data!$B$62,Home_Data!$B$64+(Home_Data!$B$65-Home_Data!$B$64)*(LN($J55)-LN(Home_Data!$B$61))/(LN(Home_Data!$B$62)-LN(Home_Data!$B$61)),Home_Data!$B$65+(Home_Data!$B$66-Home_Data!$B$65)*(LN($J55)-LN(Home_Data!$B$62))/(LN(Home_Data!$B$63)-LN(Home_Data!$B$62)))))</f>
        <v>1</v>
      </c>
      <c r="AF55" s="38" t="n">
        <f aca="false">IF($E55&gt;=20,Home_Data!$B$80,IF($E55&gt;=10,Home_Data!$B$79,1))</f>
        <v>1</v>
      </c>
      <c r="AG55" s="38" t="n">
        <f aca="false">IF($D55&lt;1960,Home_Data!$B$81,IF($D55&lt;1980,Home_Data!$B$82,IF($D55&gt;=2000,Home_Data!$B$83,1)))</f>
        <v>0.95</v>
      </c>
      <c r="AH55" s="38" t="n">
        <f aca="false">IF($F55="brick",Home_Data!$B$78,1)</f>
        <v>1</v>
      </c>
      <c r="AI55" s="38" t="n">
        <f aca="false">IF($G55="rental",Home_Data!$B$84,IF($G55="vacation",Home_Data!$B$85,1))</f>
        <v>1</v>
      </c>
      <c r="AJ55" s="38" t="n">
        <f aca="false">INDEX(Home_Data!$B$70:$B$73,MIN(3,MAX(0,$H55))+1)</f>
        <v>1</v>
      </c>
      <c r="AK55" s="38" t="n">
        <f aca="false">IF(INDEX(Home_Data!$H$5:$H$56,V55)="Yes",1,IF($L55="poor",Home_Data!$B$74,IF($L55="fair",Home_Data!$B$75,IF($L55="excellent",Home_Data!$B$77,Home_Data!$B$76))))</f>
        <v>1.07</v>
      </c>
      <c r="AL55" s="38" t="n">
        <f aca="false">IF(($N55=1),Home_Data!$B$86,1)*IF(($O55=1),Home_Data!$B$87,1)*IF(($P55=1),Home_Data!$B$88,1)</f>
        <v>1</v>
      </c>
      <c r="AM55" s="34" t="n">
        <f aca="false">AC55*AD55*AE55*AF55*AG55*AH55*AI55*AJ55*AK55*AL55</f>
        <v>10853.6582326878</v>
      </c>
      <c r="AN55" s="34" t="n">
        <f aca="false">AM55*EXP(-Car_Data!$B$123*Home_Data!$B$91)</f>
        <v>7904.97260296798</v>
      </c>
      <c r="AO55" s="34" t="n">
        <f aca="false">AM55*EXP(Car_Data!$B$123*Home_Data!$B$91)</f>
        <v>14902.2524110663</v>
      </c>
      <c r="AP55" s="39" t="str">
        <f aca="false">IF($U55&gt;0,IF(AND($U55&gt;=AN55,$U55&lt;=AO55),1,0),"")</f>
        <v/>
      </c>
      <c r="AQ55" s="40" t="str">
        <f aca="false">IF($U55&gt;0,$U55/AM55-1,"")</f>
        <v/>
      </c>
    </row>
    <row r="56" customFormat="false" ht="15" hidden="false" customHeight="false" outlineLevel="0" collapsed="false">
      <c r="A56" s="6" t="s">
        <v>322</v>
      </c>
      <c r="B56" s="6" t="s">
        <v>56</v>
      </c>
      <c r="C56" s="6" t="n">
        <v>2750</v>
      </c>
      <c r="D56" s="6" t="n">
        <v>1967</v>
      </c>
      <c r="E56" s="6" t="n">
        <v>20</v>
      </c>
      <c r="F56" s="6" t="s">
        <v>133</v>
      </c>
      <c r="G56" s="6" t="s">
        <v>136</v>
      </c>
      <c r="H56" s="6" t="n">
        <v>0</v>
      </c>
      <c r="I56" s="23" t="n">
        <v>620000</v>
      </c>
      <c r="J56" s="23" t="n">
        <v>1000</v>
      </c>
      <c r="K56" s="6" t="n">
        <v>300</v>
      </c>
      <c r="L56" s="6" t="s">
        <v>284</v>
      </c>
      <c r="M56" s="6" t="n">
        <v>0</v>
      </c>
      <c r="N56" s="6" t="n">
        <v>0</v>
      </c>
      <c r="O56" s="6" t="n">
        <v>0</v>
      </c>
      <c r="P56" s="6" t="n">
        <v>1</v>
      </c>
      <c r="Q56" s="6" t="n">
        <v>0</v>
      </c>
      <c r="R56" s="6" t="s">
        <v>262</v>
      </c>
      <c r="S56" s="5"/>
      <c r="T56" s="32"/>
      <c r="U56" s="17"/>
      <c r="V56" s="33" t="n">
        <f aca="false">MATCH($B56,Home_Data!$B$5:$B$56,0)</f>
        <v>43</v>
      </c>
      <c r="W56" s="34" t="n">
        <f aca="false">MIN(MAX($I56,50000),3000000)</f>
        <v>620000</v>
      </c>
      <c r="X56" s="35" t="n">
        <f aca="false">IFERROR(MIN(3,MAX(1,MATCH(W56,Home_Data!$C$4:$F$4,1))),1)</f>
        <v>3</v>
      </c>
      <c r="Y56" s="36" t="n">
        <f aca="false">INDEX(Home_Data!$C$5:$F$56,V56,X56)</f>
        <v>5733</v>
      </c>
      <c r="Z56" s="36" t="n">
        <f aca="false">INDEX(Home_Data!$C$5:$F$56,V56,X56+1)</f>
        <v>7858</v>
      </c>
      <c r="AA56" s="36" t="n">
        <f aca="false">INDEX(Home_Data!$C$4:$F$4,X56)</f>
        <v>400000</v>
      </c>
      <c r="AB56" s="36" t="n">
        <f aca="false">INDEX(Home_Data!$C$4:$F$4,X56+1)</f>
        <v>600000</v>
      </c>
      <c r="AC56" s="36" t="n">
        <f aca="false">IF($I56&lt;200000,INDEX(Home_Data!$C$5:$F$56,V56,1)*(MAX($I56,Home_Data!$B$90)/200000)^Home_Data!$B$89,Y56*(W56/AA56)^(LN(Z56/Y56)/LN(AB56/AA56)))</f>
        <v>8060.93673781539</v>
      </c>
      <c r="AD56" s="37" t="n">
        <f aca="false">IF($K56=100,Home_Data!$B$67,IF($K56=500,Home_Data!$B$69,Home_Data!$B$68))</f>
        <v>1</v>
      </c>
      <c r="AE56" s="37" t="n">
        <f aca="false">IF($J56&lt;=Home_Data!$B$61,Home_Data!$B$64,IF($J56&gt;=Home_Data!$B$63,Home_Data!$B$66,IF($J56&lt;=Home_Data!$B$62,Home_Data!$B$64+(Home_Data!$B$65-Home_Data!$B$64)*(LN($J56)-LN(Home_Data!$B$61))/(LN(Home_Data!$B$62)-LN(Home_Data!$B$61)),Home_Data!$B$65+(Home_Data!$B$66-Home_Data!$B$65)*(LN($J56)-LN(Home_Data!$B$62))/(LN(Home_Data!$B$63)-LN(Home_Data!$B$62)))))</f>
        <v>1</v>
      </c>
      <c r="AF56" s="38" t="n">
        <f aca="false">IF($E56&gt;=20,Home_Data!$B$80,IF($E56&gt;=10,Home_Data!$B$79,1))</f>
        <v>1.3</v>
      </c>
      <c r="AG56" s="38" t="n">
        <f aca="false">IF($D56&lt;1960,Home_Data!$B$81,IF($D56&lt;1980,Home_Data!$B$82,IF($D56&gt;=2000,Home_Data!$B$83,1)))</f>
        <v>1.08</v>
      </c>
      <c r="AH56" s="38" t="n">
        <f aca="false">IF($F56="brick",Home_Data!$B$78,1)</f>
        <v>1</v>
      </c>
      <c r="AI56" s="38" t="n">
        <f aca="false">IF($G56="rental",Home_Data!$B$84,IF($G56="vacation",Home_Data!$B$85,1))</f>
        <v>1</v>
      </c>
      <c r="AJ56" s="38" t="n">
        <f aca="false">INDEX(Home_Data!$B$70:$B$73,MIN(3,MAX(0,$H56))+1)</f>
        <v>1</v>
      </c>
      <c r="AK56" s="38" t="n">
        <f aca="false">IF(INDEX(Home_Data!$H$5:$H$56,V56)="Yes",1,IF($L56="poor",Home_Data!$B$74,IF($L56="fair",Home_Data!$B$75,IF($L56="excellent",Home_Data!$B$77,Home_Data!$B$76))))</f>
        <v>2.11</v>
      </c>
      <c r="AL56" s="38" t="n">
        <f aca="false">IF(($N56=1),Home_Data!$B$86,1)*IF(($O56=1),Home_Data!$B$87,1)*IF(($P56=1),Home_Data!$B$88,1)</f>
        <v>1.08</v>
      </c>
      <c r="AM56" s="34" t="n">
        <f aca="false">AC56*AD56*AE56*AF56*AG56*AH56*AI56*AJ56*AK56*AL56</f>
        <v>25790.4447439397</v>
      </c>
      <c r="AN56" s="34" t="n">
        <f aca="false">AM56*EXP(-Car_Data!$B$123*Home_Data!$B$91)</f>
        <v>18783.7828268078</v>
      </c>
      <c r="AO56" s="34" t="n">
        <f aca="false">AM56*EXP(Car_Data!$B$123*Home_Data!$B$91)</f>
        <v>35410.7075354878</v>
      </c>
      <c r="AP56" s="39" t="str">
        <f aca="false">IF($U56&gt;0,IF(AND($U56&gt;=AN56,$U56&lt;=AO56),1,0),"")</f>
        <v/>
      </c>
      <c r="AQ56" s="40" t="str">
        <f aca="false">IF($U56&gt;0,$U56/AM56-1,"")</f>
        <v/>
      </c>
    </row>
    <row r="57" customFormat="false" ht="15" hidden="false" customHeight="false" outlineLevel="0" collapsed="false">
      <c r="A57" s="6" t="s">
        <v>323</v>
      </c>
      <c r="B57" s="6" t="s">
        <v>56</v>
      </c>
      <c r="C57" s="6" t="n">
        <v>3600</v>
      </c>
      <c r="D57" s="6" t="n">
        <v>1993</v>
      </c>
      <c r="E57" s="6" t="n">
        <v>23</v>
      </c>
      <c r="F57" s="6" t="s">
        <v>261</v>
      </c>
      <c r="G57" s="6" t="s">
        <v>136</v>
      </c>
      <c r="H57" s="6" t="n">
        <v>0</v>
      </c>
      <c r="I57" s="23" t="n">
        <v>800000</v>
      </c>
      <c r="J57" s="23" t="n">
        <v>2500</v>
      </c>
      <c r="K57" s="6" t="n">
        <v>300</v>
      </c>
      <c r="L57" s="6" t="s">
        <v>264</v>
      </c>
      <c r="M57" s="6" t="n">
        <v>1</v>
      </c>
      <c r="N57" s="6" t="n">
        <v>0</v>
      </c>
      <c r="O57" s="6" t="n">
        <v>0</v>
      </c>
      <c r="P57" s="6" t="n">
        <v>1</v>
      </c>
      <c r="Q57" s="6" t="n">
        <v>0</v>
      </c>
      <c r="R57" s="6" t="s">
        <v>314</v>
      </c>
      <c r="S57" s="5"/>
      <c r="T57" s="32"/>
      <c r="U57" s="17"/>
      <c r="V57" s="33" t="n">
        <f aca="false">MATCH($B57,Home_Data!$B$5:$B$56,0)</f>
        <v>43</v>
      </c>
      <c r="W57" s="34" t="n">
        <f aca="false">MIN(MAX($I57,50000),3000000)</f>
        <v>800000</v>
      </c>
      <c r="X57" s="35" t="n">
        <f aca="false">IFERROR(MIN(3,MAX(1,MATCH(W57,Home_Data!$C$4:$F$4,1))),1)</f>
        <v>3</v>
      </c>
      <c r="Y57" s="36" t="n">
        <f aca="false">INDEX(Home_Data!$C$5:$F$56,V57,X57)</f>
        <v>5733</v>
      </c>
      <c r="Z57" s="36" t="n">
        <f aca="false">INDEX(Home_Data!$C$5:$F$56,V57,X57+1)</f>
        <v>7858</v>
      </c>
      <c r="AA57" s="36" t="n">
        <f aca="false">INDEX(Home_Data!$C$4:$F$4,X57)</f>
        <v>400000</v>
      </c>
      <c r="AB57" s="36" t="n">
        <f aca="false">INDEX(Home_Data!$C$4:$F$4,X57+1)</f>
        <v>600000</v>
      </c>
      <c r="AC57" s="36" t="n">
        <f aca="false">IF($I57&lt;200000,INDEX(Home_Data!$C$5:$F$56,V57,1)*(MAX($I57,Home_Data!$B$90)/200000)^Home_Data!$B$89,Y57*(W57/AA57)^(LN(Z57/Y57)/LN(AB57/AA57)))</f>
        <v>9828.0071616545</v>
      </c>
      <c r="AD57" s="37" t="n">
        <f aca="false">IF($K57=100,Home_Data!$B$67,IF($K57=500,Home_Data!$B$69,Home_Data!$B$68))</f>
        <v>1</v>
      </c>
      <c r="AE57" s="37" t="n">
        <f aca="false">IF($J57&lt;=Home_Data!$B$61,Home_Data!$B$64,IF($J57&gt;=Home_Data!$B$63,Home_Data!$B$66,IF($J57&lt;=Home_Data!$B$62,Home_Data!$B$64+(Home_Data!$B$65-Home_Data!$B$64)*(LN($J57)-LN(Home_Data!$B$61))/(LN(Home_Data!$B$62)-LN(Home_Data!$B$61)),Home_Data!$B$65+(Home_Data!$B$66-Home_Data!$B$65)*(LN($J57)-LN(Home_Data!$B$62))/(LN(Home_Data!$B$63)-LN(Home_Data!$B$62)))))</f>
        <v>0.91</v>
      </c>
      <c r="AF57" s="38" t="n">
        <f aca="false">IF($E57&gt;=20,Home_Data!$B$80,IF($E57&gt;=10,Home_Data!$B$79,1))</f>
        <v>1.3</v>
      </c>
      <c r="AG57" s="38" t="n">
        <f aca="false">IF($D57&lt;1960,Home_Data!$B$81,IF($D57&lt;1980,Home_Data!$B$82,IF($D57&gt;=2000,Home_Data!$B$83,1)))</f>
        <v>1</v>
      </c>
      <c r="AH57" s="38" t="n">
        <f aca="false">IF($F57="brick",Home_Data!$B$78,1)</f>
        <v>0.98</v>
      </c>
      <c r="AI57" s="38" t="n">
        <f aca="false">IF($G57="rental",Home_Data!$B$84,IF($G57="vacation",Home_Data!$B$85,1))</f>
        <v>1</v>
      </c>
      <c r="AJ57" s="38" t="n">
        <f aca="false">INDEX(Home_Data!$B$70:$B$73,MIN(3,MAX(0,$H57))+1)</f>
        <v>1</v>
      </c>
      <c r="AK57" s="38" t="n">
        <f aca="false">IF(INDEX(Home_Data!$H$5:$H$56,V57)="Yes",1,IF($L57="poor",Home_Data!$B$74,IF($L57="fair",Home_Data!$B$75,IF($L57="excellent",Home_Data!$B$77,Home_Data!$B$76))))</f>
        <v>0.89</v>
      </c>
      <c r="AL57" s="38" t="n">
        <f aca="false">IF(($N57=1),Home_Data!$B$86,1)*IF(($O57=1),Home_Data!$B$87,1)*IF(($P57=1),Home_Data!$B$88,1)</f>
        <v>1.08</v>
      </c>
      <c r="AM57" s="34" t="n">
        <f aca="false">AC57*AD57*AE57*AF57*AG57*AH57*AI57*AJ57*AK57*AL57</f>
        <v>10951.9145520682</v>
      </c>
      <c r="AN57" s="34" t="n">
        <f aca="false">AM57*EXP(-Car_Data!$B$123*Home_Data!$B$91)</f>
        <v>7976.53497356398</v>
      </c>
      <c r="AO57" s="34" t="n">
        <f aca="false">AM57*EXP(Car_Data!$B$123*Home_Data!$B$91)</f>
        <v>15037.159963985</v>
      </c>
      <c r="AP57" s="39" t="str">
        <f aca="false">IF($U57&gt;0,IF(AND($U57&gt;=AN57,$U57&lt;=AO57),1,0),"")</f>
        <v/>
      </c>
      <c r="AQ57" s="40" t="str">
        <f aca="false">IF($U57&gt;0,$U57/AM57-1,"")</f>
        <v/>
      </c>
    </row>
    <row r="58" customFormat="false" ht="15" hidden="false" customHeight="false" outlineLevel="0" collapsed="false">
      <c r="A58" s="6" t="s">
        <v>324</v>
      </c>
      <c r="B58" s="6" t="s">
        <v>56</v>
      </c>
      <c r="C58" s="6" t="n">
        <v>1250</v>
      </c>
      <c r="D58" s="6" t="n">
        <v>2002</v>
      </c>
      <c r="E58" s="6" t="n">
        <v>4</v>
      </c>
      <c r="F58" s="6" t="s">
        <v>133</v>
      </c>
      <c r="G58" s="6" t="s">
        <v>136</v>
      </c>
      <c r="H58" s="6" t="n">
        <v>0</v>
      </c>
      <c r="I58" s="23" t="n">
        <v>275000</v>
      </c>
      <c r="J58" s="23" t="n">
        <v>5000</v>
      </c>
      <c r="K58" s="6" t="n">
        <v>500</v>
      </c>
      <c r="L58" s="6" t="s">
        <v>264</v>
      </c>
      <c r="M58" s="6" t="n">
        <v>1</v>
      </c>
      <c r="N58" s="6" t="n">
        <v>0</v>
      </c>
      <c r="O58" s="6" t="n">
        <v>0</v>
      </c>
      <c r="P58" s="6" t="n">
        <v>0</v>
      </c>
      <c r="Q58" s="6" t="n">
        <v>0</v>
      </c>
      <c r="R58" s="6" t="s">
        <v>285</v>
      </c>
      <c r="S58" s="5"/>
      <c r="T58" s="32"/>
      <c r="U58" s="17"/>
      <c r="V58" s="33" t="n">
        <f aca="false">MATCH($B58,Home_Data!$B$5:$B$56,0)</f>
        <v>43</v>
      </c>
      <c r="W58" s="34" t="n">
        <f aca="false">MIN(MAX($I58,50000),3000000)</f>
        <v>275000</v>
      </c>
      <c r="X58" s="35" t="n">
        <f aca="false">IFERROR(MIN(3,MAX(1,MATCH(W58,Home_Data!$C$4:$F$4,1))),1)</f>
        <v>1</v>
      </c>
      <c r="Y58" s="36" t="n">
        <f aca="false">INDEX(Home_Data!$C$5:$F$56,V58,X58)</f>
        <v>3294</v>
      </c>
      <c r="Z58" s="36" t="n">
        <f aca="false">INDEX(Home_Data!$C$5:$F$56,V58,X58+1)</f>
        <v>4582</v>
      </c>
      <c r="AA58" s="36" t="n">
        <f aca="false">INDEX(Home_Data!$C$4:$F$4,X58)</f>
        <v>200000</v>
      </c>
      <c r="AB58" s="36" t="n">
        <f aca="false">INDEX(Home_Data!$C$4:$F$4,X58+1)</f>
        <v>300000</v>
      </c>
      <c r="AC58" s="36" t="n">
        <f aca="false">IF($I58&lt;200000,INDEX(Home_Data!$C$5:$F$56,V58,1)*(MAX($I58,Home_Data!$B$90)/200000)^Home_Data!$B$89,Y58*(W58/AA58)^(LN(Z58/Y58)/LN(AB58/AA58)))</f>
        <v>4268.71002907125</v>
      </c>
      <c r="AD58" s="37" t="n">
        <f aca="false">IF($K58=100,Home_Data!$B$67,IF($K58=500,Home_Data!$B$69,Home_Data!$B$68))</f>
        <v>1.005</v>
      </c>
      <c r="AE58" s="37" t="n">
        <f aca="false">IF($J58&lt;=Home_Data!$B$61,Home_Data!$B$64,IF($J58&gt;=Home_Data!$B$63,Home_Data!$B$66,IF($J58&lt;=Home_Data!$B$62,Home_Data!$B$64+(Home_Data!$B$65-Home_Data!$B$64)*(LN($J58)-LN(Home_Data!$B$61))/(LN(Home_Data!$B$62)-LN(Home_Data!$B$61)),Home_Data!$B$65+(Home_Data!$B$66-Home_Data!$B$65)*(LN($J58)-LN(Home_Data!$B$62))/(LN(Home_Data!$B$63)-LN(Home_Data!$B$62)))))</f>
        <v>0.84</v>
      </c>
      <c r="AF58" s="38" t="n">
        <f aca="false">IF($E58&gt;=20,Home_Data!$B$80,IF($E58&gt;=10,Home_Data!$B$79,1))</f>
        <v>1</v>
      </c>
      <c r="AG58" s="38" t="n">
        <f aca="false">IF($D58&lt;1960,Home_Data!$B$81,IF($D58&lt;1980,Home_Data!$B$82,IF($D58&gt;=2000,Home_Data!$B$83,1)))</f>
        <v>0.95</v>
      </c>
      <c r="AH58" s="38" t="n">
        <f aca="false">IF($F58="brick",Home_Data!$B$78,1)</f>
        <v>1</v>
      </c>
      <c r="AI58" s="38" t="n">
        <f aca="false">IF($G58="rental",Home_Data!$B$84,IF($G58="vacation",Home_Data!$B$85,1))</f>
        <v>1</v>
      </c>
      <c r="AJ58" s="38" t="n">
        <f aca="false">INDEX(Home_Data!$B$70:$B$73,MIN(3,MAX(0,$H58))+1)</f>
        <v>1</v>
      </c>
      <c r="AK58" s="38" t="n">
        <f aca="false">IF(INDEX(Home_Data!$H$5:$H$56,V58)="Yes",1,IF($L58="poor",Home_Data!$B$74,IF($L58="fair",Home_Data!$B$75,IF($L58="excellent",Home_Data!$B$77,Home_Data!$B$76))))</f>
        <v>0.89</v>
      </c>
      <c r="AL58" s="38" t="n">
        <f aca="false">IF(($N58=1),Home_Data!$B$86,1)*IF(($O58=1),Home_Data!$B$87,1)*IF(($P58=1),Home_Data!$B$88,1)</f>
        <v>1</v>
      </c>
      <c r="AM58" s="34" t="n">
        <f aca="false">AC58*AD58*AE58*AF58*AG58*AH58*AI58*AJ58*AK58*AL58</f>
        <v>3046.88185303122</v>
      </c>
      <c r="AN58" s="34" t="n">
        <f aca="false">AM58*EXP(-Car_Data!$B$123*Home_Data!$B$91)</f>
        <v>2219.11516433731</v>
      </c>
      <c r="AO58" s="34" t="n">
        <f aca="false">AM58*EXP(Car_Data!$B$123*Home_Data!$B$91)</f>
        <v>4183.41921839972</v>
      </c>
      <c r="AP58" s="39" t="str">
        <f aca="false">IF($U58&gt;0,IF(AND($U58&gt;=AN58,$U58&lt;=AO58),1,0),"")</f>
        <v/>
      </c>
      <c r="AQ58" s="40" t="str">
        <f aca="false">IF($U58&gt;0,$U58/AM58-1,"")</f>
        <v/>
      </c>
    </row>
    <row r="59" customFormat="false" ht="15" hidden="false" customHeight="false" outlineLevel="0" collapsed="false">
      <c r="A59" s="6" t="s">
        <v>325</v>
      </c>
      <c r="B59" s="6" t="s">
        <v>56</v>
      </c>
      <c r="C59" s="6" t="n">
        <v>3500</v>
      </c>
      <c r="D59" s="6" t="n">
        <v>2003</v>
      </c>
      <c r="E59" s="6" t="n">
        <v>14</v>
      </c>
      <c r="F59" s="6" t="s">
        <v>133</v>
      </c>
      <c r="G59" s="6" t="s">
        <v>136</v>
      </c>
      <c r="H59" s="6" t="n">
        <v>0</v>
      </c>
      <c r="I59" s="23" t="n">
        <v>765000</v>
      </c>
      <c r="J59" s="23" t="n">
        <v>1000</v>
      </c>
      <c r="K59" s="6" t="n">
        <v>300</v>
      </c>
      <c r="L59" s="6" t="s">
        <v>72</v>
      </c>
      <c r="M59" s="6" t="n">
        <v>1</v>
      </c>
      <c r="N59" s="6" t="n">
        <v>0</v>
      </c>
      <c r="O59" s="6" t="n">
        <v>0</v>
      </c>
      <c r="P59" s="6" t="n">
        <v>1</v>
      </c>
      <c r="Q59" s="6" t="n">
        <v>0</v>
      </c>
      <c r="R59" s="6" t="s">
        <v>314</v>
      </c>
      <c r="S59" s="5"/>
      <c r="T59" s="32"/>
      <c r="U59" s="17"/>
      <c r="V59" s="33" t="n">
        <f aca="false">MATCH($B59,Home_Data!$B$5:$B$56,0)</f>
        <v>43</v>
      </c>
      <c r="W59" s="34" t="n">
        <f aca="false">MIN(MAX($I59,50000),3000000)</f>
        <v>765000</v>
      </c>
      <c r="X59" s="35" t="n">
        <f aca="false">IFERROR(MIN(3,MAX(1,MATCH(W59,Home_Data!$C$4:$F$4,1))),1)</f>
        <v>3</v>
      </c>
      <c r="Y59" s="36" t="n">
        <f aca="false">INDEX(Home_Data!$C$5:$F$56,V59,X59)</f>
        <v>5733</v>
      </c>
      <c r="Z59" s="36" t="n">
        <f aca="false">INDEX(Home_Data!$C$5:$F$56,V59,X59+1)</f>
        <v>7858</v>
      </c>
      <c r="AA59" s="36" t="n">
        <f aca="false">INDEX(Home_Data!$C$4:$F$4,X59)</f>
        <v>400000</v>
      </c>
      <c r="AB59" s="36" t="n">
        <f aca="false">INDEX(Home_Data!$C$4:$F$4,X59+1)</f>
        <v>600000</v>
      </c>
      <c r="AC59" s="36" t="n">
        <f aca="false">IF($I59&lt;200000,INDEX(Home_Data!$C$5:$F$56,V59,1)*(MAX($I59,Home_Data!$B$90)/200000)^Home_Data!$B$89,Y59*(W59/AA59)^(LN(Z59/Y59)/LN(AB59/AA59)))</f>
        <v>9491.99836419124</v>
      </c>
      <c r="AD59" s="37" t="n">
        <f aca="false">IF($K59=100,Home_Data!$B$67,IF($K59=500,Home_Data!$B$69,Home_Data!$B$68))</f>
        <v>1</v>
      </c>
      <c r="AE59" s="37" t="n">
        <f aca="false">IF($J59&lt;=Home_Data!$B$61,Home_Data!$B$64,IF($J59&gt;=Home_Data!$B$63,Home_Data!$B$66,IF($J59&lt;=Home_Data!$B$62,Home_Data!$B$64+(Home_Data!$B$65-Home_Data!$B$64)*(LN($J59)-LN(Home_Data!$B$61))/(LN(Home_Data!$B$62)-LN(Home_Data!$B$61)),Home_Data!$B$65+(Home_Data!$B$66-Home_Data!$B$65)*(LN($J59)-LN(Home_Data!$B$62))/(LN(Home_Data!$B$63)-LN(Home_Data!$B$62)))))</f>
        <v>1</v>
      </c>
      <c r="AF59" s="38" t="n">
        <f aca="false">IF($E59&gt;=20,Home_Data!$B$80,IF($E59&gt;=10,Home_Data!$B$79,1))</f>
        <v>1.1</v>
      </c>
      <c r="AG59" s="38" t="n">
        <f aca="false">IF($D59&lt;1960,Home_Data!$B$81,IF($D59&lt;1980,Home_Data!$B$82,IF($D59&gt;=2000,Home_Data!$B$83,1)))</f>
        <v>0.95</v>
      </c>
      <c r="AH59" s="38" t="n">
        <f aca="false">IF($F59="brick",Home_Data!$B$78,1)</f>
        <v>1</v>
      </c>
      <c r="AI59" s="38" t="n">
        <f aca="false">IF($G59="rental",Home_Data!$B$84,IF($G59="vacation",Home_Data!$B$85,1))</f>
        <v>1</v>
      </c>
      <c r="AJ59" s="38" t="n">
        <f aca="false">INDEX(Home_Data!$B$70:$B$73,MIN(3,MAX(0,$H59))+1)</f>
        <v>1</v>
      </c>
      <c r="AK59" s="38" t="n">
        <f aca="false">IF(INDEX(Home_Data!$H$5:$H$56,V59)="Yes",1,IF($L59="poor",Home_Data!$B$74,IF($L59="fair",Home_Data!$B$75,IF($L59="excellent",Home_Data!$B$77,Home_Data!$B$76))))</f>
        <v>1</v>
      </c>
      <c r="AL59" s="38" t="n">
        <f aca="false">IF(($N59=1),Home_Data!$B$86,1)*IF(($O59=1),Home_Data!$B$87,1)*IF(($P59=1),Home_Data!$B$88,1)</f>
        <v>1.08</v>
      </c>
      <c r="AM59" s="34" t="n">
        <f aca="false">AC59*AD59*AE59*AF59*AG59*AH59*AI59*AJ59*AK59*AL59</f>
        <v>10712.6693538262</v>
      </c>
      <c r="AN59" s="34" t="n">
        <f aca="false">AM59*EXP(-Car_Data!$B$123*Home_Data!$B$91)</f>
        <v>7802.28711197217</v>
      </c>
      <c r="AO59" s="34" t="n">
        <f aca="false">AM59*EXP(Car_Data!$B$123*Home_Data!$B$91)</f>
        <v>14708.6723466396</v>
      </c>
      <c r="AP59" s="39" t="str">
        <f aca="false">IF($U59&gt;0,IF(AND($U59&gt;=AN59,$U59&lt;=AO59),1,0),"")</f>
        <v/>
      </c>
      <c r="AQ59" s="40" t="str">
        <f aca="false">IF($U59&gt;0,$U59/AM59-1,"")</f>
        <v/>
      </c>
    </row>
    <row r="60" customFormat="false" ht="15" hidden="false" customHeight="false" outlineLevel="0" collapsed="false">
      <c r="A60" s="6" t="s">
        <v>326</v>
      </c>
      <c r="B60" s="6" t="s">
        <v>56</v>
      </c>
      <c r="C60" s="6" t="n">
        <v>3050</v>
      </c>
      <c r="D60" s="6" t="n">
        <v>2006</v>
      </c>
      <c r="E60" s="6" t="n">
        <v>14</v>
      </c>
      <c r="F60" s="6" t="s">
        <v>133</v>
      </c>
      <c r="G60" s="6" t="s">
        <v>136</v>
      </c>
      <c r="H60" s="6" t="n">
        <v>0</v>
      </c>
      <c r="I60" s="23" t="n">
        <v>820000</v>
      </c>
      <c r="J60" s="23" t="n">
        <v>2500</v>
      </c>
      <c r="K60" s="6" t="n">
        <v>500</v>
      </c>
      <c r="L60" s="6" t="s">
        <v>271</v>
      </c>
      <c r="M60" s="6" t="n">
        <v>0</v>
      </c>
      <c r="N60" s="6" t="n">
        <v>0</v>
      </c>
      <c r="O60" s="6" t="n">
        <v>0</v>
      </c>
      <c r="P60" s="6" t="n">
        <v>1</v>
      </c>
      <c r="Q60" s="6" t="n">
        <v>0</v>
      </c>
      <c r="R60" s="6" t="s">
        <v>262</v>
      </c>
      <c r="S60" s="5"/>
      <c r="T60" s="32"/>
      <c r="U60" s="17"/>
      <c r="V60" s="33" t="n">
        <f aca="false">MATCH($B60,Home_Data!$B$5:$B$56,0)</f>
        <v>43</v>
      </c>
      <c r="W60" s="34" t="n">
        <f aca="false">MIN(MAX($I60,50000),3000000)</f>
        <v>820000</v>
      </c>
      <c r="X60" s="35" t="n">
        <f aca="false">IFERROR(MIN(3,MAX(1,MATCH(W60,Home_Data!$C$4:$F$4,1))),1)</f>
        <v>3</v>
      </c>
      <c r="Y60" s="36" t="n">
        <f aca="false">INDEX(Home_Data!$C$5:$F$56,V60,X60)</f>
        <v>5733</v>
      </c>
      <c r="Z60" s="36" t="n">
        <f aca="false">INDEX(Home_Data!$C$5:$F$56,V60,X60+1)</f>
        <v>7858</v>
      </c>
      <c r="AA60" s="36" t="n">
        <f aca="false">INDEX(Home_Data!$C$4:$F$4,X60)</f>
        <v>400000</v>
      </c>
      <c r="AB60" s="36" t="n">
        <f aca="false">INDEX(Home_Data!$C$4:$F$4,X60+1)</f>
        <v>600000</v>
      </c>
      <c r="AC60" s="36" t="n">
        <f aca="false">IF($I60&lt;200000,INDEX(Home_Data!$C$5:$F$56,V60,1)*(MAX($I60,Home_Data!$B$90)/200000)^Home_Data!$B$89,Y60*(W60/AA60)^(LN(Z60/Y60)/LN(AB60/AA60)))</f>
        <v>10018.539955385</v>
      </c>
      <c r="AD60" s="37" t="n">
        <f aca="false">IF($K60=100,Home_Data!$B$67,IF($K60=500,Home_Data!$B$69,Home_Data!$B$68))</f>
        <v>1.005</v>
      </c>
      <c r="AE60" s="37" t="n">
        <f aca="false">IF($J60&lt;=Home_Data!$B$61,Home_Data!$B$64,IF($J60&gt;=Home_Data!$B$63,Home_Data!$B$66,IF($J60&lt;=Home_Data!$B$62,Home_Data!$B$64+(Home_Data!$B$65-Home_Data!$B$64)*(LN($J60)-LN(Home_Data!$B$61))/(LN(Home_Data!$B$62)-LN(Home_Data!$B$61)),Home_Data!$B$65+(Home_Data!$B$66-Home_Data!$B$65)*(LN($J60)-LN(Home_Data!$B$62))/(LN(Home_Data!$B$63)-LN(Home_Data!$B$62)))))</f>
        <v>0.91</v>
      </c>
      <c r="AF60" s="38" t="n">
        <f aca="false">IF($E60&gt;=20,Home_Data!$B$80,IF($E60&gt;=10,Home_Data!$B$79,1))</f>
        <v>1.1</v>
      </c>
      <c r="AG60" s="38" t="n">
        <f aca="false">IF($D60&lt;1960,Home_Data!$B$81,IF($D60&lt;1980,Home_Data!$B$82,IF($D60&gt;=2000,Home_Data!$B$83,1)))</f>
        <v>0.95</v>
      </c>
      <c r="AH60" s="38" t="n">
        <f aca="false">IF($F60="brick",Home_Data!$B$78,1)</f>
        <v>1</v>
      </c>
      <c r="AI60" s="38" t="n">
        <f aca="false">IF($G60="rental",Home_Data!$B$84,IF($G60="vacation",Home_Data!$B$85,1))</f>
        <v>1</v>
      </c>
      <c r="AJ60" s="38" t="n">
        <f aca="false">INDEX(Home_Data!$B$70:$B$73,MIN(3,MAX(0,$H60))+1)</f>
        <v>1</v>
      </c>
      <c r="AK60" s="38" t="n">
        <f aca="false">IF(INDEX(Home_Data!$H$5:$H$56,V60)="Yes",1,IF($L60="poor",Home_Data!$B$74,IF($L60="fair",Home_Data!$B$75,IF($L60="excellent",Home_Data!$B$77,Home_Data!$B$76))))</f>
        <v>1.07</v>
      </c>
      <c r="AL60" s="38" t="n">
        <f aca="false">IF(($N60=1),Home_Data!$B$86,1)*IF(($O60=1),Home_Data!$B$87,1)*IF(($P60=1),Home_Data!$B$88,1)</f>
        <v>1.08</v>
      </c>
      <c r="AM60" s="34" t="n">
        <f aca="false">AC60*AD60*AE60*AF60*AG60*AH60*AI60*AJ60*AK60*AL60</f>
        <v>11064.5998477914</v>
      </c>
      <c r="AN60" s="34" t="n">
        <f aca="false">AM60*EXP(-Car_Data!$B$123*Home_Data!$B$91)</f>
        <v>8058.60630438649</v>
      </c>
      <c r="AO60" s="34" t="n">
        <f aca="false">AM60*EXP(Car_Data!$B$123*Home_Data!$B$91)</f>
        <v>15191.8787402614</v>
      </c>
      <c r="AP60" s="39" t="str">
        <f aca="false">IF($U60&gt;0,IF(AND($U60&gt;=AN60,$U60&lt;=AO60),1,0),"")</f>
        <v/>
      </c>
      <c r="AQ60" s="40" t="str">
        <f aca="false">IF($U60&gt;0,$U60/AM60-1,"")</f>
        <v/>
      </c>
    </row>
    <row r="61" customFormat="false" ht="15" hidden="false" customHeight="false" outlineLevel="0" collapsed="false">
      <c r="A61" s="6" t="s">
        <v>327</v>
      </c>
      <c r="B61" s="6" t="s">
        <v>56</v>
      </c>
      <c r="C61" s="6" t="n">
        <v>2500</v>
      </c>
      <c r="D61" s="6" t="n">
        <v>2012</v>
      </c>
      <c r="E61" s="6" t="n">
        <v>3</v>
      </c>
      <c r="F61" s="6" t="s">
        <v>133</v>
      </c>
      <c r="G61" s="6" t="s">
        <v>136</v>
      </c>
      <c r="H61" s="6" t="n">
        <v>0</v>
      </c>
      <c r="I61" s="23" t="n">
        <v>555000</v>
      </c>
      <c r="J61" s="23" t="n">
        <v>1000</v>
      </c>
      <c r="K61" s="6" t="n">
        <v>300</v>
      </c>
      <c r="L61" s="6" t="s">
        <v>264</v>
      </c>
      <c r="M61" s="6" t="n">
        <v>0</v>
      </c>
      <c r="N61" s="6" t="n">
        <v>0</v>
      </c>
      <c r="O61" s="6" t="n">
        <v>0</v>
      </c>
      <c r="P61" s="6" t="n">
        <v>1</v>
      </c>
      <c r="Q61" s="6" t="n">
        <v>0</v>
      </c>
      <c r="R61" s="6" t="s">
        <v>262</v>
      </c>
      <c r="S61" s="5"/>
      <c r="T61" s="32"/>
      <c r="U61" s="17"/>
      <c r="V61" s="33" t="n">
        <f aca="false">MATCH($B61,Home_Data!$B$5:$B$56,0)</f>
        <v>43</v>
      </c>
      <c r="W61" s="34" t="n">
        <f aca="false">MIN(MAX($I61,50000),3000000)</f>
        <v>555000</v>
      </c>
      <c r="X61" s="35" t="n">
        <f aca="false">IFERROR(MIN(3,MAX(1,MATCH(W61,Home_Data!$C$4:$F$4,1))),1)</f>
        <v>3</v>
      </c>
      <c r="Y61" s="36" t="n">
        <f aca="false">INDEX(Home_Data!$C$5:$F$56,V61,X61)</f>
        <v>5733</v>
      </c>
      <c r="Z61" s="36" t="n">
        <f aca="false">INDEX(Home_Data!$C$5:$F$56,V61,X61+1)</f>
        <v>7858</v>
      </c>
      <c r="AA61" s="36" t="n">
        <f aca="false">INDEX(Home_Data!$C$4:$F$4,X61)</f>
        <v>400000</v>
      </c>
      <c r="AB61" s="36" t="n">
        <f aca="false">INDEX(Home_Data!$C$4:$F$4,X61+1)</f>
        <v>600000</v>
      </c>
      <c r="AC61" s="36" t="n">
        <f aca="false">IF($I61&lt;200000,INDEX(Home_Data!$C$5:$F$56,V61,1)*(MAX($I61,Home_Data!$B$90)/200000)^Home_Data!$B$89,Y61*(W61/AA61)^(LN(Z61/Y61)/LN(AB61/AA61)))</f>
        <v>7395.77250372261</v>
      </c>
      <c r="AD61" s="37" t="n">
        <f aca="false">IF($K61=100,Home_Data!$B$67,IF($K61=500,Home_Data!$B$69,Home_Data!$B$68))</f>
        <v>1</v>
      </c>
      <c r="AE61" s="37" t="n">
        <f aca="false">IF($J61&lt;=Home_Data!$B$61,Home_Data!$B$64,IF($J61&gt;=Home_Data!$B$63,Home_Data!$B$66,IF($J61&lt;=Home_Data!$B$62,Home_Data!$B$64+(Home_Data!$B$65-Home_Data!$B$64)*(LN($J61)-LN(Home_Data!$B$61))/(LN(Home_Data!$B$62)-LN(Home_Data!$B$61)),Home_Data!$B$65+(Home_Data!$B$66-Home_Data!$B$65)*(LN($J61)-LN(Home_Data!$B$62))/(LN(Home_Data!$B$63)-LN(Home_Data!$B$62)))))</f>
        <v>1</v>
      </c>
      <c r="AF61" s="38" t="n">
        <f aca="false">IF($E61&gt;=20,Home_Data!$B$80,IF($E61&gt;=10,Home_Data!$B$79,1))</f>
        <v>1</v>
      </c>
      <c r="AG61" s="38" t="n">
        <f aca="false">IF($D61&lt;1960,Home_Data!$B$81,IF($D61&lt;1980,Home_Data!$B$82,IF($D61&gt;=2000,Home_Data!$B$83,1)))</f>
        <v>0.95</v>
      </c>
      <c r="AH61" s="38" t="n">
        <f aca="false">IF($F61="brick",Home_Data!$B$78,1)</f>
        <v>1</v>
      </c>
      <c r="AI61" s="38" t="n">
        <f aca="false">IF($G61="rental",Home_Data!$B$84,IF($G61="vacation",Home_Data!$B$85,1))</f>
        <v>1</v>
      </c>
      <c r="AJ61" s="38" t="n">
        <f aca="false">INDEX(Home_Data!$B$70:$B$73,MIN(3,MAX(0,$H61))+1)</f>
        <v>1</v>
      </c>
      <c r="AK61" s="38" t="n">
        <f aca="false">IF(INDEX(Home_Data!$H$5:$H$56,V61)="Yes",1,IF($L61="poor",Home_Data!$B$74,IF($L61="fair",Home_Data!$B$75,IF($L61="excellent",Home_Data!$B$77,Home_Data!$B$76))))</f>
        <v>0.89</v>
      </c>
      <c r="AL61" s="38" t="n">
        <f aca="false">IF(($N61=1),Home_Data!$B$86,1)*IF(($O61=1),Home_Data!$B$87,1)*IF(($P61=1),Home_Data!$B$88,1)</f>
        <v>1.08</v>
      </c>
      <c r="AM61" s="34" t="n">
        <f aca="false">AC61*AD61*AE61*AF61*AG61*AH61*AI61*AJ61*AK61*AL61</f>
        <v>6753.37570404926</v>
      </c>
      <c r="AN61" s="34" t="n">
        <f aca="false">AM61*EXP(-Car_Data!$B$123*Home_Data!$B$91)</f>
        <v>4918.64114140605</v>
      </c>
      <c r="AO61" s="34" t="n">
        <f aca="false">AM61*EXP(Car_Data!$B$123*Home_Data!$B$91)</f>
        <v>9272.49662840929</v>
      </c>
      <c r="AP61" s="39" t="str">
        <f aca="false">IF($U61&gt;0,IF(AND($U61&gt;=AN61,$U61&lt;=AO61),1,0),"")</f>
        <v/>
      </c>
      <c r="AQ61" s="40" t="str">
        <f aca="false">IF($U61&gt;0,$U61/AM61-1,"")</f>
        <v/>
      </c>
    </row>
    <row r="62" customFormat="false" ht="15" hidden="false" customHeight="false" outlineLevel="0" collapsed="false">
      <c r="A62" s="6" t="s">
        <v>328</v>
      </c>
      <c r="B62" s="6" t="s">
        <v>56</v>
      </c>
      <c r="C62" s="6" t="n">
        <v>3200</v>
      </c>
      <c r="D62" s="6" t="n">
        <v>2005</v>
      </c>
      <c r="E62" s="6" t="n">
        <v>6</v>
      </c>
      <c r="F62" s="6" t="s">
        <v>261</v>
      </c>
      <c r="G62" s="6" t="s">
        <v>136</v>
      </c>
      <c r="H62" s="6" t="n">
        <v>0</v>
      </c>
      <c r="I62" s="23" t="n">
        <v>945000</v>
      </c>
      <c r="J62" s="23" t="n">
        <v>1000</v>
      </c>
      <c r="K62" s="6" t="n">
        <v>100</v>
      </c>
      <c r="L62" s="6" t="s">
        <v>264</v>
      </c>
      <c r="M62" s="6" t="n">
        <v>0</v>
      </c>
      <c r="N62" s="6" t="n">
        <v>0</v>
      </c>
      <c r="O62" s="6" t="n">
        <v>1</v>
      </c>
      <c r="P62" s="6" t="n">
        <v>0</v>
      </c>
      <c r="Q62" s="6" t="n">
        <v>0</v>
      </c>
      <c r="R62" s="6" t="s">
        <v>279</v>
      </c>
      <c r="S62" s="5"/>
      <c r="T62" s="32"/>
      <c r="U62" s="17"/>
      <c r="V62" s="33" t="n">
        <f aca="false">MATCH($B62,Home_Data!$B$5:$B$56,0)</f>
        <v>43</v>
      </c>
      <c r="W62" s="34" t="n">
        <f aca="false">MIN(MAX($I62,50000),3000000)</f>
        <v>945000</v>
      </c>
      <c r="X62" s="35" t="n">
        <f aca="false">IFERROR(MIN(3,MAX(1,MATCH(W62,Home_Data!$C$4:$F$4,1))),1)</f>
        <v>3</v>
      </c>
      <c r="Y62" s="36" t="n">
        <f aca="false">INDEX(Home_Data!$C$5:$F$56,V62,X62)</f>
        <v>5733</v>
      </c>
      <c r="Z62" s="36" t="n">
        <f aca="false">INDEX(Home_Data!$C$5:$F$56,V62,X62+1)</f>
        <v>7858</v>
      </c>
      <c r="AA62" s="36" t="n">
        <f aca="false">INDEX(Home_Data!$C$4:$F$4,X62)</f>
        <v>400000</v>
      </c>
      <c r="AB62" s="36" t="n">
        <f aca="false">INDEX(Home_Data!$C$4:$F$4,X62+1)</f>
        <v>600000</v>
      </c>
      <c r="AC62" s="36" t="n">
        <f aca="false">IF($I62&lt;200000,INDEX(Home_Data!$C$5:$F$56,V62,1)*(MAX($I62,Home_Data!$B$90)/200000)^Home_Data!$B$89,Y62*(W62/AA62)^(LN(Z62/Y62)/LN(AB62/AA62)))</f>
        <v>11187.1404111165</v>
      </c>
      <c r="AD62" s="37" t="n">
        <f aca="false">IF($K62=100,Home_Data!$B$67,IF($K62=500,Home_Data!$B$69,Home_Data!$B$68))</f>
        <v>0.991</v>
      </c>
      <c r="AE62" s="37" t="n">
        <f aca="false">IF($J62&lt;=Home_Data!$B$61,Home_Data!$B$64,IF($J62&gt;=Home_Data!$B$63,Home_Data!$B$66,IF($J62&lt;=Home_Data!$B$62,Home_Data!$B$64+(Home_Data!$B$65-Home_Data!$B$64)*(LN($J62)-LN(Home_Data!$B$61))/(LN(Home_Data!$B$62)-LN(Home_Data!$B$61)),Home_Data!$B$65+(Home_Data!$B$66-Home_Data!$B$65)*(LN($J62)-LN(Home_Data!$B$62))/(LN(Home_Data!$B$63)-LN(Home_Data!$B$62)))))</f>
        <v>1</v>
      </c>
      <c r="AF62" s="38" t="n">
        <f aca="false">IF($E62&gt;=20,Home_Data!$B$80,IF($E62&gt;=10,Home_Data!$B$79,1))</f>
        <v>1</v>
      </c>
      <c r="AG62" s="38" t="n">
        <f aca="false">IF($D62&lt;1960,Home_Data!$B$81,IF($D62&lt;1980,Home_Data!$B$82,IF($D62&gt;=2000,Home_Data!$B$83,1)))</f>
        <v>0.95</v>
      </c>
      <c r="AH62" s="38" t="n">
        <f aca="false">IF($F62="brick",Home_Data!$B$78,1)</f>
        <v>0.98</v>
      </c>
      <c r="AI62" s="38" t="n">
        <f aca="false">IF($G62="rental",Home_Data!$B$84,IF($G62="vacation",Home_Data!$B$85,1))</f>
        <v>1</v>
      </c>
      <c r="AJ62" s="38" t="n">
        <f aca="false">INDEX(Home_Data!$B$70:$B$73,MIN(3,MAX(0,$H62))+1)</f>
        <v>1</v>
      </c>
      <c r="AK62" s="38" t="n">
        <f aca="false">IF(INDEX(Home_Data!$H$5:$H$56,V62)="Yes",1,IF($L62="poor",Home_Data!$B$74,IF($L62="fair",Home_Data!$B$75,IF($L62="excellent",Home_Data!$B$77,Home_Data!$B$76))))</f>
        <v>0.89</v>
      </c>
      <c r="AL62" s="38" t="n">
        <f aca="false">IF(($N62=1),Home_Data!$B$86,1)*IF(($O62=1),Home_Data!$B$87,1)*IF(($P62=1),Home_Data!$B$88,1)</f>
        <v>1.15</v>
      </c>
      <c r="AM62" s="34" t="n">
        <f aca="false">AC62*AD62*AE62*AF62*AG62*AH62*AI62*AJ62*AK62*AL62</f>
        <v>10564.0457040659</v>
      </c>
      <c r="AN62" s="34" t="n">
        <f aca="false">AM62*EXP(-Car_Data!$B$123*Home_Data!$B$91)</f>
        <v>7694.04103914394</v>
      </c>
      <c r="AO62" s="34" t="n">
        <f aca="false">AM62*EXP(Car_Data!$B$123*Home_Data!$B$91)</f>
        <v>14504.6096153928</v>
      </c>
      <c r="AP62" s="39" t="str">
        <f aca="false">IF($U62&gt;0,IF(AND($U62&gt;=AN62,$U62&lt;=AO62),1,0),"")</f>
        <v/>
      </c>
      <c r="AQ62" s="40" t="str">
        <f aca="false">IF($U62&gt;0,$U62/AM62-1,"")</f>
        <v/>
      </c>
    </row>
    <row r="63" customFormat="false" ht="15" hidden="false" customHeight="false" outlineLevel="0" collapsed="false">
      <c r="A63" s="6" t="s">
        <v>329</v>
      </c>
      <c r="B63" s="6" t="s">
        <v>56</v>
      </c>
      <c r="C63" s="6" t="n">
        <v>3250</v>
      </c>
      <c r="D63" s="6" t="n">
        <v>1982</v>
      </c>
      <c r="E63" s="6" t="n">
        <v>1</v>
      </c>
      <c r="F63" s="6" t="s">
        <v>133</v>
      </c>
      <c r="G63" s="6" t="s">
        <v>136</v>
      </c>
      <c r="H63" s="6" t="n">
        <v>0</v>
      </c>
      <c r="I63" s="23" t="n">
        <v>790000</v>
      </c>
      <c r="J63" s="23" t="n">
        <v>2500</v>
      </c>
      <c r="K63" s="6" t="n">
        <v>300</v>
      </c>
      <c r="L63" s="6" t="s">
        <v>72</v>
      </c>
      <c r="M63" s="6" t="n">
        <v>0</v>
      </c>
      <c r="N63" s="6" t="n">
        <v>0</v>
      </c>
      <c r="O63" s="6" t="n">
        <v>0</v>
      </c>
      <c r="P63" s="6" t="n">
        <v>0</v>
      </c>
      <c r="Q63" s="6" t="n">
        <v>0</v>
      </c>
      <c r="R63" s="6" t="s">
        <v>267</v>
      </c>
      <c r="S63" s="5"/>
      <c r="T63" s="32"/>
      <c r="U63" s="17"/>
      <c r="V63" s="33" t="n">
        <f aca="false">MATCH($B63,Home_Data!$B$5:$B$56,0)</f>
        <v>43</v>
      </c>
      <c r="W63" s="34" t="n">
        <f aca="false">MIN(MAX($I63,50000),3000000)</f>
        <v>790000</v>
      </c>
      <c r="X63" s="35" t="n">
        <f aca="false">IFERROR(MIN(3,MAX(1,MATCH(W63,Home_Data!$C$4:$F$4,1))),1)</f>
        <v>3</v>
      </c>
      <c r="Y63" s="36" t="n">
        <f aca="false">INDEX(Home_Data!$C$5:$F$56,V63,X63)</f>
        <v>5733</v>
      </c>
      <c r="Z63" s="36" t="n">
        <f aca="false">INDEX(Home_Data!$C$5:$F$56,V63,X63+1)</f>
        <v>7858</v>
      </c>
      <c r="AA63" s="36" t="n">
        <f aca="false">INDEX(Home_Data!$C$4:$F$4,X63)</f>
        <v>400000</v>
      </c>
      <c r="AB63" s="36" t="n">
        <f aca="false">INDEX(Home_Data!$C$4:$F$4,X63+1)</f>
        <v>600000</v>
      </c>
      <c r="AC63" s="36" t="n">
        <f aca="false">IF($I63&lt;200000,INDEX(Home_Data!$C$5:$F$56,V63,1)*(MAX($I63,Home_Data!$B$90)/200000)^Home_Data!$B$89,Y63*(W63/AA63)^(LN(Z63/Y63)/LN(AB63/AA63)))</f>
        <v>9732.34441026652</v>
      </c>
      <c r="AD63" s="37" t="n">
        <f aca="false">IF($K63=100,Home_Data!$B$67,IF($K63=500,Home_Data!$B$69,Home_Data!$B$68))</f>
        <v>1</v>
      </c>
      <c r="AE63" s="37" t="n">
        <f aca="false">IF($J63&lt;=Home_Data!$B$61,Home_Data!$B$64,IF($J63&gt;=Home_Data!$B$63,Home_Data!$B$66,IF($J63&lt;=Home_Data!$B$62,Home_Data!$B$64+(Home_Data!$B$65-Home_Data!$B$64)*(LN($J63)-LN(Home_Data!$B$61))/(LN(Home_Data!$B$62)-LN(Home_Data!$B$61)),Home_Data!$B$65+(Home_Data!$B$66-Home_Data!$B$65)*(LN($J63)-LN(Home_Data!$B$62))/(LN(Home_Data!$B$63)-LN(Home_Data!$B$62)))))</f>
        <v>0.91</v>
      </c>
      <c r="AF63" s="38" t="n">
        <f aca="false">IF($E63&gt;=20,Home_Data!$B$80,IF($E63&gt;=10,Home_Data!$B$79,1))</f>
        <v>1</v>
      </c>
      <c r="AG63" s="38" t="n">
        <f aca="false">IF($D63&lt;1960,Home_Data!$B$81,IF($D63&lt;1980,Home_Data!$B$82,IF($D63&gt;=2000,Home_Data!$B$83,1)))</f>
        <v>1</v>
      </c>
      <c r="AH63" s="38" t="n">
        <f aca="false">IF($F63="brick",Home_Data!$B$78,1)</f>
        <v>1</v>
      </c>
      <c r="AI63" s="38" t="n">
        <f aca="false">IF($G63="rental",Home_Data!$B$84,IF($G63="vacation",Home_Data!$B$85,1))</f>
        <v>1</v>
      </c>
      <c r="AJ63" s="38" t="n">
        <f aca="false">INDEX(Home_Data!$B$70:$B$73,MIN(3,MAX(0,$H63))+1)</f>
        <v>1</v>
      </c>
      <c r="AK63" s="38" t="n">
        <f aca="false">IF(INDEX(Home_Data!$H$5:$H$56,V63)="Yes",1,IF($L63="poor",Home_Data!$B$74,IF($L63="fair",Home_Data!$B$75,IF($L63="excellent",Home_Data!$B$77,Home_Data!$B$76))))</f>
        <v>1</v>
      </c>
      <c r="AL63" s="38" t="n">
        <f aca="false">IF(($N63=1),Home_Data!$B$86,1)*IF(($O63=1),Home_Data!$B$87,1)*IF(($P63=1),Home_Data!$B$88,1)</f>
        <v>1</v>
      </c>
      <c r="AM63" s="34" t="n">
        <f aca="false">AC63*AD63*AE63*AF63*AG63*AH63*AI63*AJ63*AK63*AL63</f>
        <v>8856.43341334253</v>
      </c>
      <c r="AN63" s="34" t="n">
        <f aca="false">AM63*EXP(-Car_Data!$B$123*Home_Data!$B$91)</f>
        <v>6450.34715407151</v>
      </c>
      <c r="AO63" s="34" t="n">
        <f aca="false">AM63*EXP(Car_Data!$B$123*Home_Data!$B$91)</f>
        <v>12160.0296745983</v>
      </c>
      <c r="AP63" s="39" t="str">
        <f aca="false">IF($U63&gt;0,IF(AND($U63&gt;=AN63,$U63&lt;=AO63),1,0),"")</f>
        <v/>
      </c>
      <c r="AQ63" s="40" t="str">
        <f aca="false">IF($U63&gt;0,$U63/AM63-1,"")</f>
        <v/>
      </c>
    </row>
    <row r="64" customFormat="false" ht="15" hidden="false" customHeight="false" outlineLevel="0" collapsed="false">
      <c r="A64" s="6" t="s">
        <v>330</v>
      </c>
      <c r="B64" s="6" t="s">
        <v>56</v>
      </c>
      <c r="C64" s="6" t="n">
        <v>1550</v>
      </c>
      <c r="D64" s="6" t="n">
        <v>1995</v>
      </c>
      <c r="E64" s="6" t="n">
        <v>21</v>
      </c>
      <c r="F64" s="6" t="s">
        <v>133</v>
      </c>
      <c r="G64" s="6" t="s">
        <v>136</v>
      </c>
      <c r="H64" s="6" t="n">
        <v>0</v>
      </c>
      <c r="I64" s="23" t="n">
        <v>320000</v>
      </c>
      <c r="J64" s="23" t="n">
        <v>2500</v>
      </c>
      <c r="K64" s="6" t="n">
        <v>100</v>
      </c>
      <c r="L64" s="6" t="s">
        <v>72</v>
      </c>
      <c r="M64" s="6" t="n">
        <v>0</v>
      </c>
      <c r="N64" s="6" t="n">
        <v>0</v>
      </c>
      <c r="O64" s="6" t="n">
        <v>0</v>
      </c>
      <c r="P64" s="6" t="n">
        <v>1</v>
      </c>
      <c r="Q64" s="6" t="n">
        <v>0</v>
      </c>
      <c r="R64" s="6" t="s">
        <v>262</v>
      </c>
      <c r="S64" s="5"/>
      <c r="T64" s="32"/>
      <c r="U64" s="17"/>
      <c r="V64" s="33" t="n">
        <f aca="false">MATCH($B64,Home_Data!$B$5:$B$56,0)</f>
        <v>43</v>
      </c>
      <c r="W64" s="34" t="n">
        <f aca="false">MIN(MAX($I64,50000),3000000)</f>
        <v>320000</v>
      </c>
      <c r="X64" s="35" t="n">
        <f aca="false">IFERROR(MIN(3,MAX(1,MATCH(W64,Home_Data!$C$4:$F$4,1))),1)</f>
        <v>2</v>
      </c>
      <c r="Y64" s="36" t="n">
        <f aca="false">INDEX(Home_Data!$C$5:$F$56,V64,X64)</f>
        <v>4582</v>
      </c>
      <c r="Z64" s="36" t="n">
        <f aca="false">INDEX(Home_Data!$C$5:$F$56,V64,X64+1)</f>
        <v>5733</v>
      </c>
      <c r="AA64" s="36" t="n">
        <f aca="false">INDEX(Home_Data!$C$4:$F$4,X64)</f>
        <v>300000</v>
      </c>
      <c r="AB64" s="36" t="n">
        <f aca="false">INDEX(Home_Data!$C$4:$F$4,X64+1)</f>
        <v>400000</v>
      </c>
      <c r="AC64" s="36" t="n">
        <f aca="false">IF($I64&lt;200000,INDEX(Home_Data!$C$5:$F$56,V64,1)*(MAX($I64,Home_Data!$B$90)/200000)^Home_Data!$B$89,Y64*(W64/AA64)^(LN(Z64/Y64)/LN(AB64/AA64)))</f>
        <v>4818.25040480372</v>
      </c>
      <c r="AD64" s="37" t="n">
        <f aca="false">IF($K64=100,Home_Data!$B$67,IF($K64=500,Home_Data!$B$69,Home_Data!$B$68))</f>
        <v>0.991</v>
      </c>
      <c r="AE64" s="37" t="n">
        <f aca="false">IF($J64&lt;=Home_Data!$B$61,Home_Data!$B$64,IF($J64&gt;=Home_Data!$B$63,Home_Data!$B$66,IF($J64&lt;=Home_Data!$B$62,Home_Data!$B$64+(Home_Data!$B$65-Home_Data!$B$64)*(LN($J64)-LN(Home_Data!$B$61))/(LN(Home_Data!$B$62)-LN(Home_Data!$B$61)),Home_Data!$B$65+(Home_Data!$B$66-Home_Data!$B$65)*(LN($J64)-LN(Home_Data!$B$62))/(LN(Home_Data!$B$63)-LN(Home_Data!$B$62)))))</f>
        <v>0.91</v>
      </c>
      <c r="AF64" s="38" t="n">
        <f aca="false">IF($E64&gt;=20,Home_Data!$B$80,IF($E64&gt;=10,Home_Data!$B$79,1))</f>
        <v>1.3</v>
      </c>
      <c r="AG64" s="38" t="n">
        <f aca="false">IF($D64&lt;1960,Home_Data!$B$81,IF($D64&lt;1980,Home_Data!$B$82,IF($D64&gt;=2000,Home_Data!$B$83,1)))</f>
        <v>1</v>
      </c>
      <c r="AH64" s="38" t="n">
        <f aca="false">IF($F64="brick",Home_Data!$B$78,1)</f>
        <v>1</v>
      </c>
      <c r="AI64" s="38" t="n">
        <f aca="false">IF($G64="rental",Home_Data!$B$84,IF($G64="vacation",Home_Data!$B$85,1))</f>
        <v>1</v>
      </c>
      <c r="AJ64" s="38" t="n">
        <f aca="false">INDEX(Home_Data!$B$70:$B$73,MIN(3,MAX(0,$H64))+1)</f>
        <v>1</v>
      </c>
      <c r="AK64" s="38" t="n">
        <f aca="false">IF(INDEX(Home_Data!$H$5:$H$56,V64)="Yes",1,IF($L64="poor",Home_Data!$B$74,IF($L64="fair",Home_Data!$B$75,IF($L64="excellent",Home_Data!$B$77,Home_Data!$B$76))))</f>
        <v>1</v>
      </c>
      <c r="AL64" s="38" t="n">
        <f aca="false">IF(($N64=1),Home_Data!$B$86,1)*IF(($O64=1),Home_Data!$B$87,1)*IF(($P64=1),Home_Data!$B$88,1)</f>
        <v>1.08</v>
      </c>
      <c r="AM64" s="34" t="n">
        <f aca="false">AC64*AD64*AE64*AF64*AG64*AH64*AI64*AJ64*AK64*AL64</f>
        <v>6100.58554216869</v>
      </c>
      <c r="AN64" s="34" t="n">
        <f aca="false">AM64*EXP(-Car_Data!$B$123*Home_Data!$B$91)</f>
        <v>4443.19883112474</v>
      </c>
      <c r="AO64" s="34" t="n">
        <f aca="false">AM64*EXP(Car_Data!$B$123*Home_Data!$B$91)</f>
        <v>8376.20493069328</v>
      </c>
      <c r="AP64" s="39" t="str">
        <f aca="false">IF($U64&gt;0,IF(AND($U64&gt;=AN64,$U64&lt;=AO64),1,0),"")</f>
        <v/>
      </c>
      <c r="AQ64" s="40" t="str">
        <f aca="false">IF($U64&gt;0,$U64/AM64-1,"")</f>
        <v/>
      </c>
    </row>
    <row r="65" customFormat="false" ht="15" hidden="false" customHeight="false" outlineLevel="0" collapsed="false">
      <c r="A65" s="6" t="s">
        <v>331</v>
      </c>
      <c r="B65" s="6" t="s">
        <v>56</v>
      </c>
      <c r="C65" s="6" t="n">
        <v>1550</v>
      </c>
      <c r="D65" s="6" t="n">
        <v>2017</v>
      </c>
      <c r="E65" s="6" t="n">
        <v>1</v>
      </c>
      <c r="F65" s="6" t="s">
        <v>133</v>
      </c>
      <c r="G65" s="6" t="s">
        <v>136</v>
      </c>
      <c r="H65" s="6" t="n">
        <v>0</v>
      </c>
      <c r="I65" s="23" t="n">
        <v>360000</v>
      </c>
      <c r="J65" s="23" t="n">
        <v>2500</v>
      </c>
      <c r="K65" s="6" t="n">
        <v>500</v>
      </c>
      <c r="L65" s="6" t="s">
        <v>72</v>
      </c>
      <c r="M65" s="6" t="n">
        <v>1</v>
      </c>
      <c r="N65" s="6" t="n">
        <v>0</v>
      </c>
      <c r="O65" s="6" t="n">
        <v>0</v>
      </c>
      <c r="P65" s="6" t="n">
        <v>1</v>
      </c>
      <c r="Q65" s="6" t="n">
        <v>0</v>
      </c>
      <c r="R65" s="6" t="s">
        <v>314</v>
      </c>
      <c r="S65" s="5"/>
      <c r="T65" s="32"/>
      <c r="U65" s="17"/>
      <c r="V65" s="33" t="n">
        <f aca="false">MATCH($B65,Home_Data!$B$5:$B$56,0)</f>
        <v>43</v>
      </c>
      <c r="W65" s="34" t="n">
        <f aca="false">MIN(MAX($I65,50000),3000000)</f>
        <v>360000</v>
      </c>
      <c r="X65" s="35" t="n">
        <f aca="false">IFERROR(MIN(3,MAX(1,MATCH(W65,Home_Data!$C$4:$F$4,1))),1)</f>
        <v>2</v>
      </c>
      <c r="Y65" s="36" t="n">
        <f aca="false">INDEX(Home_Data!$C$5:$F$56,V65,X65)</f>
        <v>4582</v>
      </c>
      <c r="Z65" s="36" t="n">
        <f aca="false">INDEX(Home_Data!$C$5:$F$56,V65,X65+1)</f>
        <v>5733</v>
      </c>
      <c r="AA65" s="36" t="n">
        <f aca="false">INDEX(Home_Data!$C$4:$F$4,X65)</f>
        <v>300000</v>
      </c>
      <c r="AB65" s="36" t="n">
        <f aca="false">INDEX(Home_Data!$C$4:$F$4,X65+1)</f>
        <v>400000</v>
      </c>
      <c r="AC65" s="36" t="n">
        <f aca="false">IF($I65&lt;200000,INDEX(Home_Data!$C$5:$F$56,V65,1)*(MAX($I65,Home_Data!$B$90)/200000)^Home_Data!$B$89,Y65*(W65/AA65)^(LN(Z65/Y65)/LN(AB65/AA65)))</f>
        <v>5281.25345055785</v>
      </c>
      <c r="AD65" s="37" t="n">
        <f aca="false">IF($K65=100,Home_Data!$B$67,IF($K65=500,Home_Data!$B$69,Home_Data!$B$68))</f>
        <v>1.005</v>
      </c>
      <c r="AE65" s="37" t="n">
        <f aca="false">IF($J65&lt;=Home_Data!$B$61,Home_Data!$B$64,IF($J65&gt;=Home_Data!$B$63,Home_Data!$B$66,IF($J65&lt;=Home_Data!$B$62,Home_Data!$B$64+(Home_Data!$B$65-Home_Data!$B$64)*(LN($J65)-LN(Home_Data!$B$61))/(LN(Home_Data!$B$62)-LN(Home_Data!$B$61)),Home_Data!$B$65+(Home_Data!$B$66-Home_Data!$B$65)*(LN($J65)-LN(Home_Data!$B$62))/(LN(Home_Data!$B$63)-LN(Home_Data!$B$62)))))</f>
        <v>0.91</v>
      </c>
      <c r="AF65" s="38" t="n">
        <f aca="false">IF($E65&gt;=20,Home_Data!$B$80,IF($E65&gt;=10,Home_Data!$B$79,1))</f>
        <v>1</v>
      </c>
      <c r="AG65" s="38" t="n">
        <f aca="false">IF($D65&lt;1960,Home_Data!$B$81,IF($D65&lt;1980,Home_Data!$B$82,IF($D65&gt;=2000,Home_Data!$B$83,1)))</f>
        <v>0.95</v>
      </c>
      <c r="AH65" s="38" t="n">
        <f aca="false">IF($F65="brick",Home_Data!$B$78,1)</f>
        <v>1</v>
      </c>
      <c r="AI65" s="38" t="n">
        <f aca="false">IF($G65="rental",Home_Data!$B$84,IF($G65="vacation",Home_Data!$B$85,1))</f>
        <v>1</v>
      </c>
      <c r="AJ65" s="38" t="n">
        <f aca="false">INDEX(Home_Data!$B$70:$B$73,MIN(3,MAX(0,$H65))+1)</f>
        <v>1</v>
      </c>
      <c r="AK65" s="38" t="n">
        <f aca="false">IF(INDEX(Home_Data!$H$5:$H$56,V65)="Yes",1,IF($L65="poor",Home_Data!$B$74,IF($L65="fair",Home_Data!$B$75,IF($L65="excellent",Home_Data!$B$77,Home_Data!$B$76))))</f>
        <v>1</v>
      </c>
      <c r="AL65" s="38" t="n">
        <f aca="false">IF(($N65=1),Home_Data!$B$86,1)*IF(($O65=1),Home_Data!$B$87,1)*IF(($P65=1),Home_Data!$B$88,1)</f>
        <v>1.08</v>
      </c>
      <c r="AM65" s="34" t="n">
        <f aca="false">AC65*AD65*AE65*AF65*AG65*AH65*AI65*AJ65*AK65*AL65</f>
        <v>4955.54957213108</v>
      </c>
      <c r="AN65" s="34" t="n">
        <f aca="false">AM65*EXP(-Car_Data!$B$123*Home_Data!$B$91)</f>
        <v>3609.2424103025</v>
      </c>
      <c r="AO65" s="34" t="n">
        <f aca="false">AM65*EXP(Car_Data!$B$123*Home_Data!$B$91)</f>
        <v>6804.05159036971</v>
      </c>
      <c r="AP65" s="39" t="str">
        <f aca="false">IF($U65&gt;0,IF(AND($U65&gt;=AN65,$U65&lt;=AO65),1,0),"")</f>
        <v/>
      </c>
      <c r="AQ65" s="40" t="str">
        <f aca="false">IF($U65&gt;0,$U65/AM65-1,"")</f>
        <v/>
      </c>
    </row>
    <row r="66" customFormat="false" ht="15" hidden="false" customHeight="false" outlineLevel="0" collapsed="false">
      <c r="A66" s="6" t="s">
        <v>332</v>
      </c>
      <c r="B66" s="6" t="s">
        <v>56</v>
      </c>
      <c r="C66" s="6" t="n">
        <v>2600</v>
      </c>
      <c r="D66" s="6" t="n">
        <v>1958</v>
      </c>
      <c r="E66" s="6" t="n">
        <v>16</v>
      </c>
      <c r="F66" s="6" t="s">
        <v>261</v>
      </c>
      <c r="G66" s="6" t="s">
        <v>136</v>
      </c>
      <c r="H66" s="6" t="n">
        <v>0</v>
      </c>
      <c r="I66" s="23" t="n">
        <v>730000</v>
      </c>
      <c r="J66" s="23" t="n">
        <v>1000</v>
      </c>
      <c r="K66" s="6" t="n">
        <v>300</v>
      </c>
      <c r="L66" s="6" t="s">
        <v>271</v>
      </c>
      <c r="M66" s="6" t="n">
        <v>0</v>
      </c>
      <c r="N66" s="6" t="n">
        <v>0</v>
      </c>
      <c r="O66" s="6" t="n">
        <v>0</v>
      </c>
      <c r="P66" s="6" t="n">
        <v>1</v>
      </c>
      <c r="Q66" s="6" t="n">
        <v>0</v>
      </c>
      <c r="R66" s="6" t="s">
        <v>262</v>
      </c>
      <c r="S66" s="5"/>
      <c r="T66" s="32"/>
      <c r="U66" s="17"/>
      <c r="V66" s="33" t="n">
        <f aca="false">MATCH($B66,Home_Data!$B$5:$B$56,0)</f>
        <v>43</v>
      </c>
      <c r="W66" s="34" t="n">
        <f aca="false">MIN(MAX($I66,50000),3000000)</f>
        <v>730000</v>
      </c>
      <c r="X66" s="35" t="n">
        <f aca="false">IFERROR(MIN(3,MAX(1,MATCH(W66,Home_Data!$C$4:$F$4,1))),1)</f>
        <v>3</v>
      </c>
      <c r="Y66" s="36" t="n">
        <f aca="false">INDEX(Home_Data!$C$5:$F$56,V66,X66)</f>
        <v>5733</v>
      </c>
      <c r="Z66" s="36" t="n">
        <f aca="false">INDEX(Home_Data!$C$5:$F$56,V66,X66+1)</f>
        <v>7858</v>
      </c>
      <c r="AA66" s="36" t="n">
        <f aca="false">INDEX(Home_Data!$C$4:$F$4,X66)</f>
        <v>400000</v>
      </c>
      <c r="AB66" s="36" t="n">
        <f aca="false">INDEX(Home_Data!$C$4:$F$4,X66+1)</f>
        <v>600000</v>
      </c>
      <c r="AC66" s="36" t="n">
        <f aca="false">IF($I66&lt;200000,INDEX(Home_Data!$C$5:$F$56,V66,1)*(MAX($I66,Home_Data!$B$90)/200000)^Home_Data!$B$89,Y66*(W66/AA66)^(LN(Z66/Y66)/LN(AB66/AA66)))</f>
        <v>9152.55196291184</v>
      </c>
      <c r="AD66" s="37" t="n">
        <f aca="false">IF($K66=100,Home_Data!$B$67,IF($K66=500,Home_Data!$B$69,Home_Data!$B$68))</f>
        <v>1</v>
      </c>
      <c r="AE66" s="37" t="n">
        <f aca="false">IF($J66&lt;=Home_Data!$B$61,Home_Data!$B$64,IF($J66&gt;=Home_Data!$B$63,Home_Data!$B$66,IF($J66&lt;=Home_Data!$B$62,Home_Data!$B$64+(Home_Data!$B$65-Home_Data!$B$64)*(LN($J66)-LN(Home_Data!$B$61))/(LN(Home_Data!$B$62)-LN(Home_Data!$B$61)),Home_Data!$B$65+(Home_Data!$B$66-Home_Data!$B$65)*(LN($J66)-LN(Home_Data!$B$62))/(LN(Home_Data!$B$63)-LN(Home_Data!$B$62)))))</f>
        <v>1</v>
      </c>
      <c r="AF66" s="38" t="n">
        <f aca="false">IF($E66&gt;=20,Home_Data!$B$80,IF($E66&gt;=10,Home_Data!$B$79,1))</f>
        <v>1.1</v>
      </c>
      <c r="AG66" s="38" t="n">
        <f aca="false">IF($D66&lt;1960,Home_Data!$B$81,IF($D66&lt;1980,Home_Data!$B$82,IF($D66&gt;=2000,Home_Data!$B$83,1)))</f>
        <v>1.18</v>
      </c>
      <c r="AH66" s="38" t="n">
        <f aca="false">IF($F66="brick",Home_Data!$B$78,1)</f>
        <v>0.98</v>
      </c>
      <c r="AI66" s="38" t="n">
        <f aca="false">IF($G66="rental",Home_Data!$B$84,IF($G66="vacation",Home_Data!$B$85,1))</f>
        <v>1</v>
      </c>
      <c r="AJ66" s="38" t="n">
        <f aca="false">INDEX(Home_Data!$B$70:$B$73,MIN(3,MAX(0,$H66))+1)</f>
        <v>1</v>
      </c>
      <c r="AK66" s="38" t="n">
        <f aca="false">IF(INDEX(Home_Data!$H$5:$H$56,V66)="Yes",1,IF($L66="poor",Home_Data!$B$74,IF($L66="fair",Home_Data!$B$75,IF($L66="excellent",Home_Data!$B$77,Home_Data!$B$76))))</f>
        <v>1.07</v>
      </c>
      <c r="AL66" s="38" t="n">
        <f aca="false">IF(($N66=1),Home_Data!$B$86,1)*IF(($O66=1),Home_Data!$B$87,1)*IF(($P66=1),Home_Data!$B$88,1)</f>
        <v>1.08</v>
      </c>
      <c r="AM66" s="34" t="n">
        <f aca="false">AC66*AD66*AE66*AF66*AG66*AH66*AI66*AJ66*AK66*AL66</f>
        <v>13453.9715370516</v>
      </c>
      <c r="AN66" s="34" t="n">
        <f aca="false">AM66*EXP(-Car_Data!$B$123*Home_Data!$B$91)</f>
        <v>9798.84147090616</v>
      </c>
      <c r="AO66" s="34" t="n">
        <f aca="false">AM66*EXP(Car_Data!$B$123*Home_Data!$B$91)</f>
        <v>18472.5256202206</v>
      </c>
      <c r="AP66" s="39" t="str">
        <f aca="false">IF($U66&gt;0,IF(AND($U66&gt;=AN66,$U66&lt;=AO66),1,0),"")</f>
        <v/>
      </c>
      <c r="AQ66" s="40" t="str">
        <f aca="false">IF($U66&gt;0,$U66/AM66-1,"")</f>
        <v/>
      </c>
    </row>
    <row r="67" customFormat="false" ht="15" hidden="false" customHeight="false" outlineLevel="0" collapsed="false">
      <c r="A67" s="6" t="s">
        <v>333</v>
      </c>
      <c r="B67" s="6" t="s">
        <v>56</v>
      </c>
      <c r="C67" s="6" t="n">
        <v>1600</v>
      </c>
      <c r="D67" s="6" t="n">
        <v>1957</v>
      </c>
      <c r="E67" s="6" t="n">
        <v>0</v>
      </c>
      <c r="F67" s="6" t="s">
        <v>133</v>
      </c>
      <c r="G67" s="6" t="s">
        <v>136</v>
      </c>
      <c r="H67" s="6" t="n">
        <v>1</v>
      </c>
      <c r="I67" s="23" t="n">
        <v>420000</v>
      </c>
      <c r="J67" s="23" t="n">
        <v>2500</v>
      </c>
      <c r="K67" s="6" t="n">
        <v>300</v>
      </c>
      <c r="L67" s="6" t="s">
        <v>264</v>
      </c>
      <c r="M67" s="6" t="n">
        <v>0</v>
      </c>
      <c r="N67" s="6" t="n">
        <v>0</v>
      </c>
      <c r="O67" s="6" t="n">
        <v>1</v>
      </c>
      <c r="P67" s="6" t="n">
        <v>0</v>
      </c>
      <c r="Q67" s="6" t="n">
        <v>0</v>
      </c>
      <c r="R67" s="6" t="s">
        <v>279</v>
      </c>
      <c r="S67" s="5"/>
      <c r="T67" s="32"/>
      <c r="U67" s="17"/>
      <c r="V67" s="33" t="n">
        <f aca="false">MATCH($B67,Home_Data!$B$5:$B$56,0)</f>
        <v>43</v>
      </c>
      <c r="W67" s="34" t="n">
        <f aca="false">MIN(MAX($I67,50000),3000000)</f>
        <v>420000</v>
      </c>
      <c r="X67" s="35" t="n">
        <f aca="false">IFERROR(MIN(3,MAX(1,MATCH(W67,Home_Data!$C$4:$F$4,1))),1)</f>
        <v>3</v>
      </c>
      <c r="Y67" s="36" t="n">
        <f aca="false">INDEX(Home_Data!$C$5:$F$56,V67,X67)</f>
        <v>5733</v>
      </c>
      <c r="Z67" s="36" t="n">
        <f aca="false">INDEX(Home_Data!$C$5:$F$56,V67,X67+1)</f>
        <v>7858</v>
      </c>
      <c r="AA67" s="36" t="n">
        <f aca="false">INDEX(Home_Data!$C$4:$F$4,X67)</f>
        <v>400000</v>
      </c>
      <c r="AB67" s="36" t="n">
        <f aca="false">INDEX(Home_Data!$C$4:$F$4,X67+1)</f>
        <v>600000</v>
      </c>
      <c r="AC67" s="36" t="n">
        <f aca="false">IF($I67&lt;200000,INDEX(Home_Data!$C$5:$F$56,V67,1)*(MAX($I67,Home_Data!$B$90)/200000)^Home_Data!$B$89,Y67*(W67/AA67)^(LN(Z67/Y67)/LN(AB67/AA67)))</f>
        <v>5954.6867980681</v>
      </c>
      <c r="AD67" s="37" t="n">
        <f aca="false">IF($K67=100,Home_Data!$B$67,IF($K67=500,Home_Data!$B$69,Home_Data!$B$68))</f>
        <v>1</v>
      </c>
      <c r="AE67" s="37" t="n">
        <f aca="false">IF($J67&lt;=Home_Data!$B$61,Home_Data!$B$64,IF($J67&gt;=Home_Data!$B$63,Home_Data!$B$66,IF($J67&lt;=Home_Data!$B$62,Home_Data!$B$64+(Home_Data!$B$65-Home_Data!$B$64)*(LN($J67)-LN(Home_Data!$B$61))/(LN(Home_Data!$B$62)-LN(Home_Data!$B$61)),Home_Data!$B$65+(Home_Data!$B$66-Home_Data!$B$65)*(LN($J67)-LN(Home_Data!$B$62))/(LN(Home_Data!$B$63)-LN(Home_Data!$B$62)))))</f>
        <v>0.91</v>
      </c>
      <c r="AF67" s="38" t="n">
        <f aca="false">IF($E67&gt;=20,Home_Data!$B$80,IF($E67&gt;=10,Home_Data!$B$79,1))</f>
        <v>1</v>
      </c>
      <c r="AG67" s="38" t="n">
        <f aca="false">IF($D67&lt;1960,Home_Data!$B$81,IF($D67&lt;1980,Home_Data!$B$82,IF($D67&gt;=2000,Home_Data!$B$83,1)))</f>
        <v>1.18</v>
      </c>
      <c r="AH67" s="38" t="n">
        <f aca="false">IF($F67="brick",Home_Data!$B$78,1)</f>
        <v>1</v>
      </c>
      <c r="AI67" s="38" t="n">
        <f aca="false">IF($G67="rental",Home_Data!$B$84,IF($G67="vacation",Home_Data!$B$85,1))</f>
        <v>1</v>
      </c>
      <c r="AJ67" s="38" t="n">
        <f aca="false">INDEX(Home_Data!$B$70:$B$73,MIN(3,MAX(0,$H67))+1)</f>
        <v>1.16</v>
      </c>
      <c r="AK67" s="38" t="n">
        <f aca="false">IF(INDEX(Home_Data!$H$5:$H$56,V67)="Yes",1,IF($L67="poor",Home_Data!$B$74,IF($L67="fair",Home_Data!$B$75,IF($L67="excellent",Home_Data!$B$77,Home_Data!$B$76))))</f>
        <v>0.89</v>
      </c>
      <c r="AL67" s="38" t="n">
        <f aca="false">IF(($N67=1),Home_Data!$B$86,1)*IF(($O67=1),Home_Data!$B$87,1)*IF(($P67=1),Home_Data!$B$88,1)</f>
        <v>1.15</v>
      </c>
      <c r="AM67" s="34" t="n">
        <f aca="false">AC67*AD67*AE67*AF67*AG67*AH67*AI67*AJ67*AK67*AL67</f>
        <v>7591.50984272746</v>
      </c>
      <c r="AN67" s="34" t="n">
        <f aca="false">AM67*EXP(-Car_Data!$B$123*Home_Data!$B$91)</f>
        <v>5529.07379570777</v>
      </c>
      <c r="AO67" s="34" t="n">
        <f aca="false">AM67*EXP(Car_Data!$B$123*Home_Data!$B$91)</f>
        <v>10423.2686742157</v>
      </c>
      <c r="AP67" s="39" t="str">
        <f aca="false">IF($U67&gt;0,IF(AND($U67&gt;=AN67,$U67&lt;=AO67),1,0),"")</f>
        <v/>
      </c>
      <c r="AQ67" s="40" t="str">
        <f aca="false">IF($U67&gt;0,$U67/AM67-1,"")</f>
        <v/>
      </c>
    </row>
    <row r="68" customFormat="false" ht="15" hidden="false" customHeight="false" outlineLevel="0" collapsed="false">
      <c r="A68" s="6" t="s">
        <v>334</v>
      </c>
      <c r="B68" s="6" t="s">
        <v>128</v>
      </c>
      <c r="C68" s="6" t="n">
        <v>1750</v>
      </c>
      <c r="D68" s="6" t="n">
        <v>2009</v>
      </c>
      <c r="E68" s="6" t="n">
        <v>9</v>
      </c>
      <c r="F68" s="6" t="s">
        <v>133</v>
      </c>
      <c r="G68" s="6" t="s">
        <v>136</v>
      </c>
      <c r="H68" s="6" t="n">
        <v>0</v>
      </c>
      <c r="I68" s="23" t="n">
        <v>390000</v>
      </c>
      <c r="J68" s="23" t="n">
        <v>1000</v>
      </c>
      <c r="K68" s="6" t="n">
        <v>300</v>
      </c>
      <c r="L68" s="6" t="s">
        <v>72</v>
      </c>
      <c r="M68" s="6" t="n">
        <v>0</v>
      </c>
      <c r="N68" s="6" t="n">
        <v>1</v>
      </c>
      <c r="O68" s="6" t="n">
        <v>0</v>
      </c>
      <c r="P68" s="6" t="n">
        <v>0</v>
      </c>
      <c r="Q68" s="6" t="n">
        <v>0</v>
      </c>
      <c r="R68" s="6" t="s">
        <v>265</v>
      </c>
      <c r="S68" s="5"/>
      <c r="T68" s="32"/>
      <c r="U68" s="17"/>
      <c r="V68" s="33" t="n">
        <f aca="false">MATCH($B68,Home_Data!$B$5:$B$56,0)</f>
        <v>9</v>
      </c>
      <c r="W68" s="34" t="n">
        <f aca="false">MIN(MAX($I68,50000),3000000)</f>
        <v>390000</v>
      </c>
      <c r="X68" s="35" t="n">
        <f aca="false">IFERROR(MIN(3,MAX(1,MATCH(W68,Home_Data!$C$4:$F$4,1))),1)</f>
        <v>2</v>
      </c>
      <c r="Y68" s="36" t="n">
        <f aca="false">INDEX(Home_Data!$C$5:$F$56,V68,X68)</f>
        <v>8471</v>
      </c>
      <c r="Z68" s="36" t="n">
        <f aca="false">INDEX(Home_Data!$C$5:$F$56,V68,X68+1)</f>
        <v>11161</v>
      </c>
      <c r="AA68" s="36" t="n">
        <f aca="false">INDEX(Home_Data!$C$4:$F$4,X68)</f>
        <v>300000</v>
      </c>
      <c r="AB68" s="36" t="n">
        <f aca="false">INDEX(Home_Data!$C$4:$F$4,X68+1)</f>
        <v>400000</v>
      </c>
      <c r="AC68" s="36" t="n">
        <f aca="false">IF($I68&lt;200000,INDEX(Home_Data!$C$5:$F$56,V68,1)*(MAX($I68,Home_Data!$B$90)/200000)^Home_Data!$B$89,Y68*(W68/AA68)^(LN(Z68/Y68)/LN(AB68/AA68)))</f>
        <v>10893.3822470266</v>
      </c>
      <c r="AD68" s="37" t="n">
        <f aca="false">IF($K68=100,Home_Data!$B$67,IF($K68=500,Home_Data!$B$69,Home_Data!$B$68))</f>
        <v>1</v>
      </c>
      <c r="AE68" s="37" t="n">
        <f aca="false">IF($J68&lt;=Home_Data!$B$61,Home_Data!$B$64,IF($J68&gt;=Home_Data!$B$63,Home_Data!$B$66,IF($J68&lt;=Home_Data!$B$62,Home_Data!$B$64+(Home_Data!$B$65-Home_Data!$B$64)*(LN($J68)-LN(Home_Data!$B$61))/(LN(Home_Data!$B$62)-LN(Home_Data!$B$61)),Home_Data!$B$65+(Home_Data!$B$66-Home_Data!$B$65)*(LN($J68)-LN(Home_Data!$B$62))/(LN(Home_Data!$B$63)-LN(Home_Data!$B$62)))))</f>
        <v>1</v>
      </c>
      <c r="AF68" s="38" t="n">
        <f aca="false">IF($E68&gt;=20,Home_Data!$B$80,IF($E68&gt;=10,Home_Data!$B$79,1))</f>
        <v>1</v>
      </c>
      <c r="AG68" s="38" t="n">
        <f aca="false">IF($D68&lt;1960,Home_Data!$B$81,IF($D68&lt;1980,Home_Data!$B$82,IF($D68&gt;=2000,Home_Data!$B$83,1)))</f>
        <v>0.95</v>
      </c>
      <c r="AH68" s="38" t="n">
        <f aca="false">IF($F68="brick",Home_Data!$B$78,1)</f>
        <v>1</v>
      </c>
      <c r="AI68" s="38" t="n">
        <f aca="false">IF($G68="rental",Home_Data!$B$84,IF($G68="vacation",Home_Data!$B$85,1))</f>
        <v>1</v>
      </c>
      <c r="AJ68" s="38" t="n">
        <f aca="false">INDEX(Home_Data!$B$70:$B$73,MIN(3,MAX(0,$H68))+1)</f>
        <v>1</v>
      </c>
      <c r="AK68" s="38" t="n">
        <f aca="false">IF(INDEX(Home_Data!$H$5:$H$56,V68)="Yes",1,IF($L68="poor",Home_Data!$B$74,IF($L68="fair",Home_Data!$B$75,IF($L68="excellent",Home_Data!$B$77,Home_Data!$B$76))))</f>
        <v>1</v>
      </c>
      <c r="AL68" s="38" t="n">
        <f aca="false">IF(($N68=1),Home_Data!$B$86,1)*IF(($O68=1),Home_Data!$B$87,1)*IF(($P68=1),Home_Data!$B$88,1)</f>
        <v>1.15</v>
      </c>
      <c r="AM68" s="34" t="n">
        <f aca="false">AC68*AD68*AE68*AF68*AG68*AH68*AI68*AJ68*AK68*AL68</f>
        <v>11901.0201048766</v>
      </c>
      <c r="AN68" s="34" t="n">
        <f aca="false">AM68*EXP(-Car_Data!$B$123*Home_Data!$B$91)</f>
        <v>8667.79069872397</v>
      </c>
      <c r="AO68" s="34" t="n">
        <f aca="false">AM68*EXP(Car_Data!$B$123*Home_Data!$B$91)</f>
        <v>16340.2975982712</v>
      </c>
      <c r="AP68" s="39" t="str">
        <f aca="false">IF($U68&gt;0,IF(AND($U68&gt;=AN68,$U68&lt;=AO68),1,0),"")</f>
        <v/>
      </c>
      <c r="AQ68" s="40" t="str">
        <f aca="false">IF($U68&gt;0,$U68/AM68-1,"")</f>
        <v/>
      </c>
    </row>
    <row r="69" customFormat="false" ht="15" hidden="false" customHeight="false" outlineLevel="0" collapsed="false">
      <c r="A69" s="6" t="s">
        <v>335</v>
      </c>
      <c r="B69" s="6" t="s">
        <v>128</v>
      </c>
      <c r="C69" s="6" t="n">
        <v>2550</v>
      </c>
      <c r="D69" s="6" t="n">
        <v>2016</v>
      </c>
      <c r="E69" s="6" t="n">
        <v>0</v>
      </c>
      <c r="F69" s="6" t="s">
        <v>261</v>
      </c>
      <c r="G69" s="6" t="s">
        <v>136</v>
      </c>
      <c r="H69" s="6" t="n">
        <v>1</v>
      </c>
      <c r="I69" s="23" t="n">
        <v>655000</v>
      </c>
      <c r="J69" s="23" t="n">
        <v>2500</v>
      </c>
      <c r="K69" s="6" t="n">
        <v>300</v>
      </c>
      <c r="L69" s="6" t="s">
        <v>264</v>
      </c>
      <c r="M69" s="6" t="n">
        <v>0</v>
      </c>
      <c r="N69" s="6" t="n">
        <v>1</v>
      </c>
      <c r="O69" s="6" t="n">
        <v>0</v>
      </c>
      <c r="P69" s="6" t="n">
        <v>0</v>
      </c>
      <c r="Q69" s="6" t="n">
        <v>0</v>
      </c>
      <c r="R69" s="6" t="s">
        <v>265</v>
      </c>
      <c r="S69" s="5"/>
      <c r="T69" s="32"/>
      <c r="U69" s="17"/>
      <c r="V69" s="33" t="n">
        <f aca="false">MATCH($B69,Home_Data!$B$5:$B$56,0)</f>
        <v>9</v>
      </c>
      <c r="W69" s="34" t="n">
        <f aca="false">MIN(MAX($I69,50000),3000000)</f>
        <v>655000</v>
      </c>
      <c r="X69" s="35" t="n">
        <f aca="false">IFERROR(MIN(3,MAX(1,MATCH(W69,Home_Data!$C$4:$F$4,1))),1)</f>
        <v>3</v>
      </c>
      <c r="Y69" s="36" t="n">
        <f aca="false">INDEX(Home_Data!$C$5:$F$56,V69,X69)</f>
        <v>11161</v>
      </c>
      <c r="Z69" s="36" t="n">
        <f aca="false">INDEX(Home_Data!$C$5:$F$56,V69,X69+1)</f>
        <v>16690</v>
      </c>
      <c r="AA69" s="36" t="n">
        <f aca="false">INDEX(Home_Data!$C$4:$F$4,X69)</f>
        <v>400000</v>
      </c>
      <c r="AB69" s="36" t="n">
        <f aca="false">INDEX(Home_Data!$C$4:$F$4,X69+1)</f>
        <v>600000</v>
      </c>
      <c r="AC69" s="36" t="n">
        <f aca="false">IF($I69&lt;200000,INDEX(Home_Data!$C$5:$F$56,V69,1)*(MAX($I69,Home_Data!$B$90)/200000)^Home_Data!$B$89,Y69*(W69/AA69)^(LN(Z69/Y69)/LN(AB69/AA69)))</f>
        <v>18207.7783873888</v>
      </c>
      <c r="AD69" s="37" t="n">
        <f aca="false">IF($K69=100,Home_Data!$B$67,IF($K69=500,Home_Data!$B$69,Home_Data!$B$68))</f>
        <v>1</v>
      </c>
      <c r="AE69" s="37" t="n">
        <f aca="false">IF($J69&lt;=Home_Data!$B$61,Home_Data!$B$64,IF($J69&gt;=Home_Data!$B$63,Home_Data!$B$66,IF($J69&lt;=Home_Data!$B$62,Home_Data!$B$64+(Home_Data!$B$65-Home_Data!$B$64)*(LN($J69)-LN(Home_Data!$B$61))/(LN(Home_Data!$B$62)-LN(Home_Data!$B$61)),Home_Data!$B$65+(Home_Data!$B$66-Home_Data!$B$65)*(LN($J69)-LN(Home_Data!$B$62))/(LN(Home_Data!$B$63)-LN(Home_Data!$B$62)))))</f>
        <v>0.91</v>
      </c>
      <c r="AF69" s="38" t="n">
        <f aca="false">IF($E69&gt;=20,Home_Data!$B$80,IF($E69&gt;=10,Home_Data!$B$79,1))</f>
        <v>1</v>
      </c>
      <c r="AG69" s="38" t="n">
        <f aca="false">IF($D69&lt;1960,Home_Data!$B$81,IF($D69&lt;1980,Home_Data!$B$82,IF($D69&gt;=2000,Home_Data!$B$83,1)))</f>
        <v>0.95</v>
      </c>
      <c r="AH69" s="38" t="n">
        <f aca="false">IF($F69="brick",Home_Data!$B$78,1)</f>
        <v>0.98</v>
      </c>
      <c r="AI69" s="38" t="n">
        <f aca="false">IF($G69="rental",Home_Data!$B$84,IF($G69="vacation",Home_Data!$B$85,1))</f>
        <v>1</v>
      </c>
      <c r="AJ69" s="38" t="n">
        <f aca="false">INDEX(Home_Data!$B$70:$B$73,MIN(3,MAX(0,$H69))+1)</f>
        <v>1.16</v>
      </c>
      <c r="AK69" s="38" t="n">
        <f aca="false">IF(INDEX(Home_Data!$H$5:$H$56,V69)="Yes",1,IF($L69="poor",Home_Data!$B$74,IF($L69="fair",Home_Data!$B$75,IF($L69="excellent",Home_Data!$B$77,Home_Data!$B$76))))</f>
        <v>0.89</v>
      </c>
      <c r="AL69" s="38" t="n">
        <f aca="false">IF(($N69=1),Home_Data!$B$86,1)*IF(($O69=1),Home_Data!$B$87,1)*IF(($P69=1),Home_Data!$B$88,1)</f>
        <v>1.15</v>
      </c>
      <c r="AM69" s="34" t="n">
        <f aca="false">AC69*AD69*AE69*AF69*AG69*AH69*AI69*AJ69*AK69*AL69</f>
        <v>18314.4494691382</v>
      </c>
      <c r="AN69" s="34" t="n">
        <f aca="false">AM69*EXP(-Car_Data!$B$123*Home_Data!$B$91)</f>
        <v>13338.8409868998</v>
      </c>
      <c r="AO69" s="34" t="n">
        <f aca="false">AM69*EXP(Car_Data!$B$123*Home_Data!$B$91)</f>
        <v>25146.0422751149</v>
      </c>
      <c r="AP69" s="39" t="str">
        <f aca="false">IF($U69&gt;0,IF(AND($U69&gt;=AN69,$U69&lt;=AO69),1,0),"")</f>
        <v/>
      </c>
      <c r="AQ69" s="40" t="str">
        <f aca="false">IF($U69&gt;0,$U69/AM69-1,"")</f>
        <v/>
      </c>
    </row>
    <row r="70" customFormat="false" ht="15" hidden="false" customHeight="false" outlineLevel="0" collapsed="false">
      <c r="A70" s="6" t="s">
        <v>336</v>
      </c>
      <c r="B70" s="6" t="s">
        <v>128</v>
      </c>
      <c r="C70" s="6" t="n">
        <v>2050</v>
      </c>
      <c r="D70" s="6" t="n">
        <v>2010</v>
      </c>
      <c r="E70" s="6" t="n">
        <v>5</v>
      </c>
      <c r="F70" s="6" t="s">
        <v>133</v>
      </c>
      <c r="G70" s="6" t="s">
        <v>136</v>
      </c>
      <c r="H70" s="6" t="n">
        <v>0</v>
      </c>
      <c r="I70" s="23" t="n">
        <v>565000</v>
      </c>
      <c r="J70" s="23" t="n">
        <v>1000</v>
      </c>
      <c r="K70" s="6" t="n">
        <v>300</v>
      </c>
      <c r="L70" s="6" t="s">
        <v>264</v>
      </c>
      <c r="M70" s="6" t="n">
        <v>0</v>
      </c>
      <c r="N70" s="6" t="n">
        <v>0</v>
      </c>
      <c r="O70" s="6" t="n">
        <v>0</v>
      </c>
      <c r="P70" s="6" t="n">
        <v>0</v>
      </c>
      <c r="Q70" s="6" t="n">
        <v>0</v>
      </c>
      <c r="R70" s="6" t="s">
        <v>267</v>
      </c>
      <c r="S70" s="5"/>
      <c r="T70" s="32"/>
      <c r="U70" s="17"/>
      <c r="V70" s="33" t="n">
        <f aca="false">MATCH($B70,Home_Data!$B$5:$B$56,0)</f>
        <v>9</v>
      </c>
      <c r="W70" s="34" t="n">
        <f aca="false">MIN(MAX($I70,50000),3000000)</f>
        <v>565000</v>
      </c>
      <c r="X70" s="35" t="n">
        <f aca="false">IFERROR(MIN(3,MAX(1,MATCH(W70,Home_Data!$C$4:$F$4,1))),1)</f>
        <v>3</v>
      </c>
      <c r="Y70" s="36" t="n">
        <f aca="false">INDEX(Home_Data!$C$5:$F$56,V70,X70)</f>
        <v>11161</v>
      </c>
      <c r="Z70" s="36" t="n">
        <f aca="false">INDEX(Home_Data!$C$5:$F$56,V70,X70+1)</f>
        <v>16690</v>
      </c>
      <c r="AA70" s="36" t="n">
        <f aca="false">INDEX(Home_Data!$C$4:$F$4,X70)</f>
        <v>400000</v>
      </c>
      <c r="AB70" s="36" t="n">
        <f aca="false">INDEX(Home_Data!$C$4:$F$4,X70+1)</f>
        <v>600000</v>
      </c>
      <c r="AC70" s="36" t="n">
        <f aca="false">IF($I70&lt;200000,INDEX(Home_Data!$C$5:$F$56,V70,1)*(MAX($I70,Home_Data!$B$90)/200000)^Home_Data!$B$89,Y70*(W70/AA70)^(LN(Z70/Y70)/LN(AB70/AA70)))</f>
        <v>15723.5959939873</v>
      </c>
      <c r="AD70" s="37" t="n">
        <f aca="false">IF($K70=100,Home_Data!$B$67,IF($K70=500,Home_Data!$B$69,Home_Data!$B$68))</f>
        <v>1</v>
      </c>
      <c r="AE70" s="37" t="n">
        <f aca="false">IF($J70&lt;=Home_Data!$B$61,Home_Data!$B$64,IF($J70&gt;=Home_Data!$B$63,Home_Data!$B$66,IF($J70&lt;=Home_Data!$B$62,Home_Data!$B$64+(Home_Data!$B$65-Home_Data!$B$64)*(LN($J70)-LN(Home_Data!$B$61))/(LN(Home_Data!$B$62)-LN(Home_Data!$B$61)),Home_Data!$B$65+(Home_Data!$B$66-Home_Data!$B$65)*(LN($J70)-LN(Home_Data!$B$62))/(LN(Home_Data!$B$63)-LN(Home_Data!$B$62)))))</f>
        <v>1</v>
      </c>
      <c r="AF70" s="38" t="n">
        <f aca="false">IF($E70&gt;=20,Home_Data!$B$80,IF($E70&gt;=10,Home_Data!$B$79,1))</f>
        <v>1</v>
      </c>
      <c r="AG70" s="38" t="n">
        <f aca="false">IF($D70&lt;1960,Home_Data!$B$81,IF($D70&lt;1980,Home_Data!$B$82,IF($D70&gt;=2000,Home_Data!$B$83,1)))</f>
        <v>0.95</v>
      </c>
      <c r="AH70" s="38" t="n">
        <f aca="false">IF($F70="brick",Home_Data!$B$78,1)</f>
        <v>1</v>
      </c>
      <c r="AI70" s="38" t="n">
        <f aca="false">IF($G70="rental",Home_Data!$B$84,IF($G70="vacation",Home_Data!$B$85,1))</f>
        <v>1</v>
      </c>
      <c r="AJ70" s="38" t="n">
        <f aca="false">INDEX(Home_Data!$B$70:$B$73,MIN(3,MAX(0,$H70))+1)</f>
        <v>1</v>
      </c>
      <c r="AK70" s="38" t="n">
        <f aca="false">IF(INDEX(Home_Data!$H$5:$H$56,V70)="Yes",1,IF($L70="poor",Home_Data!$B$74,IF($L70="fair",Home_Data!$B$75,IF($L70="excellent",Home_Data!$B$77,Home_Data!$B$76))))</f>
        <v>0.89</v>
      </c>
      <c r="AL70" s="38" t="n">
        <f aca="false">IF(($N70=1),Home_Data!$B$86,1)*IF(($O70=1),Home_Data!$B$87,1)*IF(($P70=1),Home_Data!$B$88,1)</f>
        <v>1</v>
      </c>
      <c r="AM70" s="34" t="n">
        <f aca="false">AC70*AD70*AE70*AF70*AG70*AH70*AI70*AJ70*AK70*AL70</f>
        <v>13294.3004129163</v>
      </c>
      <c r="AN70" s="34" t="n">
        <f aca="false">AM70*EXP(-Car_Data!$B$123*Home_Data!$B$91)</f>
        <v>9682.54926465504</v>
      </c>
      <c r="AO70" s="34" t="n">
        <f aca="false">AM70*EXP(Car_Data!$B$123*Home_Data!$B$91)</f>
        <v>18253.2945237911</v>
      </c>
      <c r="AP70" s="39" t="str">
        <f aca="false">IF($U70&gt;0,IF(AND($U70&gt;=AN70,$U70&lt;=AO70),1,0),"")</f>
        <v/>
      </c>
      <c r="AQ70" s="40" t="str">
        <f aca="false">IF($U70&gt;0,$U70/AM70-1,"")</f>
        <v/>
      </c>
    </row>
    <row r="71" customFormat="false" ht="15" hidden="false" customHeight="false" outlineLevel="0" collapsed="false">
      <c r="A71" s="6" t="s">
        <v>337</v>
      </c>
      <c r="B71" s="6" t="s">
        <v>128</v>
      </c>
      <c r="C71" s="6" t="n">
        <v>3250</v>
      </c>
      <c r="D71" s="6" t="n">
        <v>2015</v>
      </c>
      <c r="E71" s="6" t="n">
        <v>3</v>
      </c>
      <c r="F71" s="6" t="s">
        <v>261</v>
      </c>
      <c r="G71" s="6" t="s">
        <v>136</v>
      </c>
      <c r="H71" s="6" t="n">
        <v>0</v>
      </c>
      <c r="I71" s="23" t="n">
        <v>810000</v>
      </c>
      <c r="J71" s="23" t="n">
        <v>2500</v>
      </c>
      <c r="K71" s="6" t="n">
        <v>100</v>
      </c>
      <c r="L71" s="6" t="s">
        <v>72</v>
      </c>
      <c r="M71" s="6" t="n">
        <v>1</v>
      </c>
      <c r="N71" s="6" t="n">
        <v>0</v>
      </c>
      <c r="O71" s="6" t="n">
        <v>0</v>
      </c>
      <c r="P71" s="6" t="n">
        <v>0</v>
      </c>
      <c r="Q71" s="6" t="n">
        <v>0</v>
      </c>
      <c r="R71" s="6" t="s">
        <v>285</v>
      </c>
      <c r="S71" s="5"/>
      <c r="T71" s="32"/>
      <c r="U71" s="17"/>
      <c r="V71" s="33" t="n">
        <f aca="false">MATCH($B71,Home_Data!$B$5:$B$56,0)</f>
        <v>9</v>
      </c>
      <c r="W71" s="34" t="n">
        <f aca="false">MIN(MAX($I71,50000),3000000)</f>
        <v>810000</v>
      </c>
      <c r="X71" s="35" t="n">
        <f aca="false">IFERROR(MIN(3,MAX(1,MATCH(W71,Home_Data!$C$4:$F$4,1))),1)</f>
        <v>3</v>
      </c>
      <c r="Y71" s="36" t="n">
        <f aca="false">INDEX(Home_Data!$C$5:$F$56,V71,X71)</f>
        <v>11161</v>
      </c>
      <c r="Z71" s="36" t="n">
        <f aca="false">INDEX(Home_Data!$C$5:$F$56,V71,X71+1)</f>
        <v>16690</v>
      </c>
      <c r="AA71" s="36" t="n">
        <f aca="false">INDEX(Home_Data!$C$4:$F$4,X71)</f>
        <v>400000</v>
      </c>
      <c r="AB71" s="36" t="n">
        <f aca="false">INDEX(Home_Data!$C$4:$F$4,X71+1)</f>
        <v>600000</v>
      </c>
      <c r="AC71" s="36" t="n">
        <f aca="false">IF($I71&lt;200000,INDEX(Home_Data!$C$5:$F$56,V71,1)*(MAX($I71,Home_Data!$B$90)/200000)^Home_Data!$B$89,Y71*(W71/AA71)^(LN(Z71/Y71)/LN(AB71/AA71)))</f>
        <v>22480.1789081134</v>
      </c>
      <c r="AD71" s="37" t="n">
        <f aca="false">IF($K71=100,Home_Data!$B$67,IF($K71=500,Home_Data!$B$69,Home_Data!$B$68))</f>
        <v>0.991</v>
      </c>
      <c r="AE71" s="37" t="n">
        <f aca="false">IF($J71&lt;=Home_Data!$B$61,Home_Data!$B$64,IF($J71&gt;=Home_Data!$B$63,Home_Data!$B$66,IF($J71&lt;=Home_Data!$B$62,Home_Data!$B$64+(Home_Data!$B$65-Home_Data!$B$64)*(LN($J71)-LN(Home_Data!$B$61))/(LN(Home_Data!$B$62)-LN(Home_Data!$B$61)),Home_Data!$B$65+(Home_Data!$B$66-Home_Data!$B$65)*(LN($J71)-LN(Home_Data!$B$62))/(LN(Home_Data!$B$63)-LN(Home_Data!$B$62)))))</f>
        <v>0.91</v>
      </c>
      <c r="AF71" s="38" t="n">
        <f aca="false">IF($E71&gt;=20,Home_Data!$B$80,IF($E71&gt;=10,Home_Data!$B$79,1))</f>
        <v>1</v>
      </c>
      <c r="AG71" s="38" t="n">
        <f aca="false">IF($D71&lt;1960,Home_Data!$B$81,IF($D71&lt;1980,Home_Data!$B$82,IF($D71&gt;=2000,Home_Data!$B$83,1)))</f>
        <v>0.95</v>
      </c>
      <c r="AH71" s="38" t="n">
        <f aca="false">IF($F71="brick",Home_Data!$B$78,1)</f>
        <v>0.98</v>
      </c>
      <c r="AI71" s="38" t="n">
        <f aca="false">IF($G71="rental",Home_Data!$B$84,IF($G71="vacation",Home_Data!$B$85,1))</f>
        <v>1</v>
      </c>
      <c r="AJ71" s="38" t="n">
        <f aca="false">INDEX(Home_Data!$B$70:$B$73,MIN(3,MAX(0,$H71))+1)</f>
        <v>1</v>
      </c>
      <c r="AK71" s="38" t="n">
        <f aca="false">IF(INDEX(Home_Data!$H$5:$H$56,V71)="Yes",1,IF($L71="poor",Home_Data!$B$74,IF($L71="fair",Home_Data!$B$75,IF($L71="excellent",Home_Data!$B$77,Home_Data!$B$76))))</f>
        <v>1</v>
      </c>
      <c r="AL71" s="38" t="n">
        <f aca="false">IF(($N71=1),Home_Data!$B$86,1)*IF(($O71=1),Home_Data!$B$87,1)*IF(($P71=1),Home_Data!$B$88,1)</f>
        <v>1</v>
      </c>
      <c r="AM71" s="34" t="n">
        <f aca="false">AC71*AD71*AE71*AF71*AG71*AH71*AI71*AJ71*AK71*AL71</f>
        <v>18874.023481388</v>
      </c>
      <c r="AN71" s="34" t="n">
        <f aca="false">AM71*EXP(-Car_Data!$B$123*Home_Data!$B$91)</f>
        <v>13746.3917998456</v>
      </c>
      <c r="AO71" s="34" t="n">
        <f aca="false">AM71*EXP(Car_Data!$B$123*Home_Data!$B$91)</f>
        <v>25914.3466564069</v>
      </c>
      <c r="AP71" s="39" t="str">
        <f aca="false">IF($U71&gt;0,IF(AND($U71&gt;=AN71,$U71&lt;=AO71),1,0),"")</f>
        <v/>
      </c>
      <c r="AQ71" s="40" t="str">
        <f aca="false">IF($U71&gt;0,$U71/AM71-1,"")</f>
        <v/>
      </c>
    </row>
    <row r="72" customFormat="false" ht="15" hidden="false" customHeight="false" outlineLevel="0" collapsed="false">
      <c r="A72" s="6" t="s">
        <v>338</v>
      </c>
      <c r="B72" s="6" t="s">
        <v>128</v>
      </c>
      <c r="C72" s="6" t="n">
        <v>1450</v>
      </c>
      <c r="D72" s="6" t="n">
        <v>2001</v>
      </c>
      <c r="E72" s="6" t="n">
        <v>16</v>
      </c>
      <c r="F72" s="6" t="s">
        <v>133</v>
      </c>
      <c r="G72" s="6" t="s">
        <v>136</v>
      </c>
      <c r="H72" s="6" t="n">
        <v>1</v>
      </c>
      <c r="I72" s="23" t="n">
        <v>360000</v>
      </c>
      <c r="J72" s="23" t="n">
        <v>2500</v>
      </c>
      <c r="K72" s="6" t="n">
        <v>500</v>
      </c>
      <c r="L72" s="6" t="s">
        <v>284</v>
      </c>
      <c r="M72" s="6" t="n">
        <v>0</v>
      </c>
      <c r="N72" s="6" t="n">
        <v>1</v>
      </c>
      <c r="O72" s="6" t="n">
        <v>0</v>
      </c>
      <c r="P72" s="6" t="n">
        <v>0</v>
      </c>
      <c r="Q72" s="6" t="n">
        <v>0</v>
      </c>
      <c r="R72" s="6" t="s">
        <v>265</v>
      </c>
      <c r="S72" s="5"/>
      <c r="T72" s="32"/>
      <c r="U72" s="17"/>
      <c r="V72" s="33" t="n">
        <f aca="false">MATCH($B72,Home_Data!$B$5:$B$56,0)</f>
        <v>9</v>
      </c>
      <c r="W72" s="34" t="n">
        <f aca="false">MIN(MAX($I72,50000),3000000)</f>
        <v>360000</v>
      </c>
      <c r="X72" s="35" t="n">
        <f aca="false">IFERROR(MIN(3,MAX(1,MATCH(W72,Home_Data!$C$4:$F$4,1))),1)</f>
        <v>2</v>
      </c>
      <c r="Y72" s="36" t="n">
        <f aca="false">INDEX(Home_Data!$C$5:$F$56,V72,X72)</f>
        <v>8471</v>
      </c>
      <c r="Z72" s="36" t="n">
        <f aca="false">INDEX(Home_Data!$C$5:$F$56,V72,X72+1)</f>
        <v>11161</v>
      </c>
      <c r="AA72" s="36" t="n">
        <f aca="false">INDEX(Home_Data!$C$4:$F$4,X72)</f>
        <v>300000</v>
      </c>
      <c r="AB72" s="36" t="n">
        <f aca="false">INDEX(Home_Data!$C$4:$F$4,X72+1)</f>
        <v>400000</v>
      </c>
      <c r="AC72" s="36" t="n">
        <f aca="false">IF($I72&lt;200000,INDEX(Home_Data!$C$5:$F$56,V72,1)*(MAX($I72,Home_Data!$B$90)/200000)^Home_Data!$B$89,Y72*(W72/AA72)^(LN(Z72/Y72)/LN(AB72/AA72)))</f>
        <v>10088.792480618</v>
      </c>
      <c r="AD72" s="37" t="n">
        <f aca="false">IF($K72=100,Home_Data!$B$67,IF($K72=500,Home_Data!$B$69,Home_Data!$B$68))</f>
        <v>1.005</v>
      </c>
      <c r="AE72" s="37" t="n">
        <f aca="false">IF($J72&lt;=Home_Data!$B$61,Home_Data!$B$64,IF($J72&gt;=Home_Data!$B$63,Home_Data!$B$66,IF($J72&lt;=Home_Data!$B$62,Home_Data!$B$64+(Home_Data!$B$65-Home_Data!$B$64)*(LN($J72)-LN(Home_Data!$B$61))/(LN(Home_Data!$B$62)-LN(Home_Data!$B$61)),Home_Data!$B$65+(Home_Data!$B$66-Home_Data!$B$65)*(LN($J72)-LN(Home_Data!$B$62))/(LN(Home_Data!$B$63)-LN(Home_Data!$B$62)))))</f>
        <v>0.91</v>
      </c>
      <c r="AF72" s="38" t="n">
        <f aca="false">IF($E72&gt;=20,Home_Data!$B$80,IF($E72&gt;=10,Home_Data!$B$79,1))</f>
        <v>1.1</v>
      </c>
      <c r="AG72" s="38" t="n">
        <f aca="false">IF($D72&lt;1960,Home_Data!$B$81,IF($D72&lt;1980,Home_Data!$B$82,IF($D72&gt;=2000,Home_Data!$B$83,1)))</f>
        <v>0.95</v>
      </c>
      <c r="AH72" s="38" t="n">
        <f aca="false">IF($F72="brick",Home_Data!$B$78,1)</f>
        <v>1</v>
      </c>
      <c r="AI72" s="38" t="n">
        <f aca="false">IF($G72="rental",Home_Data!$B$84,IF($G72="vacation",Home_Data!$B$85,1))</f>
        <v>1</v>
      </c>
      <c r="AJ72" s="38" t="n">
        <f aca="false">INDEX(Home_Data!$B$70:$B$73,MIN(3,MAX(0,$H72))+1)</f>
        <v>1.16</v>
      </c>
      <c r="AK72" s="38" t="n">
        <f aca="false">IF(INDEX(Home_Data!$H$5:$H$56,V72)="Yes",1,IF($L72="poor",Home_Data!$B$74,IF($L72="fair",Home_Data!$B$75,IF($L72="excellent",Home_Data!$B$77,Home_Data!$B$76))))</f>
        <v>2.11</v>
      </c>
      <c r="AL72" s="38" t="n">
        <f aca="false">IF(($N72=1),Home_Data!$B$86,1)*IF(($O72=1),Home_Data!$B$87,1)*IF(($P72=1),Home_Data!$B$88,1)</f>
        <v>1.15</v>
      </c>
      <c r="AM72" s="34" t="n">
        <f aca="false">AC72*AD72*AE72*AF72*AG72*AH72*AI72*AJ72*AK72*AL72</f>
        <v>27139.4610150141</v>
      </c>
      <c r="AN72" s="34" t="n">
        <f aca="false">AM72*EXP(-Car_Data!$B$123*Home_Data!$B$91)</f>
        <v>19766.3028615445</v>
      </c>
      <c r="AO72" s="34" t="n">
        <f aca="false">AM72*EXP(Car_Data!$B$123*Home_Data!$B$91)</f>
        <v>37262.9292055639</v>
      </c>
      <c r="AP72" s="39" t="str">
        <f aca="false">IF($U72&gt;0,IF(AND($U72&gt;=AN72,$U72&lt;=AO72),1,0),"")</f>
        <v/>
      </c>
      <c r="AQ72" s="40" t="str">
        <f aca="false">IF($U72&gt;0,$U72/AM72-1,"")</f>
        <v/>
      </c>
    </row>
    <row r="73" customFormat="false" ht="15" hidden="false" customHeight="false" outlineLevel="0" collapsed="false">
      <c r="A73" s="6" t="s">
        <v>339</v>
      </c>
      <c r="B73" s="6" t="s">
        <v>128</v>
      </c>
      <c r="C73" s="6" t="n">
        <v>3400</v>
      </c>
      <c r="D73" s="6" t="n">
        <v>1961</v>
      </c>
      <c r="E73" s="6" t="n">
        <v>12</v>
      </c>
      <c r="F73" s="6" t="s">
        <v>133</v>
      </c>
      <c r="G73" s="6" t="s">
        <v>136</v>
      </c>
      <c r="H73" s="6" t="n">
        <v>1</v>
      </c>
      <c r="I73" s="23" t="n">
        <v>870000</v>
      </c>
      <c r="J73" s="23" t="n">
        <v>1000</v>
      </c>
      <c r="K73" s="6" t="n">
        <v>300</v>
      </c>
      <c r="L73" s="6" t="s">
        <v>72</v>
      </c>
      <c r="M73" s="6" t="n">
        <v>0</v>
      </c>
      <c r="N73" s="6" t="n">
        <v>1</v>
      </c>
      <c r="O73" s="6" t="n">
        <v>0</v>
      </c>
      <c r="P73" s="6" t="n">
        <v>0</v>
      </c>
      <c r="Q73" s="6" t="n">
        <v>0</v>
      </c>
      <c r="R73" s="6" t="s">
        <v>265</v>
      </c>
      <c r="S73" s="5"/>
      <c r="T73" s="32"/>
      <c r="U73" s="17"/>
      <c r="V73" s="33" t="n">
        <f aca="false">MATCH($B73,Home_Data!$B$5:$B$56,0)</f>
        <v>9</v>
      </c>
      <c r="W73" s="34" t="n">
        <f aca="false">MIN(MAX($I73,50000),3000000)</f>
        <v>870000</v>
      </c>
      <c r="X73" s="35" t="n">
        <f aca="false">IFERROR(MIN(3,MAX(1,MATCH(W73,Home_Data!$C$4:$F$4,1))),1)</f>
        <v>3</v>
      </c>
      <c r="Y73" s="36" t="n">
        <f aca="false">INDEX(Home_Data!$C$5:$F$56,V73,X73)</f>
        <v>11161</v>
      </c>
      <c r="Z73" s="36" t="n">
        <f aca="false">INDEX(Home_Data!$C$5:$F$56,V73,X73+1)</f>
        <v>16690</v>
      </c>
      <c r="AA73" s="36" t="n">
        <f aca="false">INDEX(Home_Data!$C$4:$F$4,X73)</f>
        <v>400000</v>
      </c>
      <c r="AB73" s="36" t="n">
        <f aca="false">INDEX(Home_Data!$C$4:$F$4,X73+1)</f>
        <v>600000</v>
      </c>
      <c r="AC73" s="36" t="n">
        <f aca="false">IF($I73&lt;200000,INDEX(Home_Data!$C$5:$F$56,V73,1)*(MAX($I73,Home_Data!$B$90)/200000)^Home_Data!$B$89,Y73*(W73/AA73)^(LN(Z73/Y73)/LN(AB73/AA73)))</f>
        <v>24132.2704142776</v>
      </c>
      <c r="AD73" s="37" t="n">
        <f aca="false">IF($K73=100,Home_Data!$B$67,IF($K73=500,Home_Data!$B$69,Home_Data!$B$68))</f>
        <v>1</v>
      </c>
      <c r="AE73" s="37" t="n">
        <f aca="false">IF($J73&lt;=Home_Data!$B$61,Home_Data!$B$64,IF($J73&gt;=Home_Data!$B$63,Home_Data!$B$66,IF($J73&lt;=Home_Data!$B$62,Home_Data!$B$64+(Home_Data!$B$65-Home_Data!$B$64)*(LN($J73)-LN(Home_Data!$B$61))/(LN(Home_Data!$B$62)-LN(Home_Data!$B$61)),Home_Data!$B$65+(Home_Data!$B$66-Home_Data!$B$65)*(LN($J73)-LN(Home_Data!$B$62))/(LN(Home_Data!$B$63)-LN(Home_Data!$B$62)))))</f>
        <v>1</v>
      </c>
      <c r="AF73" s="38" t="n">
        <f aca="false">IF($E73&gt;=20,Home_Data!$B$80,IF($E73&gt;=10,Home_Data!$B$79,1))</f>
        <v>1.1</v>
      </c>
      <c r="AG73" s="38" t="n">
        <f aca="false">IF($D73&lt;1960,Home_Data!$B$81,IF($D73&lt;1980,Home_Data!$B$82,IF($D73&gt;=2000,Home_Data!$B$83,1)))</f>
        <v>1.08</v>
      </c>
      <c r="AH73" s="38" t="n">
        <f aca="false">IF($F73="brick",Home_Data!$B$78,1)</f>
        <v>1</v>
      </c>
      <c r="AI73" s="38" t="n">
        <f aca="false">IF($G73="rental",Home_Data!$B$84,IF($G73="vacation",Home_Data!$B$85,1))</f>
        <v>1</v>
      </c>
      <c r="AJ73" s="38" t="n">
        <f aca="false">INDEX(Home_Data!$B$70:$B$73,MIN(3,MAX(0,$H73))+1)</f>
        <v>1.16</v>
      </c>
      <c r="AK73" s="38" t="n">
        <f aca="false">IF(INDEX(Home_Data!$H$5:$H$56,V73)="Yes",1,IF($L73="poor",Home_Data!$B$74,IF($L73="fair",Home_Data!$B$75,IF($L73="excellent",Home_Data!$B$77,Home_Data!$B$76))))</f>
        <v>1</v>
      </c>
      <c r="AL73" s="38" t="n">
        <f aca="false">IF(($N73=1),Home_Data!$B$86,1)*IF(($O73=1),Home_Data!$B$87,1)*IF(($P73=1),Home_Data!$B$88,1)</f>
        <v>1.15</v>
      </c>
      <c r="AM73" s="34" t="n">
        <f aca="false">AC73*AD73*AE73*AF73*AG73*AH73*AI73*AJ73*AK73*AL73</f>
        <v>38244.6290943838</v>
      </c>
      <c r="AN73" s="34" t="n">
        <f aca="false">AM73*EXP(-Car_Data!$B$123*Home_Data!$B$91)</f>
        <v>27854.4559558061</v>
      </c>
      <c r="AO73" s="34" t="n">
        <f aca="false">AM73*EXP(Car_Data!$B$123*Home_Data!$B$91)</f>
        <v>52510.508799297</v>
      </c>
      <c r="AP73" s="39" t="str">
        <f aca="false">IF($U73&gt;0,IF(AND($U73&gt;=AN73,$U73&lt;=AO73),1,0),"")</f>
        <v/>
      </c>
      <c r="AQ73" s="40" t="str">
        <f aca="false">IF($U73&gt;0,$U73/AM73-1,"")</f>
        <v/>
      </c>
    </row>
    <row r="74" customFormat="false" ht="15" hidden="false" customHeight="false" outlineLevel="0" collapsed="false">
      <c r="A74" s="6" t="s">
        <v>340</v>
      </c>
      <c r="B74" s="6" t="s">
        <v>128</v>
      </c>
      <c r="C74" s="6" t="n">
        <v>3350</v>
      </c>
      <c r="D74" s="6" t="n">
        <v>2001</v>
      </c>
      <c r="E74" s="6" t="n">
        <v>8</v>
      </c>
      <c r="F74" s="6" t="s">
        <v>133</v>
      </c>
      <c r="G74" s="6" t="s">
        <v>136</v>
      </c>
      <c r="H74" s="6" t="n">
        <v>0</v>
      </c>
      <c r="I74" s="23" t="n">
        <v>945000</v>
      </c>
      <c r="J74" s="23" t="n">
        <v>1000</v>
      </c>
      <c r="K74" s="6" t="n">
        <v>100</v>
      </c>
      <c r="L74" s="6" t="s">
        <v>284</v>
      </c>
      <c r="M74" s="6" t="n">
        <v>0</v>
      </c>
      <c r="N74" s="6" t="n">
        <v>0</v>
      </c>
      <c r="O74" s="6" t="n">
        <v>0</v>
      </c>
      <c r="P74" s="6" t="n">
        <v>0</v>
      </c>
      <c r="Q74" s="6" t="n">
        <v>0</v>
      </c>
      <c r="R74" s="6" t="s">
        <v>267</v>
      </c>
      <c r="S74" s="5"/>
      <c r="T74" s="32"/>
      <c r="U74" s="17"/>
      <c r="V74" s="33" t="n">
        <f aca="false">MATCH($B74,Home_Data!$B$5:$B$56,0)</f>
        <v>9</v>
      </c>
      <c r="W74" s="34" t="n">
        <f aca="false">MIN(MAX($I74,50000),3000000)</f>
        <v>945000</v>
      </c>
      <c r="X74" s="35" t="n">
        <f aca="false">IFERROR(MIN(3,MAX(1,MATCH(W74,Home_Data!$C$4:$F$4,1))),1)</f>
        <v>3</v>
      </c>
      <c r="Y74" s="36" t="n">
        <f aca="false">INDEX(Home_Data!$C$5:$F$56,V74,X74)</f>
        <v>11161</v>
      </c>
      <c r="Z74" s="36" t="n">
        <f aca="false">INDEX(Home_Data!$C$5:$F$56,V74,X74+1)</f>
        <v>16690</v>
      </c>
      <c r="AA74" s="36" t="n">
        <f aca="false">INDEX(Home_Data!$C$4:$F$4,X74)</f>
        <v>400000</v>
      </c>
      <c r="AB74" s="36" t="n">
        <f aca="false">INDEX(Home_Data!$C$4:$F$4,X74+1)</f>
        <v>600000</v>
      </c>
      <c r="AC74" s="36" t="n">
        <f aca="false">IF($I74&lt;200000,INDEX(Home_Data!$C$5:$F$56,V74,1)*(MAX($I74,Home_Data!$B$90)/200000)^Home_Data!$B$89,Y74*(W74/AA74)^(LN(Z74/Y74)/LN(AB74/AA74)))</f>
        <v>26196.1734475958</v>
      </c>
      <c r="AD74" s="37" t="n">
        <f aca="false">IF($K74=100,Home_Data!$B$67,IF($K74=500,Home_Data!$B$69,Home_Data!$B$68))</f>
        <v>0.991</v>
      </c>
      <c r="AE74" s="37" t="n">
        <f aca="false">IF($J74&lt;=Home_Data!$B$61,Home_Data!$B$64,IF($J74&gt;=Home_Data!$B$63,Home_Data!$B$66,IF($J74&lt;=Home_Data!$B$62,Home_Data!$B$64+(Home_Data!$B$65-Home_Data!$B$64)*(LN($J74)-LN(Home_Data!$B$61))/(LN(Home_Data!$B$62)-LN(Home_Data!$B$61)),Home_Data!$B$65+(Home_Data!$B$66-Home_Data!$B$65)*(LN($J74)-LN(Home_Data!$B$62))/(LN(Home_Data!$B$63)-LN(Home_Data!$B$62)))))</f>
        <v>1</v>
      </c>
      <c r="AF74" s="38" t="n">
        <f aca="false">IF($E74&gt;=20,Home_Data!$B$80,IF($E74&gt;=10,Home_Data!$B$79,1))</f>
        <v>1</v>
      </c>
      <c r="AG74" s="38" t="n">
        <f aca="false">IF($D74&lt;1960,Home_Data!$B$81,IF($D74&lt;1980,Home_Data!$B$82,IF($D74&gt;=2000,Home_Data!$B$83,1)))</f>
        <v>0.95</v>
      </c>
      <c r="AH74" s="38" t="n">
        <f aca="false">IF($F74="brick",Home_Data!$B$78,1)</f>
        <v>1</v>
      </c>
      <c r="AI74" s="38" t="n">
        <f aca="false">IF($G74="rental",Home_Data!$B$84,IF($G74="vacation",Home_Data!$B$85,1))</f>
        <v>1</v>
      </c>
      <c r="AJ74" s="38" t="n">
        <f aca="false">INDEX(Home_Data!$B$70:$B$73,MIN(3,MAX(0,$H74))+1)</f>
        <v>1</v>
      </c>
      <c r="AK74" s="38" t="n">
        <f aca="false">IF(INDEX(Home_Data!$H$5:$H$56,V74)="Yes",1,IF($L74="poor",Home_Data!$B$74,IF($L74="fair",Home_Data!$B$75,IF($L74="excellent",Home_Data!$B$77,Home_Data!$B$76))))</f>
        <v>2.11</v>
      </c>
      <c r="AL74" s="38" t="n">
        <f aca="false">IF(($N74=1),Home_Data!$B$86,1)*IF(($O74=1),Home_Data!$B$87,1)*IF(($P74=1),Home_Data!$B$88,1)</f>
        <v>1</v>
      </c>
      <c r="AM74" s="34" t="n">
        <f aca="false">AC74*AD74*AE74*AF74*AG74*AH74*AI74*AJ74*AK74*AL74</f>
        <v>52037.6376086243</v>
      </c>
      <c r="AN74" s="34" t="n">
        <f aca="false">AM74*EXP(-Car_Data!$B$123*Home_Data!$B$91)</f>
        <v>37900.2259699384</v>
      </c>
      <c r="AO74" s="34" t="n">
        <f aca="false">AM74*EXP(Car_Data!$B$123*Home_Data!$B$91)</f>
        <v>71448.5378011829</v>
      </c>
      <c r="AP74" s="39" t="str">
        <f aca="false">IF($U74&gt;0,IF(AND($U74&gt;=AN74,$U74&lt;=AO74),1,0),"")</f>
        <v/>
      </c>
      <c r="AQ74" s="40" t="str">
        <f aca="false">IF($U74&gt;0,$U74/AM74-1,"")</f>
        <v/>
      </c>
    </row>
    <row r="75" customFormat="false" ht="15" hidden="false" customHeight="false" outlineLevel="0" collapsed="false">
      <c r="A75" s="6" t="s">
        <v>341</v>
      </c>
      <c r="B75" s="6" t="s">
        <v>128</v>
      </c>
      <c r="C75" s="6" t="n">
        <v>3500</v>
      </c>
      <c r="D75" s="6" t="n">
        <v>1990</v>
      </c>
      <c r="E75" s="6" t="n">
        <v>5</v>
      </c>
      <c r="F75" s="6" t="s">
        <v>261</v>
      </c>
      <c r="G75" s="6" t="s">
        <v>136</v>
      </c>
      <c r="H75" s="6" t="n">
        <v>2</v>
      </c>
      <c r="I75" s="23" t="n">
        <v>890000</v>
      </c>
      <c r="J75" s="23" t="n">
        <v>2500</v>
      </c>
      <c r="K75" s="6" t="n">
        <v>300</v>
      </c>
      <c r="L75" s="6" t="s">
        <v>271</v>
      </c>
      <c r="M75" s="6" t="n">
        <v>0</v>
      </c>
      <c r="N75" s="6" t="n">
        <v>0</v>
      </c>
      <c r="O75" s="6" t="n">
        <v>0</v>
      </c>
      <c r="P75" s="6" t="n">
        <v>0</v>
      </c>
      <c r="Q75" s="6" t="n">
        <v>0</v>
      </c>
      <c r="R75" s="6" t="s">
        <v>267</v>
      </c>
      <c r="S75" s="5"/>
      <c r="T75" s="32"/>
      <c r="U75" s="17"/>
      <c r="V75" s="33" t="n">
        <f aca="false">MATCH($B75,Home_Data!$B$5:$B$56,0)</f>
        <v>9</v>
      </c>
      <c r="W75" s="34" t="n">
        <f aca="false">MIN(MAX($I75,50000),3000000)</f>
        <v>890000</v>
      </c>
      <c r="X75" s="35" t="n">
        <f aca="false">IFERROR(MIN(3,MAX(1,MATCH(W75,Home_Data!$C$4:$F$4,1))),1)</f>
        <v>3</v>
      </c>
      <c r="Y75" s="36" t="n">
        <f aca="false">INDEX(Home_Data!$C$5:$F$56,V75,X75)</f>
        <v>11161</v>
      </c>
      <c r="Z75" s="36" t="n">
        <f aca="false">INDEX(Home_Data!$C$5:$F$56,V75,X75+1)</f>
        <v>16690</v>
      </c>
      <c r="AA75" s="36" t="n">
        <f aca="false">INDEX(Home_Data!$C$4:$F$4,X75)</f>
        <v>400000</v>
      </c>
      <c r="AB75" s="36" t="n">
        <f aca="false">INDEX(Home_Data!$C$4:$F$4,X75+1)</f>
        <v>600000</v>
      </c>
      <c r="AC75" s="36" t="n">
        <f aca="false">IF($I75&lt;200000,INDEX(Home_Data!$C$5:$F$56,V75,1)*(MAX($I75,Home_Data!$B$90)/200000)^Home_Data!$B$89,Y75*(W75/AA75)^(LN(Z75/Y75)/LN(AB75/AA75)))</f>
        <v>24682.7721498904</v>
      </c>
      <c r="AD75" s="37" t="n">
        <f aca="false">IF($K75=100,Home_Data!$B$67,IF($K75=500,Home_Data!$B$69,Home_Data!$B$68))</f>
        <v>1</v>
      </c>
      <c r="AE75" s="37" t="n">
        <f aca="false">IF($J75&lt;=Home_Data!$B$61,Home_Data!$B$64,IF($J75&gt;=Home_Data!$B$63,Home_Data!$B$66,IF($J75&lt;=Home_Data!$B$62,Home_Data!$B$64+(Home_Data!$B$65-Home_Data!$B$64)*(LN($J75)-LN(Home_Data!$B$61))/(LN(Home_Data!$B$62)-LN(Home_Data!$B$61)),Home_Data!$B$65+(Home_Data!$B$66-Home_Data!$B$65)*(LN($J75)-LN(Home_Data!$B$62))/(LN(Home_Data!$B$63)-LN(Home_Data!$B$62)))))</f>
        <v>0.91</v>
      </c>
      <c r="AF75" s="38" t="n">
        <f aca="false">IF($E75&gt;=20,Home_Data!$B$80,IF($E75&gt;=10,Home_Data!$B$79,1))</f>
        <v>1</v>
      </c>
      <c r="AG75" s="38" t="n">
        <f aca="false">IF($D75&lt;1960,Home_Data!$B$81,IF($D75&lt;1980,Home_Data!$B$82,IF($D75&gt;=2000,Home_Data!$B$83,1)))</f>
        <v>1</v>
      </c>
      <c r="AH75" s="38" t="n">
        <f aca="false">IF($F75="brick",Home_Data!$B$78,1)</f>
        <v>0.98</v>
      </c>
      <c r="AI75" s="38" t="n">
        <f aca="false">IF($G75="rental",Home_Data!$B$84,IF($G75="vacation",Home_Data!$B$85,1))</f>
        <v>1</v>
      </c>
      <c r="AJ75" s="38" t="n">
        <f aca="false">INDEX(Home_Data!$B$70:$B$73,MIN(3,MAX(0,$H75))+1)</f>
        <v>1.29</v>
      </c>
      <c r="AK75" s="38" t="n">
        <f aca="false">IF(INDEX(Home_Data!$H$5:$H$56,V75)="Yes",1,IF($L75="poor",Home_Data!$B$74,IF($L75="fair",Home_Data!$B$75,IF($L75="excellent",Home_Data!$B$77,Home_Data!$B$76))))</f>
        <v>1.07</v>
      </c>
      <c r="AL75" s="38" t="n">
        <f aca="false">IF(($N75=1),Home_Data!$B$86,1)*IF(($O75=1),Home_Data!$B$87,1)*IF(($P75=1),Home_Data!$B$88,1)</f>
        <v>1</v>
      </c>
      <c r="AM75" s="34" t="n">
        <f aca="false">AC75*AD75*AE75*AF75*AG75*AH75*AI75*AJ75*AK75*AL75</f>
        <v>30383.2963893768</v>
      </c>
      <c r="AN75" s="34" t="n">
        <f aca="false">AM75*EXP(-Car_Data!$B$123*Home_Data!$B$91)</f>
        <v>22128.8638721398</v>
      </c>
      <c r="AO75" s="34" t="n">
        <f aca="false">AM75*EXP(Car_Data!$B$123*Home_Data!$B$91)</f>
        <v>41716.7688688687</v>
      </c>
      <c r="AP75" s="39" t="str">
        <f aca="false">IF($U75&gt;0,IF(AND($U75&gt;=AN75,$U75&lt;=AO75),1,0),"")</f>
        <v/>
      </c>
      <c r="AQ75" s="40" t="str">
        <f aca="false">IF($U75&gt;0,$U75/AM75-1,"")</f>
        <v/>
      </c>
    </row>
    <row r="76" customFormat="false" ht="15" hidden="false" customHeight="false" outlineLevel="0" collapsed="false">
      <c r="A76" s="6" t="s">
        <v>342</v>
      </c>
      <c r="B76" s="6" t="s">
        <v>128</v>
      </c>
      <c r="C76" s="6" t="n">
        <v>3000</v>
      </c>
      <c r="D76" s="6" t="n">
        <v>1987</v>
      </c>
      <c r="E76" s="6" t="n">
        <v>18</v>
      </c>
      <c r="F76" s="6" t="s">
        <v>133</v>
      </c>
      <c r="G76" s="6" t="s">
        <v>136</v>
      </c>
      <c r="H76" s="6" t="n">
        <v>0</v>
      </c>
      <c r="I76" s="23" t="n">
        <v>680000</v>
      </c>
      <c r="J76" s="23" t="n">
        <v>1000</v>
      </c>
      <c r="K76" s="6" t="n">
        <v>300</v>
      </c>
      <c r="L76" s="6" t="s">
        <v>271</v>
      </c>
      <c r="M76" s="6" t="n">
        <v>1</v>
      </c>
      <c r="N76" s="6" t="n">
        <v>1</v>
      </c>
      <c r="O76" s="6" t="n">
        <v>0</v>
      </c>
      <c r="P76" s="6" t="n">
        <v>0</v>
      </c>
      <c r="Q76" s="6" t="n">
        <v>0</v>
      </c>
      <c r="R76" s="6" t="s">
        <v>343</v>
      </c>
      <c r="S76" s="5"/>
      <c r="T76" s="32"/>
      <c r="U76" s="17"/>
      <c r="V76" s="33" t="n">
        <f aca="false">MATCH($B76,Home_Data!$B$5:$B$56,0)</f>
        <v>9</v>
      </c>
      <c r="W76" s="34" t="n">
        <f aca="false">MIN(MAX($I76,50000),3000000)</f>
        <v>680000</v>
      </c>
      <c r="X76" s="35" t="n">
        <f aca="false">IFERROR(MIN(3,MAX(1,MATCH(W76,Home_Data!$C$4:$F$4,1))),1)</f>
        <v>3</v>
      </c>
      <c r="Y76" s="36" t="n">
        <f aca="false">INDEX(Home_Data!$C$5:$F$56,V76,X76)</f>
        <v>11161</v>
      </c>
      <c r="Z76" s="36" t="n">
        <f aca="false">INDEX(Home_Data!$C$5:$F$56,V76,X76+1)</f>
        <v>16690</v>
      </c>
      <c r="AA76" s="36" t="n">
        <f aca="false">INDEX(Home_Data!$C$4:$F$4,X76)</f>
        <v>400000</v>
      </c>
      <c r="AB76" s="36" t="n">
        <f aca="false">INDEX(Home_Data!$C$4:$F$4,X76+1)</f>
        <v>600000</v>
      </c>
      <c r="AC76" s="36" t="n">
        <f aca="false">IF($I76&lt;200000,INDEX(Home_Data!$C$5:$F$56,V76,1)*(MAX($I76,Home_Data!$B$90)/200000)^Home_Data!$B$89,Y76*(W76/AA76)^(LN(Z76/Y76)/LN(AB76/AA76)))</f>
        <v>18897.3524023145</v>
      </c>
      <c r="AD76" s="37" t="n">
        <f aca="false">IF($K76=100,Home_Data!$B$67,IF($K76=500,Home_Data!$B$69,Home_Data!$B$68))</f>
        <v>1</v>
      </c>
      <c r="AE76" s="37" t="n">
        <f aca="false">IF($J76&lt;=Home_Data!$B$61,Home_Data!$B$64,IF($J76&gt;=Home_Data!$B$63,Home_Data!$B$66,IF($J76&lt;=Home_Data!$B$62,Home_Data!$B$64+(Home_Data!$B$65-Home_Data!$B$64)*(LN($J76)-LN(Home_Data!$B$61))/(LN(Home_Data!$B$62)-LN(Home_Data!$B$61)),Home_Data!$B$65+(Home_Data!$B$66-Home_Data!$B$65)*(LN($J76)-LN(Home_Data!$B$62))/(LN(Home_Data!$B$63)-LN(Home_Data!$B$62)))))</f>
        <v>1</v>
      </c>
      <c r="AF76" s="38" t="n">
        <f aca="false">IF($E76&gt;=20,Home_Data!$B$80,IF($E76&gt;=10,Home_Data!$B$79,1))</f>
        <v>1.1</v>
      </c>
      <c r="AG76" s="38" t="n">
        <f aca="false">IF($D76&lt;1960,Home_Data!$B$81,IF($D76&lt;1980,Home_Data!$B$82,IF($D76&gt;=2000,Home_Data!$B$83,1)))</f>
        <v>1</v>
      </c>
      <c r="AH76" s="38" t="n">
        <f aca="false">IF($F76="brick",Home_Data!$B$78,1)</f>
        <v>1</v>
      </c>
      <c r="AI76" s="38" t="n">
        <f aca="false">IF($G76="rental",Home_Data!$B$84,IF($G76="vacation",Home_Data!$B$85,1))</f>
        <v>1</v>
      </c>
      <c r="AJ76" s="38" t="n">
        <f aca="false">INDEX(Home_Data!$B$70:$B$73,MIN(3,MAX(0,$H76))+1)</f>
        <v>1</v>
      </c>
      <c r="AK76" s="38" t="n">
        <f aca="false">IF(INDEX(Home_Data!$H$5:$H$56,V76)="Yes",1,IF($L76="poor",Home_Data!$B$74,IF($L76="fair",Home_Data!$B$75,IF($L76="excellent",Home_Data!$B$77,Home_Data!$B$76))))</f>
        <v>1.07</v>
      </c>
      <c r="AL76" s="38" t="n">
        <f aca="false">IF(($N76=1),Home_Data!$B$86,1)*IF(($O76=1),Home_Data!$B$87,1)*IF(($P76=1),Home_Data!$B$88,1)</f>
        <v>1.15</v>
      </c>
      <c r="AM76" s="34" t="n">
        <f aca="false">AC76*AD76*AE76*AF76*AG76*AH76*AI76*AJ76*AK76*AL76</f>
        <v>25578.5113441527</v>
      </c>
      <c r="AN76" s="34" t="n">
        <f aca="false">AM76*EXP(-Car_Data!$B$123*Home_Data!$B$91)</f>
        <v>18629.4267854572</v>
      </c>
      <c r="AO76" s="34" t="n">
        <f aca="false">AM76*EXP(Car_Data!$B$123*Home_Data!$B$91)</f>
        <v>35119.7194695056</v>
      </c>
      <c r="AP76" s="39" t="str">
        <f aca="false">IF($U76&gt;0,IF(AND($U76&gt;=AN76,$U76&lt;=AO76),1,0),"")</f>
        <v/>
      </c>
      <c r="AQ76" s="40" t="str">
        <f aca="false">IF($U76&gt;0,$U76/AM76-1,"")</f>
        <v/>
      </c>
    </row>
    <row r="77" customFormat="false" ht="15" hidden="false" customHeight="false" outlineLevel="0" collapsed="false">
      <c r="A77" s="6" t="s">
        <v>344</v>
      </c>
      <c r="B77" s="6" t="s">
        <v>128</v>
      </c>
      <c r="C77" s="6" t="n">
        <v>3200</v>
      </c>
      <c r="D77" s="6" t="n">
        <v>2021</v>
      </c>
      <c r="E77" s="6" t="n">
        <v>0</v>
      </c>
      <c r="F77" s="6" t="s">
        <v>133</v>
      </c>
      <c r="G77" s="6" t="s">
        <v>136</v>
      </c>
      <c r="H77" s="6" t="n">
        <v>0</v>
      </c>
      <c r="I77" s="23" t="n">
        <v>645000</v>
      </c>
      <c r="J77" s="23" t="n">
        <v>2500</v>
      </c>
      <c r="K77" s="6" t="n">
        <v>300</v>
      </c>
      <c r="L77" s="6" t="s">
        <v>284</v>
      </c>
      <c r="M77" s="6" t="n">
        <v>1</v>
      </c>
      <c r="N77" s="6" t="n">
        <v>0</v>
      </c>
      <c r="O77" s="6" t="n">
        <v>0</v>
      </c>
      <c r="P77" s="6" t="n">
        <v>0</v>
      </c>
      <c r="Q77" s="6" t="n">
        <v>0</v>
      </c>
      <c r="R77" s="6" t="s">
        <v>285</v>
      </c>
      <c r="S77" s="5"/>
      <c r="T77" s="32"/>
      <c r="U77" s="17"/>
      <c r="V77" s="33" t="n">
        <f aca="false">MATCH($B77,Home_Data!$B$5:$B$56,0)</f>
        <v>9</v>
      </c>
      <c r="W77" s="34" t="n">
        <f aca="false">MIN(MAX($I77,50000),3000000)</f>
        <v>645000</v>
      </c>
      <c r="X77" s="35" t="n">
        <f aca="false">IFERROR(MIN(3,MAX(1,MATCH(W77,Home_Data!$C$4:$F$4,1))),1)</f>
        <v>3</v>
      </c>
      <c r="Y77" s="36" t="n">
        <f aca="false">INDEX(Home_Data!$C$5:$F$56,V77,X77)</f>
        <v>11161</v>
      </c>
      <c r="Z77" s="36" t="n">
        <f aca="false">INDEX(Home_Data!$C$5:$F$56,V77,X77+1)</f>
        <v>16690</v>
      </c>
      <c r="AA77" s="36" t="n">
        <f aca="false">INDEX(Home_Data!$C$4:$F$4,X77)</f>
        <v>400000</v>
      </c>
      <c r="AB77" s="36" t="n">
        <f aca="false">INDEX(Home_Data!$C$4:$F$4,X77+1)</f>
        <v>600000</v>
      </c>
      <c r="AC77" s="36" t="n">
        <f aca="false">IF($I77&lt;200000,INDEX(Home_Data!$C$5:$F$56,V77,1)*(MAX($I77,Home_Data!$B$90)/200000)^Home_Data!$B$89,Y77*(W77/AA77)^(LN(Z77/Y77)/LN(AB77/AA77)))</f>
        <v>17931.8931967899</v>
      </c>
      <c r="AD77" s="37" t="n">
        <f aca="false">IF($K77=100,Home_Data!$B$67,IF($K77=500,Home_Data!$B$69,Home_Data!$B$68))</f>
        <v>1</v>
      </c>
      <c r="AE77" s="37" t="n">
        <f aca="false">IF($J77&lt;=Home_Data!$B$61,Home_Data!$B$64,IF($J77&gt;=Home_Data!$B$63,Home_Data!$B$66,IF($J77&lt;=Home_Data!$B$62,Home_Data!$B$64+(Home_Data!$B$65-Home_Data!$B$64)*(LN($J77)-LN(Home_Data!$B$61))/(LN(Home_Data!$B$62)-LN(Home_Data!$B$61)),Home_Data!$B$65+(Home_Data!$B$66-Home_Data!$B$65)*(LN($J77)-LN(Home_Data!$B$62))/(LN(Home_Data!$B$63)-LN(Home_Data!$B$62)))))</f>
        <v>0.91</v>
      </c>
      <c r="AF77" s="38" t="n">
        <f aca="false">IF($E77&gt;=20,Home_Data!$B$80,IF($E77&gt;=10,Home_Data!$B$79,1))</f>
        <v>1</v>
      </c>
      <c r="AG77" s="38" t="n">
        <f aca="false">IF($D77&lt;1960,Home_Data!$B$81,IF($D77&lt;1980,Home_Data!$B$82,IF($D77&gt;=2000,Home_Data!$B$83,1)))</f>
        <v>0.95</v>
      </c>
      <c r="AH77" s="38" t="n">
        <f aca="false">IF($F77="brick",Home_Data!$B$78,1)</f>
        <v>1</v>
      </c>
      <c r="AI77" s="38" t="n">
        <f aca="false">IF($G77="rental",Home_Data!$B$84,IF($G77="vacation",Home_Data!$B$85,1))</f>
        <v>1</v>
      </c>
      <c r="AJ77" s="38" t="n">
        <f aca="false">INDEX(Home_Data!$B$70:$B$73,MIN(3,MAX(0,$H77))+1)</f>
        <v>1</v>
      </c>
      <c r="AK77" s="38" t="n">
        <f aca="false">IF(INDEX(Home_Data!$H$5:$H$56,V77)="Yes",1,IF($L77="poor",Home_Data!$B$74,IF($L77="fair",Home_Data!$B$75,IF($L77="excellent",Home_Data!$B$77,Home_Data!$B$76))))</f>
        <v>2.11</v>
      </c>
      <c r="AL77" s="38" t="n">
        <f aca="false">IF(($N77=1),Home_Data!$B$86,1)*IF(($O77=1),Home_Data!$B$87,1)*IF(($P77=1),Home_Data!$B$88,1)</f>
        <v>1</v>
      </c>
      <c r="AM77" s="34" t="n">
        <f aca="false">AC77*AD77*AE77*AF77*AG77*AH77*AI77*AJ77*AK77*AL77</f>
        <v>32709.4767207984</v>
      </c>
      <c r="AN77" s="34" t="n">
        <f aca="false">AM77*EXP(-Car_Data!$B$123*Home_Data!$B$91)</f>
        <v>23823.0752979309</v>
      </c>
      <c r="AO77" s="34" t="n">
        <f aca="false">AM77*EXP(Car_Data!$B$123*Home_Data!$B$91)</f>
        <v>44910.6529685267</v>
      </c>
      <c r="AP77" s="39" t="str">
        <f aca="false">IF($U77&gt;0,IF(AND($U77&gt;=AN77,$U77&lt;=AO77),1,0),"")</f>
        <v/>
      </c>
      <c r="AQ77" s="40" t="str">
        <f aca="false">IF($U77&gt;0,$U77/AM77-1,"")</f>
        <v/>
      </c>
    </row>
    <row r="78" customFormat="false" ht="15" hidden="false" customHeight="false" outlineLevel="0" collapsed="false">
      <c r="A78" s="6" t="s">
        <v>345</v>
      </c>
      <c r="B78" s="6" t="s">
        <v>128</v>
      </c>
      <c r="C78" s="6" t="n">
        <v>3350</v>
      </c>
      <c r="D78" s="6" t="n">
        <v>2002</v>
      </c>
      <c r="E78" s="6" t="n">
        <v>1</v>
      </c>
      <c r="F78" s="6" t="s">
        <v>133</v>
      </c>
      <c r="G78" s="6" t="s">
        <v>136</v>
      </c>
      <c r="H78" s="6" t="n">
        <v>0</v>
      </c>
      <c r="I78" s="23" t="n">
        <v>845000</v>
      </c>
      <c r="J78" s="23" t="n">
        <v>5000</v>
      </c>
      <c r="K78" s="6" t="n">
        <v>300</v>
      </c>
      <c r="L78" s="6" t="s">
        <v>72</v>
      </c>
      <c r="M78" s="6" t="n">
        <v>0</v>
      </c>
      <c r="N78" s="6" t="n">
        <v>0</v>
      </c>
      <c r="O78" s="6" t="n">
        <v>0</v>
      </c>
      <c r="P78" s="6" t="n">
        <v>0</v>
      </c>
      <c r="Q78" s="6" t="n">
        <v>0</v>
      </c>
      <c r="R78" s="6" t="s">
        <v>267</v>
      </c>
      <c r="S78" s="5"/>
      <c r="T78" s="32"/>
      <c r="U78" s="17"/>
      <c r="V78" s="33" t="n">
        <f aca="false">MATCH($B78,Home_Data!$B$5:$B$56,0)</f>
        <v>9</v>
      </c>
      <c r="W78" s="34" t="n">
        <f aca="false">MIN(MAX($I78,50000),3000000)</f>
        <v>845000</v>
      </c>
      <c r="X78" s="35" t="n">
        <f aca="false">IFERROR(MIN(3,MAX(1,MATCH(W78,Home_Data!$C$4:$F$4,1))),1)</f>
        <v>3</v>
      </c>
      <c r="Y78" s="36" t="n">
        <f aca="false">INDEX(Home_Data!$C$5:$F$56,V78,X78)</f>
        <v>11161</v>
      </c>
      <c r="Z78" s="36" t="n">
        <f aca="false">INDEX(Home_Data!$C$5:$F$56,V78,X78+1)</f>
        <v>16690</v>
      </c>
      <c r="AA78" s="36" t="n">
        <f aca="false">INDEX(Home_Data!$C$4:$F$4,X78)</f>
        <v>400000</v>
      </c>
      <c r="AB78" s="36" t="n">
        <f aca="false">INDEX(Home_Data!$C$4:$F$4,X78+1)</f>
        <v>600000</v>
      </c>
      <c r="AC78" s="36" t="n">
        <f aca="false">IF($I78&lt;200000,INDEX(Home_Data!$C$5:$F$56,V78,1)*(MAX($I78,Home_Data!$B$90)/200000)^Home_Data!$B$89,Y78*(W78/AA78)^(LN(Z78/Y78)/LN(AB78/AA78)))</f>
        <v>23444.0077300755</v>
      </c>
      <c r="AD78" s="37" t="n">
        <f aca="false">IF($K78=100,Home_Data!$B$67,IF($K78=500,Home_Data!$B$69,Home_Data!$B$68))</f>
        <v>1</v>
      </c>
      <c r="AE78" s="37" t="n">
        <f aca="false">IF($J78&lt;=Home_Data!$B$61,Home_Data!$B$64,IF($J78&gt;=Home_Data!$B$63,Home_Data!$B$66,IF($J78&lt;=Home_Data!$B$62,Home_Data!$B$64+(Home_Data!$B$65-Home_Data!$B$64)*(LN($J78)-LN(Home_Data!$B$61))/(LN(Home_Data!$B$62)-LN(Home_Data!$B$61)),Home_Data!$B$65+(Home_Data!$B$66-Home_Data!$B$65)*(LN($J78)-LN(Home_Data!$B$62))/(LN(Home_Data!$B$63)-LN(Home_Data!$B$62)))))</f>
        <v>0.84</v>
      </c>
      <c r="AF78" s="38" t="n">
        <f aca="false">IF($E78&gt;=20,Home_Data!$B$80,IF($E78&gt;=10,Home_Data!$B$79,1))</f>
        <v>1</v>
      </c>
      <c r="AG78" s="38" t="n">
        <f aca="false">IF($D78&lt;1960,Home_Data!$B$81,IF($D78&lt;1980,Home_Data!$B$82,IF($D78&gt;=2000,Home_Data!$B$83,1)))</f>
        <v>0.95</v>
      </c>
      <c r="AH78" s="38" t="n">
        <f aca="false">IF($F78="brick",Home_Data!$B$78,1)</f>
        <v>1</v>
      </c>
      <c r="AI78" s="38" t="n">
        <f aca="false">IF($G78="rental",Home_Data!$B$84,IF($G78="vacation",Home_Data!$B$85,1))</f>
        <v>1</v>
      </c>
      <c r="AJ78" s="38" t="n">
        <f aca="false">INDEX(Home_Data!$B$70:$B$73,MIN(3,MAX(0,$H78))+1)</f>
        <v>1</v>
      </c>
      <c r="AK78" s="38" t="n">
        <f aca="false">IF(INDEX(Home_Data!$H$5:$H$56,V78)="Yes",1,IF($L78="poor",Home_Data!$B$74,IF($L78="fair",Home_Data!$B$75,IF($L78="excellent",Home_Data!$B$77,Home_Data!$B$76))))</f>
        <v>1</v>
      </c>
      <c r="AL78" s="38" t="n">
        <f aca="false">IF(($N78=1),Home_Data!$B$86,1)*IF(($O78=1),Home_Data!$B$87,1)*IF(($P78=1),Home_Data!$B$88,1)</f>
        <v>1</v>
      </c>
      <c r="AM78" s="34" t="n">
        <f aca="false">AC78*AD78*AE78*AF78*AG78*AH78*AI78*AJ78*AK78*AL78</f>
        <v>18708.3181686002</v>
      </c>
      <c r="AN78" s="34" t="n">
        <f aca="false">AM78*EXP(-Car_Data!$B$123*Home_Data!$B$91)</f>
        <v>13625.7047531677</v>
      </c>
      <c r="AO78" s="34" t="n">
        <f aca="false">AM78*EXP(Car_Data!$B$123*Home_Data!$B$91)</f>
        <v>25686.8305190752</v>
      </c>
      <c r="AP78" s="39" t="str">
        <f aca="false">IF($U78&gt;0,IF(AND($U78&gt;=AN78,$U78&lt;=AO78),1,0),"")</f>
        <v/>
      </c>
      <c r="AQ78" s="40" t="str">
        <f aca="false">IF($U78&gt;0,$U78/AM78-1,"")</f>
        <v/>
      </c>
    </row>
    <row r="79" customFormat="false" ht="15" hidden="false" customHeight="false" outlineLevel="0" collapsed="false">
      <c r="A79" s="6" t="s">
        <v>346</v>
      </c>
      <c r="B79" s="6" t="s">
        <v>128</v>
      </c>
      <c r="C79" s="6" t="n">
        <v>1150</v>
      </c>
      <c r="D79" s="6" t="n">
        <v>1992</v>
      </c>
      <c r="E79" s="6" t="n">
        <v>3</v>
      </c>
      <c r="F79" s="6" t="s">
        <v>261</v>
      </c>
      <c r="G79" s="6" t="s">
        <v>136</v>
      </c>
      <c r="H79" s="6" t="n">
        <v>0</v>
      </c>
      <c r="I79" s="23" t="n">
        <v>325000</v>
      </c>
      <c r="J79" s="23" t="n">
        <v>1000</v>
      </c>
      <c r="K79" s="6" t="n">
        <v>300</v>
      </c>
      <c r="L79" s="6" t="s">
        <v>72</v>
      </c>
      <c r="M79" s="6" t="n">
        <v>0</v>
      </c>
      <c r="N79" s="6" t="n">
        <v>1</v>
      </c>
      <c r="O79" s="6" t="n">
        <v>0</v>
      </c>
      <c r="P79" s="6" t="n">
        <v>1</v>
      </c>
      <c r="Q79" s="6" t="n">
        <v>0</v>
      </c>
      <c r="R79" s="6" t="s">
        <v>269</v>
      </c>
      <c r="S79" s="5"/>
      <c r="T79" s="32"/>
      <c r="U79" s="17"/>
      <c r="V79" s="33" t="n">
        <f aca="false">MATCH($B79,Home_Data!$B$5:$B$56,0)</f>
        <v>9</v>
      </c>
      <c r="W79" s="34" t="n">
        <f aca="false">MIN(MAX($I79,50000),3000000)</f>
        <v>325000</v>
      </c>
      <c r="X79" s="35" t="n">
        <f aca="false">IFERROR(MIN(3,MAX(1,MATCH(W79,Home_Data!$C$4:$F$4,1))),1)</f>
        <v>2</v>
      </c>
      <c r="Y79" s="36" t="n">
        <f aca="false">INDEX(Home_Data!$C$5:$F$56,V79,X79)</f>
        <v>8471</v>
      </c>
      <c r="Z79" s="36" t="n">
        <f aca="false">INDEX(Home_Data!$C$5:$F$56,V79,X79+1)</f>
        <v>11161</v>
      </c>
      <c r="AA79" s="36" t="n">
        <f aca="false">INDEX(Home_Data!$C$4:$F$4,X79)</f>
        <v>300000</v>
      </c>
      <c r="AB79" s="36" t="n">
        <f aca="false">INDEX(Home_Data!$C$4:$F$4,X79+1)</f>
        <v>400000</v>
      </c>
      <c r="AC79" s="36" t="n">
        <f aca="false">IF($I79&lt;200000,INDEX(Home_Data!$C$5:$F$56,V79,1)*(MAX($I79,Home_Data!$B$90)/200000)^Home_Data!$B$89,Y79*(W79/AA79)^(LN(Z79/Y79)/LN(AB79/AA79)))</f>
        <v>9146.56944246217</v>
      </c>
      <c r="AD79" s="37" t="n">
        <f aca="false">IF($K79=100,Home_Data!$B$67,IF($K79=500,Home_Data!$B$69,Home_Data!$B$68))</f>
        <v>1</v>
      </c>
      <c r="AE79" s="37" t="n">
        <f aca="false">IF($J79&lt;=Home_Data!$B$61,Home_Data!$B$64,IF($J79&gt;=Home_Data!$B$63,Home_Data!$B$66,IF($J79&lt;=Home_Data!$B$62,Home_Data!$B$64+(Home_Data!$B$65-Home_Data!$B$64)*(LN($J79)-LN(Home_Data!$B$61))/(LN(Home_Data!$B$62)-LN(Home_Data!$B$61)),Home_Data!$B$65+(Home_Data!$B$66-Home_Data!$B$65)*(LN($J79)-LN(Home_Data!$B$62))/(LN(Home_Data!$B$63)-LN(Home_Data!$B$62)))))</f>
        <v>1</v>
      </c>
      <c r="AF79" s="38" t="n">
        <f aca="false">IF($E79&gt;=20,Home_Data!$B$80,IF($E79&gt;=10,Home_Data!$B$79,1))</f>
        <v>1</v>
      </c>
      <c r="AG79" s="38" t="n">
        <f aca="false">IF($D79&lt;1960,Home_Data!$B$81,IF($D79&lt;1980,Home_Data!$B$82,IF($D79&gt;=2000,Home_Data!$B$83,1)))</f>
        <v>1</v>
      </c>
      <c r="AH79" s="38" t="n">
        <f aca="false">IF($F79="brick",Home_Data!$B$78,1)</f>
        <v>0.98</v>
      </c>
      <c r="AI79" s="38" t="n">
        <f aca="false">IF($G79="rental",Home_Data!$B$84,IF($G79="vacation",Home_Data!$B$85,1))</f>
        <v>1</v>
      </c>
      <c r="AJ79" s="38" t="n">
        <f aca="false">INDEX(Home_Data!$B$70:$B$73,MIN(3,MAX(0,$H79))+1)</f>
        <v>1</v>
      </c>
      <c r="AK79" s="38" t="n">
        <f aca="false">IF(INDEX(Home_Data!$H$5:$H$56,V79)="Yes",1,IF($L79="poor",Home_Data!$B$74,IF($L79="fair",Home_Data!$B$75,IF($L79="excellent",Home_Data!$B$77,Home_Data!$B$76))))</f>
        <v>1</v>
      </c>
      <c r="AL79" s="38" t="n">
        <f aca="false">IF(($N79=1),Home_Data!$B$86,1)*IF(($O79=1),Home_Data!$B$87,1)*IF(($P79=1),Home_Data!$B$88,1)</f>
        <v>1.242</v>
      </c>
      <c r="AM79" s="34" t="n">
        <f aca="false">AC79*AD79*AE79*AF79*AG79*AH79*AI79*AJ79*AK79*AL79</f>
        <v>11132.8384625873</v>
      </c>
      <c r="AN79" s="34" t="n">
        <f aca="false">AM79*EXP(-Car_Data!$B$123*Home_Data!$B$91)</f>
        <v>8108.30608015436</v>
      </c>
      <c r="AO79" s="34" t="n">
        <f aca="false">AM79*EXP(Car_Data!$B$123*Home_Data!$B$91)</f>
        <v>15285.5714879109</v>
      </c>
      <c r="AP79" s="39" t="str">
        <f aca="false">IF($U79&gt;0,IF(AND($U79&gt;=AN79,$U79&lt;=AO79),1,0),"")</f>
        <v/>
      </c>
      <c r="AQ79" s="40" t="str">
        <f aca="false">IF($U79&gt;0,$U79/AM79-1,"")</f>
        <v/>
      </c>
    </row>
    <row r="80" customFormat="false" ht="15" hidden="false" customHeight="false" outlineLevel="0" collapsed="false">
      <c r="A80" s="6" t="s">
        <v>347</v>
      </c>
      <c r="B80" s="6" t="s">
        <v>128</v>
      </c>
      <c r="C80" s="6" t="n">
        <v>2400</v>
      </c>
      <c r="D80" s="6" t="n">
        <v>1978</v>
      </c>
      <c r="E80" s="6" t="n">
        <v>7</v>
      </c>
      <c r="F80" s="6" t="s">
        <v>261</v>
      </c>
      <c r="G80" s="6" t="s">
        <v>136</v>
      </c>
      <c r="H80" s="6" t="n">
        <v>1</v>
      </c>
      <c r="I80" s="23" t="n">
        <v>655000</v>
      </c>
      <c r="J80" s="23" t="n">
        <v>1000</v>
      </c>
      <c r="K80" s="6" t="n">
        <v>300</v>
      </c>
      <c r="L80" s="6" t="s">
        <v>72</v>
      </c>
      <c r="M80" s="6" t="n">
        <v>0</v>
      </c>
      <c r="N80" s="6" t="n">
        <v>0</v>
      </c>
      <c r="O80" s="6" t="n">
        <v>0</v>
      </c>
      <c r="P80" s="6" t="n">
        <v>0</v>
      </c>
      <c r="Q80" s="6" t="n">
        <v>0</v>
      </c>
      <c r="R80" s="6" t="s">
        <v>267</v>
      </c>
      <c r="S80" s="5"/>
      <c r="T80" s="32"/>
      <c r="U80" s="17"/>
      <c r="V80" s="33" t="n">
        <f aca="false">MATCH($B80,Home_Data!$B$5:$B$56,0)</f>
        <v>9</v>
      </c>
      <c r="W80" s="34" t="n">
        <f aca="false">MIN(MAX($I80,50000),3000000)</f>
        <v>655000</v>
      </c>
      <c r="X80" s="35" t="n">
        <f aca="false">IFERROR(MIN(3,MAX(1,MATCH(W80,Home_Data!$C$4:$F$4,1))),1)</f>
        <v>3</v>
      </c>
      <c r="Y80" s="36" t="n">
        <f aca="false">INDEX(Home_Data!$C$5:$F$56,V80,X80)</f>
        <v>11161</v>
      </c>
      <c r="Z80" s="36" t="n">
        <f aca="false">INDEX(Home_Data!$C$5:$F$56,V80,X80+1)</f>
        <v>16690</v>
      </c>
      <c r="AA80" s="36" t="n">
        <f aca="false">INDEX(Home_Data!$C$4:$F$4,X80)</f>
        <v>400000</v>
      </c>
      <c r="AB80" s="36" t="n">
        <f aca="false">INDEX(Home_Data!$C$4:$F$4,X80+1)</f>
        <v>600000</v>
      </c>
      <c r="AC80" s="36" t="n">
        <f aca="false">IF($I80&lt;200000,INDEX(Home_Data!$C$5:$F$56,V80,1)*(MAX($I80,Home_Data!$B$90)/200000)^Home_Data!$B$89,Y80*(W80/AA80)^(LN(Z80/Y80)/LN(AB80/AA80)))</f>
        <v>18207.7783873888</v>
      </c>
      <c r="AD80" s="37" t="n">
        <f aca="false">IF($K80=100,Home_Data!$B$67,IF($K80=500,Home_Data!$B$69,Home_Data!$B$68))</f>
        <v>1</v>
      </c>
      <c r="AE80" s="37" t="n">
        <f aca="false">IF($J80&lt;=Home_Data!$B$61,Home_Data!$B$64,IF($J80&gt;=Home_Data!$B$63,Home_Data!$B$66,IF($J80&lt;=Home_Data!$B$62,Home_Data!$B$64+(Home_Data!$B$65-Home_Data!$B$64)*(LN($J80)-LN(Home_Data!$B$61))/(LN(Home_Data!$B$62)-LN(Home_Data!$B$61)),Home_Data!$B$65+(Home_Data!$B$66-Home_Data!$B$65)*(LN($J80)-LN(Home_Data!$B$62))/(LN(Home_Data!$B$63)-LN(Home_Data!$B$62)))))</f>
        <v>1</v>
      </c>
      <c r="AF80" s="38" t="n">
        <f aca="false">IF($E80&gt;=20,Home_Data!$B$80,IF($E80&gt;=10,Home_Data!$B$79,1))</f>
        <v>1</v>
      </c>
      <c r="AG80" s="38" t="n">
        <f aca="false">IF($D80&lt;1960,Home_Data!$B$81,IF($D80&lt;1980,Home_Data!$B$82,IF($D80&gt;=2000,Home_Data!$B$83,1)))</f>
        <v>1.08</v>
      </c>
      <c r="AH80" s="38" t="n">
        <f aca="false">IF($F80="brick",Home_Data!$B$78,1)</f>
        <v>0.98</v>
      </c>
      <c r="AI80" s="38" t="n">
        <f aca="false">IF($G80="rental",Home_Data!$B$84,IF($G80="vacation",Home_Data!$B$85,1))</f>
        <v>1</v>
      </c>
      <c r="AJ80" s="38" t="n">
        <f aca="false">INDEX(Home_Data!$B$70:$B$73,MIN(3,MAX(0,$H80))+1)</f>
        <v>1.16</v>
      </c>
      <c r="AK80" s="38" t="n">
        <f aca="false">IF(INDEX(Home_Data!$H$5:$H$56,V80)="Yes",1,IF($L80="poor",Home_Data!$B$74,IF($L80="fair",Home_Data!$B$75,IF($L80="excellent",Home_Data!$B$77,Home_Data!$B$76))))</f>
        <v>1</v>
      </c>
      <c r="AL80" s="38" t="n">
        <f aca="false">IF(($N80=1),Home_Data!$B$86,1)*IF(($O80=1),Home_Data!$B$87,1)*IF(($P80=1),Home_Data!$B$88,1)</f>
        <v>1</v>
      </c>
      <c r="AM80" s="34" t="n">
        <f aca="false">AC80*AD80*AE80*AF80*AG80*AH80*AI80*AJ80*AK80*AL80</f>
        <v>22354.4906684463</v>
      </c>
      <c r="AN80" s="34" t="n">
        <f aca="false">AM80*EXP(-Car_Data!$B$123*Home_Data!$B$91)</f>
        <v>16281.2972823458</v>
      </c>
      <c r="AO80" s="34" t="n">
        <f aca="false">AM80*EXP(Car_Data!$B$123*Home_Data!$B$91)</f>
        <v>30693.0857154431</v>
      </c>
      <c r="AP80" s="39" t="str">
        <f aca="false">IF($U80&gt;0,IF(AND($U80&gt;=AN80,$U80&lt;=AO80),1,0),"")</f>
        <v/>
      </c>
      <c r="AQ80" s="40" t="str">
        <f aca="false">IF($U80&gt;0,$U80/AM80-1,"")</f>
        <v/>
      </c>
    </row>
    <row r="81" customFormat="false" ht="15" hidden="false" customHeight="false" outlineLevel="0" collapsed="false">
      <c r="A81" s="6" t="s">
        <v>348</v>
      </c>
      <c r="B81" s="6" t="s">
        <v>128</v>
      </c>
      <c r="C81" s="6" t="n">
        <v>1700</v>
      </c>
      <c r="D81" s="6" t="n">
        <v>2020</v>
      </c>
      <c r="E81" s="6" t="n">
        <v>0</v>
      </c>
      <c r="F81" s="6" t="s">
        <v>133</v>
      </c>
      <c r="G81" s="6" t="s">
        <v>136</v>
      </c>
      <c r="H81" s="6" t="n">
        <v>0</v>
      </c>
      <c r="I81" s="23" t="n">
        <v>465000</v>
      </c>
      <c r="J81" s="23" t="n">
        <v>2500</v>
      </c>
      <c r="K81" s="6" t="n">
        <v>300</v>
      </c>
      <c r="L81" s="6" t="s">
        <v>72</v>
      </c>
      <c r="M81" s="6" t="n">
        <v>1</v>
      </c>
      <c r="N81" s="6" t="n">
        <v>1</v>
      </c>
      <c r="O81" s="6" t="n">
        <v>0</v>
      </c>
      <c r="P81" s="6" t="n">
        <v>0</v>
      </c>
      <c r="Q81" s="6" t="n">
        <v>0</v>
      </c>
      <c r="R81" s="6" t="s">
        <v>343</v>
      </c>
      <c r="S81" s="5"/>
      <c r="T81" s="32"/>
      <c r="U81" s="17"/>
      <c r="V81" s="33" t="n">
        <f aca="false">MATCH($B81,Home_Data!$B$5:$B$56,0)</f>
        <v>9</v>
      </c>
      <c r="W81" s="34" t="n">
        <f aca="false">MIN(MAX($I81,50000),3000000)</f>
        <v>465000</v>
      </c>
      <c r="X81" s="35" t="n">
        <f aca="false">IFERROR(MIN(3,MAX(1,MATCH(W81,Home_Data!$C$4:$F$4,1))),1)</f>
        <v>3</v>
      </c>
      <c r="Y81" s="36" t="n">
        <f aca="false">INDEX(Home_Data!$C$5:$F$56,V81,X81)</f>
        <v>11161</v>
      </c>
      <c r="Z81" s="36" t="n">
        <f aca="false">INDEX(Home_Data!$C$5:$F$56,V81,X81+1)</f>
        <v>16690</v>
      </c>
      <c r="AA81" s="36" t="n">
        <f aca="false">INDEX(Home_Data!$C$4:$F$4,X81)</f>
        <v>400000</v>
      </c>
      <c r="AB81" s="36" t="n">
        <f aca="false">INDEX(Home_Data!$C$4:$F$4,X81+1)</f>
        <v>600000</v>
      </c>
      <c r="AC81" s="36" t="n">
        <f aca="false">IF($I81&lt;200000,INDEX(Home_Data!$C$5:$F$56,V81,1)*(MAX($I81,Home_Data!$B$90)/200000)^Home_Data!$B$89,Y81*(W81/AA81)^(LN(Z81/Y81)/LN(AB81/AA81)))</f>
        <v>12959.8263040019</v>
      </c>
      <c r="AD81" s="37" t="n">
        <f aca="false">IF($K81=100,Home_Data!$B$67,IF($K81=500,Home_Data!$B$69,Home_Data!$B$68))</f>
        <v>1</v>
      </c>
      <c r="AE81" s="37" t="n">
        <f aca="false">IF($J81&lt;=Home_Data!$B$61,Home_Data!$B$64,IF($J81&gt;=Home_Data!$B$63,Home_Data!$B$66,IF($J81&lt;=Home_Data!$B$62,Home_Data!$B$64+(Home_Data!$B$65-Home_Data!$B$64)*(LN($J81)-LN(Home_Data!$B$61))/(LN(Home_Data!$B$62)-LN(Home_Data!$B$61)),Home_Data!$B$65+(Home_Data!$B$66-Home_Data!$B$65)*(LN($J81)-LN(Home_Data!$B$62))/(LN(Home_Data!$B$63)-LN(Home_Data!$B$62)))))</f>
        <v>0.91</v>
      </c>
      <c r="AF81" s="38" t="n">
        <f aca="false">IF($E81&gt;=20,Home_Data!$B$80,IF($E81&gt;=10,Home_Data!$B$79,1))</f>
        <v>1</v>
      </c>
      <c r="AG81" s="38" t="n">
        <f aca="false">IF($D81&lt;1960,Home_Data!$B$81,IF($D81&lt;1980,Home_Data!$B$82,IF($D81&gt;=2000,Home_Data!$B$83,1)))</f>
        <v>0.95</v>
      </c>
      <c r="AH81" s="38" t="n">
        <f aca="false">IF($F81="brick",Home_Data!$B$78,1)</f>
        <v>1</v>
      </c>
      <c r="AI81" s="38" t="n">
        <f aca="false">IF($G81="rental",Home_Data!$B$84,IF($G81="vacation",Home_Data!$B$85,1))</f>
        <v>1</v>
      </c>
      <c r="AJ81" s="38" t="n">
        <f aca="false">INDEX(Home_Data!$B$70:$B$73,MIN(3,MAX(0,$H81))+1)</f>
        <v>1</v>
      </c>
      <c r="AK81" s="38" t="n">
        <f aca="false">IF(INDEX(Home_Data!$H$5:$H$56,V81)="Yes",1,IF($L81="poor",Home_Data!$B$74,IF($L81="fair",Home_Data!$B$75,IF($L81="excellent",Home_Data!$B$77,Home_Data!$B$76))))</f>
        <v>1</v>
      </c>
      <c r="AL81" s="38" t="n">
        <f aca="false">IF(($N81=1),Home_Data!$B$86,1)*IF(($O81=1),Home_Data!$B$87,1)*IF(($P81=1),Home_Data!$B$88,1)</f>
        <v>1.15</v>
      </c>
      <c r="AM81" s="34" t="n">
        <f aca="false">AC81*AD81*AE81*AF81*AG81*AH81*AI81*AJ81*AK81*AL81</f>
        <v>12884.3353157811</v>
      </c>
      <c r="AN81" s="34" t="n">
        <f aca="false">AM81*EXP(-Car_Data!$B$123*Home_Data!$B$91)</f>
        <v>9383.96211629006</v>
      </c>
      <c r="AO81" s="34" t="n">
        <f aca="false">AM81*EXP(Car_Data!$B$123*Home_Data!$B$91)</f>
        <v>17690.4056593863</v>
      </c>
      <c r="AP81" s="39" t="str">
        <f aca="false">IF($U81&gt;0,IF(AND($U81&gt;=AN81,$U81&lt;=AO81),1,0),"")</f>
        <v/>
      </c>
      <c r="AQ81" s="40" t="str">
        <f aca="false">IF($U81&gt;0,$U81/AM81-1,"")</f>
        <v/>
      </c>
    </row>
    <row r="82" customFormat="false" ht="15" hidden="false" customHeight="false" outlineLevel="0" collapsed="false">
      <c r="A82" s="6" t="s">
        <v>349</v>
      </c>
      <c r="B82" s="6" t="s">
        <v>128</v>
      </c>
      <c r="C82" s="6" t="n">
        <v>1250</v>
      </c>
      <c r="D82" s="6" t="n">
        <v>1996</v>
      </c>
      <c r="E82" s="6" t="n">
        <v>16</v>
      </c>
      <c r="F82" s="6" t="s">
        <v>133</v>
      </c>
      <c r="G82" s="6" t="s">
        <v>136</v>
      </c>
      <c r="H82" s="6" t="n">
        <v>1</v>
      </c>
      <c r="I82" s="23" t="n">
        <v>325000</v>
      </c>
      <c r="J82" s="23" t="n">
        <v>2500</v>
      </c>
      <c r="K82" s="6" t="n">
        <v>500</v>
      </c>
      <c r="L82" s="6" t="s">
        <v>72</v>
      </c>
      <c r="M82" s="6" t="n">
        <v>0</v>
      </c>
      <c r="N82" s="6" t="n">
        <v>1</v>
      </c>
      <c r="O82" s="6" t="n">
        <v>0</v>
      </c>
      <c r="P82" s="6" t="n">
        <v>0</v>
      </c>
      <c r="Q82" s="6" t="n">
        <v>0</v>
      </c>
      <c r="R82" s="6" t="s">
        <v>265</v>
      </c>
      <c r="S82" s="5"/>
      <c r="T82" s="32"/>
      <c r="U82" s="17"/>
      <c r="V82" s="33" t="n">
        <f aca="false">MATCH($B82,Home_Data!$B$5:$B$56,0)</f>
        <v>9</v>
      </c>
      <c r="W82" s="34" t="n">
        <f aca="false">MIN(MAX($I82,50000),3000000)</f>
        <v>325000</v>
      </c>
      <c r="X82" s="35" t="n">
        <f aca="false">IFERROR(MIN(3,MAX(1,MATCH(W82,Home_Data!$C$4:$F$4,1))),1)</f>
        <v>2</v>
      </c>
      <c r="Y82" s="36" t="n">
        <f aca="false">INDEX(Home_Data!$C$5:$F$56,V82,X82)</f>
        <v>8471</v>
      </c>
      <c r="Z82" s="36" t="n">
        <f aca="false">INDEX(Home_Data!$C$5:$F$56,V82,X82+1)</f>
        <v>11161</v>
      </c>
      <c r="AA82" s="36" t="n">
        <f aca="false">INDEX(Home_Data!$C$4:$F$4,X82)</f>
        <v>300000</v>
      </c>
      <c r="AB82" s="36" t="n">
        <f aca="false">INDEX(Home_Data!$C$4:$F$4,X82+1)</f>
        <v>400000</v>
      </c>
      <c r="AC82" s="36" t="n">
        <f aca="false">IF($I82&lt;200000,INDEX(Home_Data!$C$5:$F$56,V82,1)*(MAX($I82,Home_Data!$B$90)/200000)^Home_Data!$B$89,Y82*(W82/AA82)^(LN(Z82/Y82)/LN(AB82/AA82)))</f>
        <v>9146.56944246217</v>
      </c>
      <c r="AD82" s="37" t="n">
        <f aca="false">IF($K82=100,Home_Data!$B$67,IF($K82=500,Home_Data!$B$69,Home_Data!$B$68))</f>
        <v>1.005</v>
      </c>
      <c r="AE82" s="37" t="n">
        <f aca="false">IF($J82&lt;=Home_Data!$B$61,Home_Data!$B$64,IF($J82&gt;=Home_Data!$B$63,Home_Data!$B$66,IF($J82&lt;=Home_Data!$B$62,Home_Data!$B$64+(Home_Data!$B$65-Home_Data!$B$64)*(LN($J82)-LN(Home_Data!$B$61))/(LN(Home_Data!$B$62)-LN(Home_Data!$B$61)),Home_Data!$B$65+(Home_Data!$B$66-Home_Data!$B$65)*(LN($J82)-LN(Home_Data!$B$62))/(LN(Home_Data!$B$63)-LN(Home_Data!$B$62)))))</f>
        <v>0.91</v>
      </c>
      <c r="AF82" s="38" t="n">
        <f aca="false">IF($E82&gt;=20,Home_Data!$B$80,IF($E82&gt;=10,Home_Data!$B$79,1))</f>
        <v>1.1</v>
      </c>
      <c r="AG82" s="38" t="n">
        <f aca="false">IF($D82&lt;1960,Home_Data!$B$81,IF($D82&lt;1980,Home_Data!$B$82,IF($D82&gt;=2000,Home_Data!$B$83,1)))</f>
        <v>1</v>
      </c>
      <c r="AH82" s="38" t="n">
        <f aca="false">IF($F82="brick",Home_Data!$B$78,1)</f>
        <v>1</v>
      </c>
      <c r="AI82" s="38" t="n">
        <f aca="false">IF($G82="rental",Home_Data!$B$84,IF($G82="vacation",Home_Data!$B$85,1))</f>
        <v>1</v>
      </c>
      <c r="AJ82" s="38" t="n">
        <f aca="false">INDEX(Home_Data!$B$70:$B$73,MIN(3,MAX(0,$H82))+1)</f>
        <v>1.16</v>
      </c>
      <c r="AK82" s="38" t="n">
        <f aca="false">IF(INDEX(Home_Data!$H$5:$H$56,V82)="Yes",1,IF($L82="poor",Home_Data!$B$74,IF($L82="fair",Home_Data!$B$75,IF($L82="excellent",Home_Data!$B$77,Home_Data!$B$76))))</f>
        <v>1</v>
      </c>
      <c r="AL82" s="38" t="n">
        <f aca="false">IF(($N82=1),Home_Data!$B$86,1)*IF(($O82=1),Home_Data!$B$87,1)*IF(($P82=1),Home_Data!$B$88,1)</f>
        <v>1.15</v>
      </c>
      <c r="AM82" s="34" t="n">
        <f aca="false">AC82*AD82*AE82*AF82*AG82*AH82*AI82*AJ82*AK82*AL82</f>
        <v>12274.7937856802</v>
      </c>
      <c r="AN82" s="34" t="n">
        <f aca="false">AM82*EXP(-Car_Data!$B$123*Home_Data!$B$91)</f>
        <v>8940.01879390797</v>
      </c>
      <c r="AO82" s="34" t="n">
        <f aca="false">AM82*EXP(Car_Data!$B$123*Home_Data!$B$91)</f>
        <v>16853.4950489863</v>
      </c>
      <c r="AP82" s="39" t="str">
        <f aca="false">IF($U82&gt;0,IF(AND($U82&gt;=AN82,$U82&lt;=AO82),1,0),"")</f>
        <v/>
      </c>
      <c r="AQ82" s="40" t="str">
        <f aca="false">IF($U82&gt;0,$U82/AM82-1,"")</f>
        <v/>
      </c>
    </row>
    <row r="83" customFormat="false" ht="15" hidden="false" customHeight="false" outlineLevel="0" collapsed="false">
      <c r="A83" s="6" t="s">
        <v>350</v>
      </c>
      <c r="B83" s="6" t="s">
        <v>128</v>
      </c>
      <c r="C83" s="6" t="n">
        <v>2950</v>
      </c>
      <c r="D83" s="6" t="n">
        <v>1972</v>
      </c>
      <c r="E83" s="6" t="n">
        <v>21</v>
      </c>
      <c r="F83" s="6" t="s">
        <v>133</v>
      </c>
      <c r="G83" s="6" t="s">
        <v>136</v>
      </c>
      <c r="H83" s="6" t="n">
        <v>0</v>
      </c>
      <c r="I83" s="23" t="n">
        <v>750000</v>
      </c>
      <c r="J83" s="23" t="n">
        <v>1000</v>
      </c>
      <c r="K83" s="6" t="n">
        <v>300</v>
      </c>
      <c r="L83" s="6" t="s">
        <v>72</v>
      </c>
      <c r="M83" s="6" t="n">
        <v>0</v>
      </c>
      <c r="N83" s="6" t="n">
        <v>1</v>
      </c>
      <c r="O83" s="6" t="n">
        <v>0</v>
      </c>
      <c r="P83" s="6" t="n">
        <v>0</v>
      </c>
      <c r="Q83" s="6" t="n">
        <v>0</v>
      </c>
      <c r="R83" s="6" t="s">
        <v>265</v>
      </c>
      <c r="S83" s="5"/>
      <c r="T83" s="32"/>
      <c r="U83" s="17"/>
      <c r="V83" s="33" t="n">
        <f aca="false">MATCH($B83,Home_Data!$B$5:$B$56,0)</f>
        <v>9</v>
      </c>
      <c r="W83" s="34" t="n">
        <f aca="false">MIN(MAX($I83,50000),3000000)</f>
        <v>750000</v>
      </c>
      <c r="X83" s="35" t="n">
        <f aca="false">IFERROR(MIN(3,MAX(1,MATCH(W83,Home_Data!$C$4:$F$4,1))),1)</f>
        <v>3</v>
      </c>
      <c r="Y83" s="36" t="n">
        <f aca="false">INDEX(Home_Data!$C$5:$F$56,V83,X83)</f>
        <v>11161</v>
      </c>
      <c r="Z83" s="36" t="n">
        <f aca="false">INDEX(Home_Data!$C$5:$F$56,V83,X83+1)</f>
        <v>16690</v>
      </c>
      <c r="AA83" s="36" t="n">
        <f aca="false">INDEX(Home_Data!$C$4:$F$4,X83)</f>
        <v>400000</v>
      </c>
      <c r="AB83" s="36" t="n">
        <f aca="false">INDEX(Home_Data!$C$4:$F$4,X83+1)</f>
        <v>600000</v>
      </c>
      <c r="AC83" s="36" t="n">
        <f aca="false">IF($I83&lt;200000,INDEX(Home_Data!$C$5:$F$56,V83,1)*(MAX($I83,Home_Data!$B$90)/200000)^Home_Data!$B$89,Y83*(W83/AA83)^(LN(Z83/Y83)/LN(AB83/AA83)))</f>
        <v>20827.1564007219</v>
      </c>
      <c r="AD83" s="37" t="n">
        <f aca="false">IF($K83=100,Home_Data!$B$67,IF($K83=500,Home_Data!$B$69,Home_Data!$B$68))</f>
        <v>1</v>
      </c>
      <c r="AE83" s="37" t="n">
        <f aca="false">IF($J83&lt;=Home_Data!$B$61,Home_Data!$B$64,IF($J83&gt;=Home_Data!$B$63,Home_Data!$B$66,IF($J83&lt;=Home_Data!$B$62,Home_Data!$B$64+(Home_Data!$B$65-Home_Data!$B$64)*(LN($J83)-LN(Home_Data!$B$61))/(LN(Home_Data!$B$62)-LN(Home_Data!$B$61)),Home_Data!$B$65+(Home_Data!$B$66-Home_Data!$B$65)*(LN($J83)-LN(Home_Data!$B$62))/(LN(Home_Data!$B$63)-LN(Home_Data!$B$62)))))</f>
        <v>1</v>
      </c>
      <c r="AF83" s="38" t="n">
        <f aca="false">IF($E83&gt;=20,Home_Data!$B$80,IF($E83&gt;=10,Home_Data!$B$79,1))</f>
        <v>1.3</v>
      </c>
      <c r="AG83" s="38" t="n">
        <f aca="false">IF($D83&lt;1960,Home_Data!$B$81,IF($D83&lt;1980,Home_Data!$B$82,IF($D83&gt;=2000,Home_Data!$B$83,1)))</f>
        <v>1.08</v>
      </c>
      <c r="AH83" s="38" t="n">
        <f aca="false">IF($F83="brick",Home_Data!$B$78,1)</f>
        <v>1</v>
      </c>
      <c r="AI83" s="38" t="n">
        <f aca="false">IF($G83="rental",Home_Data!$B$84,IF($G83="vacation",Home_Data!$B$85,1))</f>
        <v>1</v>
      </c>
      <c r="AJ83" s="38" t="n">
        <f aca="false">INDEX(Home_Data!$B$70:$B$73,MIN(3,MAX(0,$H83))+1)</f>
        <v>1</v>
      </c>
      <c r="AK83" s="38" t="n">
        <f aca="false">IF(INDEX(Home_Data!$H$5:$H$56,V83)="Yes",1,IF($L83="poor",Home_Data!$B$74,IF($L83="fair",Home_Data!$B$75,IF($L83="excellent",Home_Data!$B$77,Home_Data!$B$76))))</f>
        <v>1</v>
      </c>
      <c r="AL83" s="38" t="n">
        <f aca="false">IF(($N83=1),Home_Data!$B$86,1)*IF(($O83=1),Home_Data!$B$87,1)*IF(($P83=1),Home_Data!$B$88,1)</f>
        <v>1.15</v>
      </c>
      <c r="AM83" s="34" t="n">
        <f aca="false">AC83*AD83*AE83*AF83*AG83*AH83*AI83*AJ83*AK83*AL83</f>
        <v>33627.5267246056</v>
      </c>
      <c r="AN83" s="34" t="n">
        <f aca="false">AM83*EXP(-Car_Data!$B$123*Home_Data!$B$91)</f>
        <v>24491.7125419519</v>
      </c>
      <c r="AO83" s="34" t="n">
        <f aca="false">AM83*EXP(Car_Data!$B$123*Home_Data!$B$91)</f>
        <v>46171.1508199802</v>
      </c>
      <c r="AP83" s="39" t="str">
        <f aca="false">IF($U83&gt;0,IF(AND($U83&gt;=AN83,$U83&lt;=AO83),1,0),"")</f>
        <v/>
      </c>
      <c r="AQ83" s="40" t="str">
        <f aca="false">IF($U83&gt;0,$U83/AM83-1,"")</f>
        <v/>
      </c>
    </row>
    <row r="84" customFormat="false" ht="15" hidden="false" customHeight="false" outlineLevel="0" collapsed="false">
      <c r="A84" s="6" t="s">
        <v>351</v>
      </c>
      <c r="B84" s="6" t="s">
        <v>128</v>
      </c>
      <c r="C84" s="6" t="n">
        <v>1700</v>
      </c>
      <c r="D84" s="6" t="n">
        <v>2010</v>
      </c>
      <c r="E84" s="6" t="n">
        <v>14</v>
      </c>
      <c r="F84" s="6" t="s">
        <v>133</v>
      </c>
      <c r="G84" s="6" t="s">
        <v>136</v>
      </c>
      <c r="H84" s="6" t="n">
        <v>0</v>
      </c>
      <c r="I84" s="23" t="n">
        <v>380000</v>
      </c>
      <c r="J84" s="23" t="n">
        <v>2500</v>
      </c>
      <c r="K84" s="6" t="n">
        <v>300</v>
      </c>
      <c r="L84" s="6" t="s">
        <v>284</v>
      </c>
      <c r="M84" s="6" t="n">
        <v>0</v>
      </c>
      <c r="N84" s="6" t="n">
        <v>0</v>
      </c>
      <c r="O84" s="6" t="n">
        <v>0</v>
      </c>
      <c r="P84" s="6" t="n">
        <v>0</v>
      </c>
      <c r="Q84" s="6" t="n">
        <v>0</v>
      </c>
      <c r="R84" s="6" t="s">
        <v>267</v>
      </c>
      <c r="S84" s="5"/>
      <c r="T84" s="32"/>
      <c r="U84" s="17"/>
      <c r="V84" s="33" t="n">
        <f aca="false">MATCH($B84,Home_Data!$B$5:$B$56,0)</f>
        <v>9</v>
      </c>
      <c r="W84" s="34" t="n">
        <f aca="false">MIN(MAX($I84,50000),3000000)</f>
        <v>380000</v>
      </c>
      <c r="X84" s="35" t="n">
        <f aca="false">IFERROR(MIN(3,MAX(1,MATCH(W84,Home_Data!$C$4:$F$4,1))),1)</f>
        <v>2</v>
      </c>
      <c r="Y84" s="36" t="n">
        <f aca="false">INDEX(Home_Data!$C$5:$F$56,V84,X84)</f>
        <v>8471</v>
      </c>
      <c r="Z84" s="36" t="n">
        <f aca="false">INDEX(Home_Data!$C$5:$F$56,V84,X84+1)</f>
        <v>11161</v>
      </c>
      <c r="AA84" s="36" t="n">
        <f aca="false">INDEX(Home_Data!$C$4:$F$4,X84)</f>
        <v>300000</v>
      </c>
      <c r="AB84" s="36" t="n">
        <f aca="false">INDEX(Home_Data!$C$4:$F$4,X84+1)</f>
        <v>400000</v>
      </c>
      <c r="AC84" s="36" t="n">
        <f aca="false">IF($I84&lt;200000,INDEX(Home_Data!$C$5:$F$56,V84,1)*(MAX($I84,Home_Data!$B$90)/200000)^Home_Data!$B$89,Y84*(W84/AA84)^(LN(Z84/Y84)/LN(AB84/AA84)))</f>
        <v>10625.4803432762</v>
      </c>
      <c r="AD84" s="37" t="n">
        <f aca="false">IF($K84=100,Home_Data!$B$67,IF($K84=500,Home_Data!$B$69,Home_Data!$B$68))</f>
        <v>1</v>
      </c>
      <c r="AE84" s="37" t="n">
        <f aca="false">IF($J84&lt;=Home_Data!$B$61,Home_Data!$B$64,IF($J84&gt;=Home_Data!$B$63,Home_Data!$B$66,IF($J84&lt;=Home_Data!$B$62,Home_Data!$B$64+(Home_Data!$B$65-Home_Data!$B$64)*(LN($J84)-LN(Home_Data!$B$61))/(LN(Home_Data!$B$62)-LN(Home_Data!$B$61)),Home_Data!$B$65+(Home_Data!$B$66-Home_Data!$B$65)*(LN($J84)-LN(Home_Data!$B$62))/(LN(Home_Data!$B$63)-LN(Home_Data!$B$62)))))</f>
        <v>0.91</v>
      </c>
      <c r="AF84" s="38" t="n">
        <f aca="false">IF($E84&gt;=20,Home_Data!$B$80,IF($E84&gt;=10,Home_Data!$B$79,1))</f>
        <v>1.1</v>
      </c>
      <c r="AG84" s="38" t="n">
        <f aca="false">IF($D84&lt;1960,Home_Data!$B$81,IF($D84&lt;1980,Home_Data!$B$82,IF($D84&gt;=2000,Home_Data!$B$83,1)))</f>
        <v>0.95</v>
      </c>
      <c r="AH84" s="38" t="n">
        <f aca="false">IF($F84="brick",Home_Data!$B$78,1)</f>
        <v>1</v>
      </c>
      <c r="AI84" s="38" t="n">
        <f aca="false">IF($G84="rental",Home_Data!$B$84,IF($G84="vacation",Home_Data!$B$85,1))</f>
        <v>1</v>
      </c>
      <c r="AJ84" s="38" t="n">
        <f aca="false">INDEX(Home_Data!$B$70:$B$73,MIN(3,MAX(0,$H84))+1)</f>
        <v>1</v>
      </c>
      <c r="AK84" s="38" t="n">
        <f aca="false">IF(INDEX(Home_Data!$H$5:$H$56,V84)="Yes",1,IF($L84="poor",Home_Data!$B$74,IF($L84="fair",Home_Data!$B$75,IF($L84="excellent",Home_Data!$B$77,Home_Data!$B$76))))</f>
        <v>2.11</v>
      </c>
      <c r="AL84" s="38" t="n">
        <f aca="false">IF(($N84=1),Home_Data!$B$86,1)*IF(($O84=1),Home_Data!$B$87,1)*IF(($P84=1),Home_Data!$B$88,1)</f>
        <v>1</v>
      </c>
      <c r="AM84" s="34" t="n">
        <f aca="false">AC84*AD84*AE84*AF84*AG84*AH84*AI84*AJ84*AK84*AL84</f>
        <v>21320.0741234452</v>
      </c>
      <c r="AN84" s="34" t="n">
        <f aca="false">AM84*EXP(-Car_Data!$B$123*Home_Data!$B$91)</f>
        <v>15527.9075705099</v>
      </c>
      <c r="AO84" s="34" t="n">
        <f aca="false">AM84*EXP(Car_Data!$B$123*Home_Data!$B$91)</f>
        <v>29272.8146767473</v>
      </c>
      <c r="AP84" s="39" t="str">
        <f aca="false">IF($U84&gt;0,IF(AND($U84&gt;=AN84,$U84&lt;=AO84),1,0),"")</f>
        <v/>
      </c>
      <c r="AQ84" s="40" t="str">
        <f aca="false">IF($U84&gt;0,$U84/AM84-1,"")</f>
        <v/>
      </c>
    </row>
    <row r="85" customFormat="false" ht="15" hidden="false" customHeight="false" outlineLevel="0" collapsed="false">
      <c r="A85" s="6" t="s">
        <v>352</v>
      </c>
      <c r="B85" s="6" t="s">
        <v>128</v>
      </c>
      <c r="C85" s="6" t="n">
        <v>3050</v>
      </c>
      <c r="D85" s="6" t="n">
        <v>1990</v>
      </c>
      <c r="E85" s="6" t="n">
        <v>22</v>
      </c>
      <c r="F85" s="6" t="s">
        <v>133</v>
      </c>
      <c r="G85" s="6" t="s">
        <v>136</v>
      </c>
      <c r="H85" s="6" t="n">
        <v>0</v>
      </c>
      <c r="I85" s="23" t="n">
        <v>735000</v>
      </c>
      <c r="J85" s="23" t="n">
        <v>1000</v>
      </c>
      <c r="K85" s="6" t="n">
        <v>300</v>
      </c>
      <c r="L85" s="6" t="s">
        <v>264</v>
      </c>
      <c r="M85" s="6" t="n">
        <v>1</v>
      </c>
      <c r="N85" s="6" t="n">
        <v>1</v>
      </c>
      <c r="O85" s="6" t="n">
        <v>0</v>
      </c>
      <c r="P85" s="6" t="n">
        <v>0</v>
      </c>
      <c r="Q85" s="6" t="n">
        <v>0</v>
      </c>
      <c r="R85" s="6" t="s">
        <v>343</v>
      </c>
      <c r="S85" s="5"/>
      <c r="T85" s="32"/>
      <c r="U85" s="17"/>
      <c r="V85" s="33" t="n">
        <f aca="false">MATCH($B85,Home_Data!$B$5:$B$56,0)</f>
        <v>9</v>
      </c>
      <c r="W85" s="34" t="n">
        <f aca="false">MIN(MAX($I85,50000),3000000)</f>
        <v>735000</v>
      </c>
      <c r="X85" s="35" t="n">
        <f aca="false">IFERROR(MIN(3,MAX(1,MATCH(W85,Home_Data!$C$4:$F$4,1))),1)</f>
        <v>3</v>
      </c>
      <c r="Y85" s="36" t="n">
        <f aca="false">INDEX(Home_Data!$C$5:$F$56,V85,X85)</f>
        <v>11161</v>
      </c>
      <c r="Z85" s="36" t="n">
        <f aca="false">INDEX(Home_Data!$C$5:$F$56,V85,X85+1)</f>
        <v>16690</v>
      </c>
      <c r="AA85" s="36" t="n">
        <f aca="false">INDEX(Home_Data!$C$4:$F$4,X85)</f>
        <v>400000</v>
      </c>
      <c r="AB85" s="36" t="n">
        <f aca="false">INDEX(Home_Data!$C$4:$F$4,X85+1)</f>
        <v>600000</v>
      </c>
      <c r="AC85" s="36" t="n">
        <f aca="false">IF($I85&lt;200000,INDEX(Home_Data!$C$5:$F$56,V85,1)*(MAX($I85,Home_Data!$B$90)/200000)^Home_Data!$B$89,Y85*(W85/AA85)^(LN(Z85/Y85)/LN(AB85/AA85)))</f>
        <v>20413.7467545246</v>
      </c>
      <c r="AD85" s="37" t="n">
        <f aca="false">IF($K85=100,Home_Data!$B$67,IF($K85=500,Home_Data!$B$69,Home_Data!$B$68))</f>
        <v>1</v>
      </c>
      <c r="AE85" s="37" t="n">
        <f aca="false">IF($J85&lt;=Home_Data!$B$61,Home_Data!$B$64,IF($J85&gt;=Home_Data!$B$63,Home_Data!$B$66,IF($J85&lt;=Home_Data!$B$62,Home_Data!$B$64+(Home_Data!$B$65-Home_Data!$B$64)*(LN($J85)-LN(Home_Data!$B$61))/(LN(Home_Data!$B$62)-LN(Home_Data!$B$61)),Home_Data!$B$65+(Home_Data!$B$66-Home_Data!$B$65)*(LN($J85)-LN(Home_Data!$B$62))/(LN(Home_Data!$B$63)-LN(Home_Data!$B$62)))))</f>
        <v>1</v>
      </c>
      <c r="AF85" s="38" t="n">
        <f aca="false">IF($E85&gt;=20,Home_Data!$B$80,IF($E85&gt;=10,Home_Data!$B$79,1))</f>
        <v>1.3</v>
      </c>
      <c r="AG85" s="38" t="n">
        <f aca="false">IF($D85&lt;1960,Home_Data!$B$81,IF($D85&lt;1980,Home_Data!$B$82,IF($D85&gt;=2000,Home_Data!$B$83,1)))</f>
        <v>1</v>
      </c>
      <c r="AH85" s="38" t="n">
        <f aca="false">IF($F85="brick",Home_Data!$B$78,1)</f>
        <v>1</v>
      </c>
      <c r="AI85" s="38" t="n">
        <f aca="false">IF($G85="rental",Home_Data!$B$84,IF($G85="vacation",Home_Data!$B$85,1))</f>
        <v>1</v>
      </c>
      <c r="AJ85" s="38" t="n">
        <f aca="false">INDEX(Home_Data!$B$70:$B$73,MIN(3,MAX(0,$H85))+1)</f>
        <v>1</v>
      </c>
      <c r="AK85" s="38" t="n">
        <f aca="false">IF(INDEX(Home_Data!$H$5:$H$56,V85)="Yes",1,IF($L85="poor",Home_Data!$B$74,IF($L85="fair",Home_Data!$B$75,IF($L85="excellent",Home_Data!$B$77,Home_Data!$B$76))))</f>
        <v>0.89</v>
      </c>
      <c r="AL85" s="38" t="n">
        <f aca="false">IF(($N85=1),Home_Data!$B$86,1)*IF(($O85=1),Home_Data!$B$87,1)*IF(($P85=1),Home_Data!$B$88,1)</f>
        <v>1.15</v>
      </c>
      <c r="AM85" s="34" t="n">
        <f aca="false">AC85*AD85*AE85*AF85*AG85*AH85*AI85*AJ85*AK85*AL85</f>
        <v>27161.5107442327</v>
      </c>
      <c r="AN85" s="34" t="n">
        <f aca="false">AM85*EXP(-Car_Data!$B$123*Home_Data!$B$91)</f>
        <v>19782.3621939501</v>
      </c>
      <c r="AO85" s="34" t="n">
        <f aca="false">AM85*EXP(Car_Data!$B$123*Home_Data!$B$91)</f>
        <v>37293.2038487642</v>
      </c>
      <c r="AP85" s="39" t="str">
        <f aca="false">IF($U85&gt;0,IF(AND($U85&gt;=AN85,$U85&lt;=AO85),1,0),"")</f>
        <v/>
      </c>
      <c r="AQ85" s="40" t="str">
        <f aca="false">IF($U85&gt;0,$U85/AM85-1,"")</f>
        <v/>
      </c>
    </row>
    <row r="86" customFormat="false" ht="15" hidden="false" customHeight="false" outlineLevel="0" collapsed="false">
      <c r="A86" s="6" t="s">
        <v>353</v>
      </c>
      <c r="B86" s="6" t="s">
        <v>128</v>
      </c>
      <c r="C86" s="6" t="n">
        <v>1650</v>
      </c>
      <c r="D86" s="6" t="n">
        <v>2014</v>
      </c>
      <c r="E86" s="6" t="n">
        <v>4</v>
      </c>
      <c r="F86" s="6" t="s">
        <v>133</v>
      </c>
      <c r="G86" s="6" t="s">
        <v>136</v>
      </c>
      <c r="H86" s="6" t="n">
        <v>0</v>
      </c>
      <c r="I86" s="23" t="n">
        <v>405000</v>
      </c>
      <c r="J86" s="23" t="n">
        <v>2500</v>
      </c>
      <c r="K86" s="6" t="n">
        <v>500</v>
      </c>
      <c r="L86" s="6" t="s">
        <v>264</v>
      </c>
      <c r="M86" s="6" t="n">
        <v>0</v>
      </c>
      <c r="N86" s="6" t="n">
        <v>1</v>
      </c>
      <c r="O86" s="6" t="n">
        <v>0</v>
      </c>
      <c r="P86" s="6" t="n">
        <v>0</v>
      </c>
      <c r="Q86" s="6" t="n">
        <v>0</v>
      </c>
      <c r="R86" s="6" t="s">
        <v>265</v>
      </c>
      <c r="S86" s="5"/>
      <c r="T86" s="32"/>
      <c r="U86" s="17"/>
      <c r="V86" s="33" t="n">
        <f aca="false">MATCH($B86,Home_Data!$B$5:$B$56,0)</f>
        <v>9</v>
      </c>
      <c r="W86" s="34" t="n">
        <f aca="false">MIN(MAX($I86,50000),3000000)</f>
        <v>405000</v>
      </c>
      <c r="X86" s="35" t="n">
        <f aca="false">IFERROR(MIN(3,MAX(1,MATCH(W86,Home_Data!$C$4:$F$4,1))),1)</f>
        <v>3</v>
      </c>
      <c r="Y86" s="36" t="n">
        <f aca="false">INDEX(Home_Data!$C$5:$F$56,V86,X86)</f>
        <v>11161</v>
      </c>
      <c r="Z86" s="36" t="n">
        <f aca="false">INDEX(Home_Data!$C$5:$F$56,V86,X86+1)</f>
        <v>16690</v>
      </c>
      <c r="AA86" s="36" t="n">
        <f aca="false">INDEX(Home_Data!$C$4:$F$4,X86)</f>
        <v>400000</v>
      </c>
      <c r="AB86" s="36" t="n">
        <f aca="false">INDEX(Home_Data!$C$4:$F$4,X86+1)</f>
        <v>600000</v>
      </c>
      <c r="AC86" s="36" t="n">
        <f aca="false">IF($I86&lt;200000,INDEX(Home_Data!$C$5:$F$56,V86,1)*(MAX($I86,Home_Data!$B$90)/200000)^Home_Data!$B$89,Y86*(W86/AA86)^(LN(Z86/Y86)/LN(AB86/AA86)))</f>
        <v>11299.44586565</v>
      </c>
      <c r="AD86" s="37" t="n">
        <f aca="false">IF($K86=100,Home_Data!$B$67,IF($K86=500,Home_Data!$B$69,Home_Data!$B$68))</f>
        <v>1.005</v>
      </c>
      <c r="AE86" s="37" t="n">
        <f aca="false">IF($J86&lt;=Home_Data!$B$61,Home_Data!$B$64,IF($J86&gt;=Home_Data!$B$63,Home_Data!$B$66,IF($J86&lt;=Home_Data!$B$62,Home_Data!$B$64+(Home_Data!$B$65-Home_Data!$B$64)*(LN($J86)-LN(Home_Data!$B$61))/(LN(Home_Data!$B$62)-LN(Home_Data!$B$61)),Home_Data!$B$65+(Home_Data!$B$66-Home_Data!$B$65)*(LN($J86)-LN(Home_Data!$B$62))/(LN(Home_Data!$B$63)-LN(Home_Data!$B$62)))))</f>
        <v>0.91</v>
      </c>
      <c r="AF86" s="38" t="n">
        <f aca="false">IF($E86&gt;=20,Home_Data!$B$80,IF($E86&gt;=10,Home_Data!$B$79,1))</f>
        <v>1</v>
      </c>
      <c r="AG86" s="38" t="n">
        <f aca="false">IF($D86&lt;1960,Home_Data!$B$81,IF($D86&lt;1980,Home_Data!$B$82,IF($D86&gt;=2000,Home_Data!$B$83,1)))</f>
        <v>0.95</v>
      </c>
      <c r="AH86" s="38" t="n">
        <f aca="false">IF($F86="brick",Home_Data!$B$78,1)</f>
        <v>1</v>
      </c>
      <c r="AI86" s="38" t="n">
        <f aca="false">IF($G86="rental",Home_Data!$B$84,IF($G86="vacation",Home_Data!$B$85,1))</f>
        <v>1</v>
      </c>
      <c r="AJ86" s="38" t="n">
        <f aca="false">INDEX(Home_Data!$B$70:$B$73,MIN(3,MAX(0,$H86))+1)</f>
        <v>1</v>
      </c>
      <c r="AK86" s="38" t="n">
        <f aca="false">IF(INDEX(Home_Data!$H$5:$H$56,V86)="Yes",1,IF($L86="poor",Home_Data!$B$74,IF($L86="fair",Home_Data!$B$75,IF($L86="excellent",Home_Data!$B$77,Home_Data!$B$76))))</f>
        <v>0.89</v>
      </c>
      <c r="AL86" s="38" t="n">
        <f aca="false">IF(($N86=1),Home_Data!$B$86,1)*IF(($O86=1),Home_Data!$B$87,1)*IF(($P86=1),Home_Data!$B$88,1)</f>
        <v>1.15</v>
      </c>
      <c r="AM86" s="34" t="n">
        <f aca="false">AC86*AD86*AE86*AF86*AG86*AH86*AI86*AJ86*AK86*AL86</f>
        <v>10047.9173065405</v>
      </c>
      <c r="AN86" s="34" t="n">
        <f aca="false">AM86*EXP(-Car_Data!$B$123*Home_Data!$B$91)</f>
        <v>7318.13268137342</v>
      </c>
      <c r="AO86" s="34" t="n">
        <f aca="false">AM86*EXP(Car_Data!$B$123*Home_Data!$B$91)</f>
        <v>13795.9567822606</v>
      </c>
      <c r="AP86" s="39" t="str">
        <f aca="false">IF($U86&gt;0,IF(AND($U86&gt;=AN86,$U86&lt;=AO86),1,0),"")</f>
        <v/>
      </c>
      <c r="AQ86" s="40" t="str">
        <f aca="false">IF($U86&gt;0,$U86/AM86-1,"")</f>
        <v/>
      </c>
    </row>
    <row r="87" customFormat="false" ht="15" hidden="false" customHeight="false" outlineLevel="0" collapsed="false">
      <c r="A87" s="6" t="s">
        <v>354</v>
      </c>
      <c r="B87" s="6" t="s">
        <v>128</v>
      </c>
      <c r="C87" s="6" t="n">
        <v>2650</v>
      </c>
      <c r="D87" s="6" t="n">
        <v>1957</v>
      </c>
      <c r="E87" s="6" t="n">
        <v>24</v>
      </c>
      <c r="F87" s="6" t="s">
        <v>133</v>
      </c>
      <c r="G87" s="6" t="s">
        <v>136</v>
      </c>
      <c r="H87" s="6" t="n">
        <v>0</v>
      </c>
      <c r="I87" s="23" t="n">
        <v>615000</v>
      </c>
      <c r="J87" s="23" t="n">
        <v>1000</v>
      </c>
      <c r="K87" s="6" t="n">
        <v>300</v>
      </c>
      <c r="L87" s="6" t="s">
        <v>72</v>
      </c>
      <c r="M87" s="6" t="n">
        <v>0</v>
      </c>
      <c r="N87" s="6" t="n">
        <v>0</v>
      </c>
      <c r="O87" s="6" t="n">
        <v>0</v>
      </c>
      <c r="P87" s="6" t="n">
        <v>0</v>
      </c>
      <c r="Q87" s="6" t="n">
        <v>0</v>
      </c>
      <c r="R87" s="6" t="s">
        <v>267</v>
      </c>
      <c r="S87" s="5"/>
      <c r="T87" s="32"/>
      <c r="U87" s="17"/>
      <c r="V87" s="33" t="n">
        <f aca="false">MATCH($B87,Home_Data!$B$5:$B$56,0)</f>
        <v>9</v>
      </c>
      <c r="W87" s="34" t="n">
        <f aca="false">MIN(MAX($I87,50000),3000000)</f>
        <v>615000</v>
      </c>
      <c r="X87" s="35" t="n">
        <f aca="false">IFERROR(MIN(3,MAX(1,MATCH(W87,Home_Data!$C$4:$F$4,1))),1)</f>
        <v>3</v>
      </c>
      <c r="Y87" s="36" t="n">
        <f aca="false">INDEX(Home_Data!$C$5:$F$56,V87,X87)</f>
        <v>11161</v>
      </c>
      <c r="Z87" s="36" t="n">
        <f aca="false">INDEX(Home_Data!$C$5:$F$56,V87,X87+1)</f>
        <v>16690</v>
      </c>
      <c r="AA87" s="36" t="n">
        <f aca="false">INDEX(Home_Data!$C$4:$F$4,X87)</f>
        <v>400000</v>
      </c>
      <c r="AB87" s="36" t="n">
        <f aca="false">INDEX(Home_Data!$C$4:$F$4,X87+1)</f>
        <v>600000</v>
      </c>
      <c r="AC87" s="36" t="n">
        <f aca="false">IF($I87&lt;200000,INDEX(Home_Data!$C$5:$F$56,V87,1)*(MAX($I87,Home_Data!$B$90)/200000)^Home_Data!$B$89,Y87*(W87/AA87)^(LN(Z87/Y87)/LN(AB87/AA87)))</f>
        <v>17104.0405196529</v>
      </c>
      <c r="AD87" s="37" t="n">
        <f aca="false">IF($K87=100,Home_Data!$B$67,IF($K87=500,Home_Data!$B$69,Home_Data!$B$68))</f>
        <v>1</v>
      </c>
      <c r="AE87" s="37" t="n">
        <f aca="false">IF($J87&lt;=Home_Data!$B$61,Home_Data!$B$64,IF($J87&gt;=Home_Data!$B$63,Home_Data!$B$66,IF($J87&lt;=Home_Data!$B$62,Home_Data!$B$64+(Home_Data!$B$65-Home_Data!$B$64)*(LN($J87)-LN(Home_Data!$B$61))/(LN(Home_Data!$B$62)-LN(Home_Data!$B$61)),Home_Data!$B$65+(Home_Data!$B$66-Home_Data!$B$65)*(LN($J87)-LN(Home_Data!$B$62))/(LN(Home_Data!$B$63)-LN(Home_Data!$B$62)))))</f>
        <v>1</v>
      </c>
      <c r="AF87" s="38" t="n">
        <f aca="false">IF($E87&gt;=20,Home_Data!$B$80,IF($E87&gt;=10,Home_Data!$B$79,1))</f>
        <v>1.3</v>
      </c>
      <c r="AG87" s="38" t="n">
        <f aca="false">IF($D87&lt;1960,Home_Data!$B$81,IF($D87&lt;1980,Home_Data!$B$82,IF($D87&gt;=2000,Home_Data!$B$83,1)))</f>
        <v>1.18</v>
      </c>
      <c r="AH87" s="38" t="n">
        <f aca="false">IF($F87="brick",Home_Data!$B$78,1)</f>
        <v>1</v>
      </c>
      <c r="AI87" s="38" t="n">
        <f aca="false">IF($G87="rental",Home_Data!$B$84,IF($G87="vacation",Home_Data!$B$85,1))</f>
        <v>1</v>
      </c>
      <c r="AJ87" s="38" t="n">
        <f aca="false">INDEX(Home_Data!$B$70:$B$73,MIN(3,MAX(0,$H87))+1)</f>
        <v>1</v>
      </c>
      <c r="AK87" s="38" t="n">
        <f aca="false">IF(INDEX(Home_Data!$H$5:$H$56,V87)="Yes",1,IF($L87="poor",Home_Data!$B$74,IF($L87="fair",Home_Data!$B$75,IF($L87="excellent",Home_Data!$B$77,Home_Data!$B$76))))</f>
        <v>1</v>
      </c>
      <c r="AL87" s="38" t="n">
        <f aca="false">IF(($N87=1),Home_Data!$B$86,1)*IF(($O87=1),Home_Data!$B$87,1)*IF(($P87=1),Home_Data!$B$88,1)</f>
        <v>1</v>
      </c>
      <c r="AM87" s="34" t="n">
        <f aca="false">AC87*AD87*AE87*AF87*AG87*AH87*AI87*AJ87*AK87*AL87</f>
        <v>26237.5981571475</v>
      </c>
      <c r="AN87" s="34" t="n">
        <f aca="false">AM87*EXP(-Car_Data!$B$123*Home_Data!$B$91)</f>
        <v>19109.4550937017</v>
      </c>
      <c r="AO87" s="34" t="n">
        <f aca="false">AM87*EXP(Car_Data!$B$123*Home_Data!$B$91)</f>
        <v>36024.6565734281</v>
      </c>
      <c r="AP87" s="39" t="str">
        <f aca="false">IF($U87&gt;0,IF(AND($U87&gt;=AN87,$U87&lt;=AO87),1,0),"")</f>
        <v/>
      </c>
      <c r="AQ87" s="40" t="str">
        <f aca="false">IF($U87&gt;0,$U87/AM87-1,"")</f>
        <v/>
      </c>
    </row>
    <row r="88" customFormat="false" ht="15" hidden="false" customHeight="false" outlineLevel="0" collapsed="false">
      <c r="A88" s="6" t="s">
        <v>355</v>
      </c>
      <c r="B88" s="6" t="s">
        <v>128</v>
      </c>
      <c r="C88" s="6" t="n">
        <v>2150</v>
      </c>
      <c r="D88" s="6" t="n">
        <v>1985</v>
      </c>
      <c r="E88" s="6" t="n">
        <v>16</v>
      </c>
      <c r="F88" s="6" t="s">
        <v>133</v>
      </c>
      <c r="G88" s="6" t="s">
        <v>136</v>
      </c>
      <c r="H88" s="6" t="n">
        <v>0</v>
      </c>
      <c r="I88" s="23" t="n">
        <v>560000</v>
      </c>
      <c r="J88" s="23" t="n">
        <v>1000</v>
      </c>
      <c r="K88" s="6" t="n">
        <v>300</v>
      </c>
      <c r="L88" s="6" t="s">
        <v>72</v>
      </c>
      <c r="M88" s="6" t="n">
        <v>0</v>
      </c>
      <c r="N88" s="6" t="n">
        <v>1</v>
      </c>
      <c r="O88" s="6" t="n">
        <v>0</v>
      </c>
      <c r="P88" s="6" t="n">
        <v>0</v>
      </c>
      <c r="Q88" s="6" t="n">
        <v>0</v>
      </c>
      <c r="R88" s="6" t="s">
        <v>265</v>
      </c>
      <c r="S88" s="5"/>
      <c r="T88" s="32"/>
      <c r="U88" s="17"/>
      <c r="V88" s="33" t="n">
        <f aca="false">MATCH($B88,Home_Data!$B$5:$B$56,0)</f>
        <v>9</v>
      </c>
      <c r="W88" s="34" t="n">
        <f aca="false">MIN(MAX($I88,50000),3000000)</f>
        <v>560000</v>
      </c>
      <c r="X88" s="35" t="n">
        <f aca="false">IFERROR(MIN(3,MAX(1,MATCH(W88,Home_Data!$C$4:$F$4,1))),1)</f>
        <v>3</v>
      </c>
      <c r="Y88" s="36" t="n">
        <f aca="false">INDEX(Home_Data!$C$5:$F$56,V88,X88)</f>
        <v>11161</v>
      </c>
      <c r="Z88" s="36" t="n">
        <f aca="false">INDEX(Home_Data!$C$5:$F$56,V88,X88+1)</f>
        <v>16690</v>
      </c>
      <c r="AA88" s="36" t="n">
        <f aca="false">INDEX(Home_Data!$C$4:$F$4,X88)</f>
        <v>400000</v>
      </c>
      <c r="AB88" s="36" t="n">
        <f aca="false">INDEX(Home_Data!$C$4:$F$4,X88+1)</f>
        <v>600000</v>
      </c>
      <c r="AC88" s="36" t="n">
        <f aca="false">IF($I88&lt;200000,INDEX(Home_Data!$C$5:$F$56,V88,1)*(MAX($I88,Home_Data!$B$90)/200000)^Home_Data!$B$89,Y88*(W88/AA88)^(LN(Z88/Y88)/LN(AB88/AA88)))</f>
        <v>15585.5017784386</v>
      </c>
      <c r="AD88" s="37" t="n">
        <f aca="false">IF($K88=100,Home_Data!$B$67,IF($K88=500,Home_Data!$B$69,Home_Data!$B$68))</f>
        <v>1</v>
      </c>
      <c r="AE88" s="37" t="n">
        <f aca="false">IF($J88&lt;=Home_Data!$B$61,Home_Data!$B$64,IF($J88&gt;=Home_Data!$B$63,Home_Data!$B$66,IF($J88&lt;=Home_Data!$B$62,Home_Data!$B$64+(Home_Data!$B$65-Home_Data!$B$64)*(LN($J88)-LN(Home_Data!$B$61))/(LN(Home_Data!$B$62)-LN(Home_Data!$B$61)),Home_Data!$B$65+(Home_Data!$B$66-Home_Data!$B$65)*(LN($J88)-LN(Home_Data!$B$62))/(LN(Home_Data!$B$63)-LN(Home_Data!$B$62)))))</f>
        <v>1</v>
      </c>
      <c r="AF88" s="38" t="n">
        <f aca="false">IF($E88&gt;=20,Home_Data!$B$80,IF($E88&gt;=10,Home_Data!$B$79,1))</f>
        <v>1.1</v>
      </c>
      <c r="AG88" s="38" t="n">
        <f aca="false">IF($D88&lt;1960,Home_Data!$B$81,IF($D88&lt;1980,Home_Data!$B$82,IF($D88&gt;=2000,Home_Data!$B$83,1)))</f>
        <v>1</v>
      </c>
      <c r="AH88" s="38" t="n">
        <f aca="false">IF($F88="brick",Home_Data!$B$78,1)</f>
        <v>1</v>
      </c>
      <c r="AI88" s="38" t="n">
        <f aca="false">IF($G88="rental",Home_Data!$B$84,IF($G88="vacation",Home_Data!$B$85,1))</f>
        <v>1</v>
      </c>
      <c r="AJ88" s="38" t="n">
        <f aca="false">INDEX(Home_Data!$B$70:$B$73,MIN(3,MAX(0,$H88))+1)</f>
        <v>1</v>
      </c>
      <c r="AK88" s="38" t="n">
        <f aca="false">IF(INDEX(Home_Data!$H$5:$H$56,V88)="Yes",1,IF($L88="poor",Home_Data!$B$74,IF($L88="fair",Home_Data!$B$75,IF($L88="excellent",Home_Data!$B$77,Home_Data!$B$76))))</f>
        <v>1</v>
      </c>
      <c r="AL88" s="38" t="n">
        <f aca="false">IF(($N88=1),Home_Data!$B$86,1)*IF(($O88=1),Home_Data!$B$87,1)*IF(($P88=1),Home_Data!$B$88,1)</f>
        <v>1.15</v>
      </c>
      <c r="AM88" s="34" t="n">
        <f aca="false">AC88*AD88*AE88*AF88*AG88*AH88*AI88*AJ88*AK88*AL88</f>
        <v>19715.6597497248</v>
      </c>
      <c r="AN88" s="34" t="n">
        <f aca="false">AM88*EXP(-Car_Data!$B$123*Home_Data!$B$91)</f>
        <v>14359.3751369134</v>
      </c>
      <c r="AO88" s="34" t="n">
        <f aca="false">AM88*EXP(Car_Data!$B$123*Home_Data!$B$91)</f>
        <v>27069.9271842043</v>
      </c>
      <c r="AP88" s="39" t="str">
        <f aca="false">IF($U88&gt;0,IF(AND($U88&gt;=AN88,$U88&lt;=AO88),1,0),"")</f>
        <v/>
      </c>
      <c r="AQ88" s="40" t="str">
        <f aca="false">IF($U88&gt;0,$U88/AM88-1,"")</f>
        <v/>
      </c>
    </row>
    <row r="89" customFormat="false" ht="15" hidden="false" customHeight="false" outlineLevel="0" collapsed="false">
      <c r="A89" s="6" t="s">
        <v>356</v>
      </c>
      <c r="B89" s="6" t="s">
        <v>128</v>
      </c>
      <c r="C89" s="6" t="n">
        <v>1500</v>
      </c>
      <c r="D89" s="6" t="n">
        <v>1966</v>
      </c>
      <c r="E89" s="6" t="n">
        <v>25</v>
      </c>
      <c r="F89" s="6" t="s">
        <v>133</v>
      </c>
      <c r="G89" s="6" t="s">
        <v>136</v>
      </c>
      <c r="H89" s="6" t="n">
        <v>0</v>
      </c>
      <c r="I89" s="23" t="n">
        <v>355000</v>
      </c>
      <c r="J89" s="23" t="n">
        <v>2500</v>
      </c>
      <c r="K89" s="6" t="n">
        <v>300</v>
      </c>
      <c r="L89" s="6" t="s">
        <v>271</v>
      </c>
      <c r="M89" s="6" t="n">
        <v>0</v>
      </c>
      <c r="N89" s="6" t="n">
        <v>1</v>
      </c>
      <c r="O89" s="6" t="n">
        <v>0</v>
      </c>
      <c r="P89" s="6" t="n">
        <v>0</v>
      </c>
      <c r="Q89" s="6" t="n">
        <v>0</v>
      </c>
      <c r="R89" s="6" t="s">
        <v>265</v>
      </c>
      <c r="S89" s="5"/>
      <c r="T89" s="32"/>
      <c r="U89" s="17"/>
      <c r="V89" s="33" t="n">
        <f aca="false">MATCH($B89,Home_Data!$B$5:$B$56,0)</f>
        <v>9</v>
      </c>
      <c r="W89" s="34" t="n">
        <f aca="false">MIN(MAX($I89,50000),3000000)</f>
        <v>355000</v>
      </c>
      <c r="X89" s="35" t="n">
        <f aca="false">IFERROR(MIN(3,MAX(1,MATCH(W89,Home_Data!$C$4:$F$4,1))),1)</f>
        <v>2</v>
      </c>
      <c r="Y89" s="36" t="n">
        <f aca="false">INDEX(Home_Data!$C$5:$F$56,V89,X89)</f>
        <v>8471</v>
      </c>
      <c r="Z89" s="36" t="n">
        <f aca="false">INDEX(Home_Data!$C$5:$F$56,V89,X89+1)</f>
        <v>11161</v>
      </c>
      <c r="AA89" s="36" t="n">
        <f aca="false">INDEX(Home_Data!$C$4:$F$4,X89)</f>
        <v>300000</v>
      </c>
      <c r="AB89" s="36" t="n">
        <f aca="false">INDEX(Home_Data!$C$4:$F$4,X89+1)</f>
        <v>400000</v>
      </c>
      <c r="AC89" s="36" t="n">
        <f aca="false">IF($I89&lt;200000,INDEX(Home_Data!$C$5:$F$56,V89,1)*(MAX($I89,Home_Data!$B$90)/200000)^Home_Data!$B$89,Y89*(W89/AA89)^(LN(Z89/Y89)/LN(AB89/AA89)))</f>
        <v>9954.43021396209</v>
      </c>
      <c r="AD89" s="37" t="n">
        <f aca="false">IF($K89=100,Home_Data!$B$67,IF($K89=500,Home_Data!$B$69,Home_Data!$B$68))</f>
        <v>1</v>
      </c>
      <c r="AE89" s="37" t="n">
        <f aca="false">IF($J89&lt;=Home_Data!$B$61,Home_Data!$B$64,IF($J89&gt;=Home_Data!$B$63,Home_Data!$B$66,IF($J89&lt;=Home_Data!$B$62,Home_Data!$B$64+(Home_Data!$B$65-Home_Data!$B$64)*(LN($J89)-LN(Home_Data!$B$61))/(LN(Home_Data!$B$62)-LN(Home_Data!$B$61)),Home_Data!$B$65+(Home_Data!$B$66-Home_Data!$B$65)*(LN($J89)-LN(Home_Data!$B$62))/(LN(Home_Data!$B$63)-LN(Home_Data!$B$62)))))</f>
        <v>0.91</v>
      </c>
      <c r="AF89" s="38" t="n">
        <f aca="false">IF($E89&gt;=20,Home_Data!$B$80,IF($E89&gt;=10,Home_Data!$B$79,1))</f>
        <v>1.3</v>
      </c>
      <c r="AG89" s="38" t="n">
        <f aca="false">IF($D89&lt;1960,Home_Data!$B$81,IF($D89&lt;1980,Home_Data!$B$82,IF($D89&gt;=2000,Home_Data!$B$83,1)))</f>
        <v>1.08</v>
      </c>
      <c r="AH89" s="38" t="n">
        <f aca="false">IF($F89="brick",Home_Data!$B$78,1)</f>
        <v>1</v>
      </c>
      <c r="AI89" s="38" t="n">
        <f aca="false">IF($G89="rental",Home_Data!$B$84,IF($G89="vacation",Home_Data!$B$85,1))</f>
        <v>1</v>
      </c>
      <c r="AJ89" s="38" t="n">
        <f aca="false">INDEX(Home_Data!$B$70:$B$73,MIN(3,MAX(0,$H89))+1)</f>
        <v>1</v>
      </c>
      <c r="AK89" s="38" t="n">
        <f aca="false">IF(INDEX(Home_Data!$H$5:$H$56,V89)="Yes",1,IF($L89="poor",Home_Data!$B$74,IF($L89="fair",Home_Data!$B$75,IF($L89="excellent",Home_Data!$B$77,Home_Data!$B$76))))</f>
        <v>1.07</v>
      </c>
      <c r="AL89" s="38" t="n">
        <f aca="false">IF(($N89=1),Home_Data!$B$86,1)*IF(($O89=1),Home_Data!$B$87,1)*IF(($P89=1),Home_Data!$B$88,1)</f>
        <v>1.15</v>
      </c>
      <c r="AM89" s="34" t="n">
        <f aca="false">AC89*AD89*AE89*AF89*AG89*AH89*AI89*AJ89*AK89*AL89</f>
        <v>15649.7182979461</v>
      </c>
      <c r="AN89" s="34" t="n">
        <f aca="false">AM89*EXP(-Car_Data!$B$123*Home_Data!$B$91)</f>
        <v>11398.0550831104</v>
      </c>
      <c r="AO89" s="34" t="n">
        <f aca="false">AM89*EXP(Car_Data!$B$123*Home_Data!$B$91)</f>
        <v>21487.3222685142</v>
      </c>
      <c r="AP89" s="39" t="str">
        <f aca="false">IF($U89&gt;0,IF(AND($U89&gt;=AN89,$U89&lt;=AO89),1,0),"")</f>
        <v/>
      </c>
      <c r="AQ89" s="40" t="str">
        <f aca="false">IF($U89&gt;0,$U89/AM89-1,"")</f>
        <v/>
      </c>
    </row>
    <row r="90" customFormat="false" ht="15" hidden="false" customHeight="false" outlineLevel="0" collapsed="false">
      <c r="A90" s="6" t="s">
        <v>357</v>
      </c>
      <c r="B90" s="6" t="s">
        <v>128</v>
      </c>
      <c r="C90" s="6" t="n">
        <v>2300</v>
      </c>
      <c r="D90" s="6" t="n">
        <v>1961</v>
      </c>
      <c r="E90" s="6" t="n">
        <v>17</v>
      </c>
      <c r="F90" s="6" t="s">
        <v>133</v>
      </c>
      <c r="G90" s="6" t="s">
        <v>136</v>
      </c>
      <c r="H90" s="6" t="n">
        <v>0</v>
      </c>
      <c r="I90" s="23" t="n">
        <v>480000</v>
      </c>
      <c r="J90" s="23" t="n">
        <v>2500</v>
      </c>
      <c r="K90" s="6" t="n">
        <v>300</v>
      </c>
      <c r="L90" s="6" t="s">
        <v>271</v>
      </c>
      <c r="M90" s="6" t="n">
        <v>0</v>
      </c>
      <c r="N90" s="6" t="n">
        <v>1</v>
      </c>
      <c r="O90" s="6" t="n">
        <v>0</v>
      </c>
      <c r="P90" s="6" t="n">
        <v>0</v>
      </c>
      <c r="Q90" s="6" t="n">
        <v>0</v>
      </c>
      <c r="R90" s="6" t="s">
        <v>265</v>
      </c>
      <c r="S90" s="5"/>
      <c r="T90" s="32"/>
      <c r="U90" s="17"/>
      <c r="V90" s="33" t="n">
        <f aca="false">MATCH($B90,Home_Data!$B$5:$B$56,0)</f>
        <v>9</v>
      </c>
      <c r="W90" s="34" t="n">
        <f aca="false">MIN(MAX($I90,50000),3000000)</f>
        <v>480000</v>
      </c>
      <c r="X90" s="35" t="n">
        <f aca="false">IFERROR(MIN(3,MAX(1,MATCH(W90,Home_Data!$C$4:$F$4,1))),1)</f>
        <v>3</v>
      </c>
      <c r="Y90" s="36" t="n">
        <f aca="false">INDEX(Home_Data!$C$5:$F$56,V90,X90)</f>
        <v>11161</v>
      </c>
      <c r="Z90" s="36" t="n">
        <f aca="false">INDEX(Home_Data!$C$5:$F$56,V90,X90+1)</f>
        <v>16690</v>
      </c>
      <c r="AA90" s="36" t="n">
        <f aca="false">INDEX(Home_Data!$C$4:$F$4,X90)</f>
        <v>400000</v>
      </c>
      <c r="AB90" s="36" t="n">
        <f aca="false">INDEX(Home_Data!$C$4:$F$4,X90+1)</f>
        <v>600000</v>
      </c>
      <c r="AC90" s="36" t="n">
        <f aca="false">IF($I90&lt;200000,INDEX(Home_Data!$C$5:$F$56,V90,1)*(MAX($I90,Home_Data!$B$90)/200000)^Home_Data!$B$89,Y90*(W90/AA90)^(LN(Z90/Y90)/LN(AB90/AA90)))</f>
        <v>13374.6582894218</v>
      </c>
      <c r="AD90" s="37" t="n">
        <f aca="false">IF($K90=100,Home_Data!$B$67,IF($K90=500,Home_Data!$B$69,Home_Data!$B$68))</f>
        <v>1</v>
      </c>
      <c r="AE90" s="37" t="n">
        <f aca="false">IF($J90&lt;=Home_Data!$B$61,Home_Data!$B$64,IF($J90&gt;=Home_Data!$B$63,Home_Data!$B$66,IF($J90&lt;=Home_Data!$B$62,Home_Data!$B$64+(Home_Data!$B$65-Home_Data!$B$64)*(LN($J90)-LN(Home_Data!$B$61))/(LN(Home_Data!$B$62)-LN(Home_Data!$B$61)),Home_Data!$B$65+(Home_Data!$B$66-Home_Data!$B$65)*(LN($J90)-LN(Home_Data!$B$62))/(LN(Home_Data!$B$63)-LN(Home_Data!$B$62)))))</f>
        <v>0.91</v>
      </c>
      <c r="AF90" s="38" t="n">
        <f aca="false">IF($E90&gt;=20,Home_Data!$B$80,IF($E90&gt;=10,Home_Data!$B$79,1))</f>
        <v>1.1</v>
      </c>
      <c r="AG90" s="38" t="n">
        <f aca="false">IF($D90&lt;1960,Home_Data!$B$81,IF($D90&lt;1980,Home_Data!$B$82,IF($D90&gt;=2000,Home_Data!$B$83,1)))</f>
        <v>1.08</v>
      </c>
      <c r="AH90" s="38" t="n">
        <f aca="false">IF($F90="brick",Home_Data!$B$78,1)</f>
        <v>1</v>
      </c>
      <c r="AI90" s="38" t="n">
        <f aca="false">IF($G90="rental",Home_Data!$B$84,IF($G90="vacation",Home_Data!$B$85,1))</f>
        <v>1</v>
      </c>
      <c r="AJ90" s="38" t="n">
        <f aca="false">INDEX(Home_Data!$B$70:$B$73,MIN(3,MAX(0,$H90))+1)</f>
        <v>1</v>
      </c>
      <c r="AK90" s="38" t="n">
        <f aca="false">IF(INDEX(Home_Data!$H$5:$H$56,V90)="Yes",1,IF($L90="poor",Home_Data!$B$74,IF($L90="fair",Home_Data!$B$75,IF($L90="excellent",Home_Data!$B$77,Home_Data!$B$76))))</f>
        <v>1.07</v>
      </c>
      <c r="AL90" s="38" t="n">
        <f aca="false">IF(($N90=1),Home_Data!$B$86,1)*IF(($O90=1),Home_Data!$B$87,1)*IF(($P90=1),Home_Data!$B$88,1)</f>
        <v>1.15</v>
      </c>
      <c r="AM90" s="34" t="n">
        <f aca="false">AC90*AD90*AE90*AF90*AG90*AH90*AI90*AJ90*AK90*AL90</f>
        <v>17791.8925055314</v>
      </c>
      <c r="AN90" s="34" t="n">
        <f aca="false">AM90*EXP(-Car_Data!$B$123*Home_Data!$B$91)</f>
        <v>12958.2505544167</v>
      </c>
      <c r="AO90" s="34" t="n">
        <f aca="false">AM90*EXP(Car_Data!$B$123*Home_Data!$B$91)</f>
        <v>24428.5629143426</v>
      </c>
      <c r="AP90" s="39" t="str">
        <f aca="false">IF($U90&gt;0,IF(AND($U90&gt;=AN90,$U90&lt;=AO90),1,0),"")</f>
        <v/>
      </c>
      <c r="AQ90" s="40" t="str">
        <f aca="false">IF($U90&gt;0,$U90/AM90-1,"")</f>
        <v/>
      </c>
    </row>
    <row r="91" customFormat="false" ht="15" hidden="false" customHeight="false" outlineLevel="0" collapsed="false">
      <c r="A91" s="6" t="s">
        <v>358</v>
      </c>
      <c r="B91" s="6" t="s">
        <v>128</v>
      </c>
      <c r="C91" s="6" t="n">
        <v>1350</v>
      </c>
      <c r="D91" s="6" t="n">
        <v>1984</v>
      </c>
      <c r="E91" s="6" t="n">
        <v>14</v>
      </c>
      <c r="F91" s="6" t="s">
        <v>133</v>
      </c>
      <c r="G91" s="6" t="s">
        <v>136</v>
      </c>
      <c r="H91" s="6" t="n">
        <v>0</v>
      </c>
      <c r="I91" s="23" t="n">
        <v>290000</v>
      </c>
      <c r="J91" s="23" t="n">
        <v>1000</v>
      </c>
      <c r="K91" s="6" t="n">
        <v>300</v>
      </c>
      <c r="L91" s="6" t="s">
        <v>72</v>
      </c>
      <c r="M91" s="6" t="n">
        <v>1</v>
      </c>
      <c r="N91" s="6" t="n">
        <v>1</v>
      </c>
      <c r="O91" s="6" t="n">
        <v>0</v>
      </c>
      <c r="P91" s="6" t="n">
        <v>1</v>
      </c>
      <c r="Q91" s="6" t="n">
        <v>0</v>
      </c>
      <c r="R91" s="6" t="s">
        <v>359</v>
      </c>
      <c r="S91" s="5"/>
      <c r="T91" s="32"/>
      <c r="U91" s="17"/>
      <c r="V91" s="33" t="n">
        <f aca="false">MATCH($B91,Home_Data!$B$5:$B$56,0)</f>
        <v>9</v>
      </c>
      <c r="W91" s="34" t="n">
        <f aca="false">MIN(MAX($I91,50000),3000000)</f>
        <v>290000</v>
      </c>
      <c r="X91" s="35" t="n">
        <f aca="false">IFERROR(MIN(3,MAX(1,MATCH(W91,Home_Data!$C$4:$F$4,1))),1)</f>
        <v>1</v>
      </c>
      <c r="Y91" s="36" t="n">
        <f aca="false">INDEX(Home_Data!$C$5:$F$56,V91,X91)</f>
        <v>6203</v>
      </c>
      <c r="Z91" s="36" t="n">
        <f aca="false">INDEX(Home_Data!$C$5:$F$56,V91,X91+1)</f>
        <v>8471</v>
      </c>
      <c r="AA91" s="36" t="n">
        <f aca="false">INDEX(Home_Data!$C$4:$F$4,X91)</f>
        <v>200000</v>
      </c>
      <c r="AB91" s="36" t="n">
        <f aca="false">INDEX(Home_Data!$C$4:$F$4,X91+1)</f>
        <v>300000</v>
      </c>
      <c r="AC91" s="36" t="n">
        <f aca="false">IF($I91&lt;200000,INDEX(Home_Data!$C$5:$F$56,V91,1)*(MAX($I91,Home_Data!$B$90)/200000)^Home_Data!$B$89,Y91*(W91/AA91)^(LN(Z91/Y91)/LN(AB91/AA91)))</f>
        <v>8253.1415350841</v>
      </c>
      <c r="AD91" s="37" t="n">
        <f aca="false">IF($K91=100,Home_Data!$B$67,IF($K91=500,Home_Data!$B$69,Home_Data!$B$68))</f>
        <v>1</v>
      </c>
      <c r="AE91" s="37" t="n">
        <f aca="false">IF($J91&lt;=Home_Data!$B$61,Home_Data!$B$64,IF($J91&gt;=Home_Data!$B$63,Home_Data!$B$66,IF($J91&lt;=Home_Data!$B$62,Home_Data!$B$64+(Home_Data!$B$65-Home_Data!$B$64)*(LN($J91)-LN(Home_Data!$B$61))/(LN(Home_Data!$B$62)-LN(Home_Data!$B$61)),Home_Data!$B$65+(Home_Data!$B$66-Home_Data!$B$65)*(LN($J91)-LN(Home_Data!$B$62))/(LN(Home_Data!$B$63)-LN(Home_Data!$B$62)))))</f>
        <v>1</v>
      </c>
      <c r="AF91" s="38" t="n">
        <f aca="false">IF($E91&gt;=20,Home_Data!$B$80,IF($E91&gt;=10,Home_Data!$B$79,1))</f>
        <v>1.1</v>
      </c>
      <c r="AG91" s="38" t="n">
        <f aca="false">IF($D91&lt;1960,Home_Data!$B$81,IF($D91&lt;1980,Home_Data!$B$82,IF($D91&gt;=2000,Home_Data!$B$83,1)))</f>
        <v>1</v>
      </c>
      <c r="AH91" s="38" t="n">
        <f aca="false">IF($F91="brick",Home_Data!$B$78,1)</f>
        <v>1</v>
      </c>
      <c r="AI91" s="38" t="n">
        <f aca="false">IF($G91="rental",Home_Data!$B$84,IF($G91="vacation",Home_Data!$B$85,1))</f>
        <v>1</v>
      </c>
      <c r="AJ91" s="38" t="n">
        <f aca="false">INDEX(Home_Data!$B$70:$B$73,MIN(3,MAX(0,$H91))+1)</f>
        <v>1</v>
      </c>
      <c r="AK91" s="38" t="n">
        <f aca="false">IF(INDEX(Home_Data!$H$5:$H$56,V91)="Yes",1,IF($L91="poor",Home_Data!$B$74,IF($L91="fair",Home_Data!$B$75,IF($L91="excellent",Home_Data!$B$77,Home_Data!$B$76))))</f>
        <v>1</v>
      </c>
      <c r="AL91" s="38" t="n">
        <f aca="false">IF(($N91=1),Home_Data!$B$86,1)*IF(($O91=1),Home_Data!$B$87,1)*IF(($P91=1),Home_Data!$B$88,1)</f>
        <v>1.242</v>
      </c>
      <c r="AM91" s="34" t="n">
        <f aca="false">AC91*AD91*AE91*AF91*AG91*AH91*AI91*AJ91*AK91*AL91</f>
        <v>11275.4419652319</v>
      </c>
      <c r="AN91" s="34" t="n">
        <f aca="false">AM91*EXP(-Car_Data!$B$123*Home_Data!$B$91)</f>
        <v>8212.16753933485</v>
      </c>
      <c r="AO91" s="34" t="n">
        <f aca="false">AM91*EXP(Car_Data!$B$123*Home_Data!$B$91)</f>
        <v>15481.3684575181</v>
      </c>
      <c r="AP91" s="39" t="str">
        <f aca="false">IF($U91&gt;0,IF(AND($U91&gt;=AN91,$U91&lt;=AO91),1,0),"")</f>
        <v/>
      </c>
      <c r="AQ91" s="40" t="str">
        <f aca="false">IF($U91&gt;0,$U91/AM91-1,"")</f>
        <v/>
      </c>
    </row>
    <row r="92" customFormat="false" ht="15" hidden="false" customHeight="false" outlineLevel="0" collapsed="false">
      <c r="A92" s="6" t="s">
        <v>360</v>
      </c>
      <c r="B92" s="6" t="s">
        <v>128</v>
      </c>
      <c r="C92" s="6" t="n">
        <v>1950</v>
      </c>
      <c r="D92" s="6" t="n">
        <v>2007</v>
      </c>
      <c r="E92" s="6" t="n">
        <v>17</v>
      </c>
      <c r="F92" s="6" t="s">
        <v>261</v>
      </c>
      <c r="G92" s="6" t="s">
        <v>136</v>
      </c>
      <c r="H92" s="6" t="n">
        <v>1</v>
      </c>
      <c r="I92" s="23" t="n">
        <v>505000</v>
      </c>
      <c r="J92" s="23" t="n">
        <v>2500</v>
      </c>
      <c r="K92" s="6" t="n">
        <v>500</v>
      </c>
      <c r="L92" s="6" t="s">
        <v>271</v>
      </c>
      <c r="M92" s="6" t="n">
        <v>0</v>
      </c>
      <c r="N92" s="6" t="n">
        <v>0</v>
      </c>
      <c r="O92" s="6" t="n">
        <v>0</v>
      </c>
      <c r="P92" s="6" t="n">
        <v>0</v>
      </c>
      <c r="Q92" s="6" t="n">
        <v>0</v>
      </c>
      <c r="R92" s="6" t="s">
        <v>267</v>
      </c>
      <c r="S92" s="5"/>
      <c r="T92" s="32"/>
      <c r="U92" s="17"/>
      <c r="V92" s="33" t="n">
        <f aca="false">MATCH($B92,Home_Data!$B$5:$B$56,0)</f>
        <v>9</v>
      </c>
      <c r="W92" s="34" t="n">
        <f aca="false">MIN(MAX($I92,50000),3000000)</f>
        <v>505000</v>
      </c>
      <c r="X92" s="35" t="n">
        <f aca="false">IFERROR(MIN(3,MAX(1,MATCH(W92,Home_Data!$C$4:$F$4,1))),1)</f>
        <v>3</v>
      </c>
      <c r="Y92" s="36" t="n">
        <f aca="false">INDEX(Home_Data!$C$5:$F$56,V92,X92)</f>
        <v>11161</v>
      </c>
      <c r="Z92" s="36" t="n">
        <f aca="false">INDEX(Home_Data!$C$5:$F$56,V92,X92+1)</f>
        <v>16690</v>
      </c>
      <c r="AA92" s="36" t="n">
        <f aca="false">INDEX(Home_Data!$C$4:$F$4,X92)</f>
        <v>400000</v>
      </c>
      <c r="AB92" s="36" t="n">
        <f aca="false">INDEX(Home_Data!$C$4:$F$4,X92+1)</f>
        <v>600000</v>
      </c>
      <c r="AC92" s="36" t="n">
        <f aca="false">IF($I92&lt;200000,INDEX(Home_Data!$C$5:$F$56,V92,1)*(MAX($I92,Home_Data!$B$90)/200000)^Home_Data!$B$89,Y92*(W92/AA92)^(LN(Z92/Y92)/LN(AB92/AA92)))</f>
        <v>14065.8275190317</v>
      </c>
      <c r="AD92" s="37" t="n">
        <f aca="false">IF($K92=100,Home_Data!$B$67,IF($K92=500,Home_Data!$B$69,Home_Data!$B$68))</f>
        <v>1.005</v>
      </c>
      <c r="AE92" s="37" t="n">
        <f aca="false">IF($J92&lt;=Home_Data!$B$61,Home_Data!$B$64,IF($J92&gt;=Home_Data!$B$63,Home_Data!$B$66,IF($J92&lt;=Home_Data!$B$62,Home_Data!$B$64+(Home_Data!$B$65-Home_Data!$B$64)*(LN($J92)-LN(Home_Data!$B$61))/(LN(Home_Data!$B$62)-LN(Home_Data!$B$61)),Home_Data!$B$65+(Home_Data!$B$66-Home_Data!$B$65)*(LN($J92)-LN(Home_Data!$B$62))/(LN(Home_Data!$B$63)-LN(Home_Data!$B$62)))))</f>
        <v>0.91</v>
      </c>
      <c r="AF92" s="38" t="n">
        <f aca="false">IF($E92&gt;=20,Home_Data!$B$80,IF($E92&gt;=10,Home_Data!$B$79,1))</f>
        <v>1.1</v>
      </c>
      <c r="AG92" s="38" t="n">
        <f aca="false">IF($D92&lt;1960,Home_Data!$B$81,IF($D92&lt;1980,Home_Data!$B$82,IF($D92&gt;=2000,Home_Data!$B$83,1)))</f>
        <v>0.95</v>
      </c>
      <c r="AH92" s="38" t="n">
        <f aca="false">IF($F92="brick",Home_Data!$B$78,1)</f>
        <v>0.98</v>
      </c>
      <c r="AI92" s="38" t="n">
        <f aca="false">IF($G92="rental",Home_Data!$B$84,IF($G92="vacation",Home_Data!$B$85,1))</f>
        <v>1</v>
      </c>
      <c r="AJ92" s="38" t="n">
        <f aca="false">INDEX(Home_Data!$B$70:$B$73,MIN(3,MAX(0,$H92))+1)</f>
        <v>1.16</v>
      </c>
      <c r="AK92" s="38" t="n">
        <f aca="false">IF(INDEX(Home_Data!$H$5:$H$56,V92)="Yes",1,IF($L92="poor",Home_Data!$B$74,IF($L92="fair",Home_Data!$B$75,IF($L92="excellent",Home_Data!$B$77,Home_Data!$B$76))))</f>
        <v>1.07</v>
      </c>
      <c r="AL92" s="38" t="n">
        <f aca="false">IF(($N92=1),Home_Data!$B$86,1)*IF(($O92=1),Home_Data!$B$87,1)*IF(($P92=1),Home_Data!$B$88,1)</f>
        <v>1</v>
      </c>
      <c r="AM92" s="34" t="n">
        <f aca="false">AC92*AD92*AE92*AF92*AG92*AH92*AI92*AJ92*AK92*AL92</f>
        <v>16351.472742498</v>
      </c>
      <c r="AN92" s="34" t="n">
        <f aca="false">AM92*EXP(-Car_Data!$B$123*Home_Data!$B$91)</f>
        <v>11909.1592232321</v>
      </c>
      <c r="AO92" s="34" t="n">
        <f aca="false">AM92*EXP(Car_Data!$B$123*Home_Data!$B$91)</f>
        <v>22450.84273683</v>
      </c>
      <c r="AP92" s="39" t="str">
        <f aca="false">IF($U92&gt;0,IF(AND($U92&gt;=AN92,$U92&lt;=AO92),1,0),"")</f>
        <v/>
      </c>
      <c r="AQ92" s="40" t="str">
        <f aca="false">IF($U92&gt;0,$U92/AM92-1,"")</f>
        <v/>
      </c>
    </row>
    <row r="93" customFormat="false" ht="15" hidden="false" customHeight="false" outlineLevel="0" collapsed="false">
      <c r="A93" s="6" t="s">
        <v>361</v>
      </c>
      <c r="B93" s="6" t="s">
        <v>128</v>
      </c>
      <c r="C93" s="6" t="n">
        <v>1400</v>
      </c>
      <c r="D93" s="6" t="n">
        <v>1993</v>
      </c>
      <c r="E93" s="6" t="n">
        <v>8</v>
      </c>
      <c r="F93" s="6" t="s">
        <v>133</v>
      </c>
      <c r="G93" s="6" t="s">
        <v>136</v>
      </c>
      <c r="H93" s="6" t="n">
        <v>1</v>
      </c>
      <c r="I93" s="23" t="n">
        <v>370000</v>
      </c>
      <c r="J93" s="23" t="n">
        <v>2500</v>
      </c>
      <c r="K93" s="6" t="n">
        <v>300</v>
      </c>
      <c r="L93" s="6" t="s">
        <v>271</v>
      </c>
      <c r="M93" s="6" t="n">
        <v>0</v>
      </c>
      <c r="N93" s="6" t="n">
        <v>1</v>
      </c>
      <c r="O93" s="6" t="n">
        <v>0</v>
      </c>
      <c r="P93" s="6" t="n">
        <v>0</v>
      </c>
      <c r="Q93" s="6" t="n">
        <v>0</v>
      </c>
      <c r="R93" s="6" t="s">
        <v>265</v>
      </c>
      <c r="S93" s="5"/>
      <c r="T93" s="32"/>
      <c r="U93" s="17"/>
      <c r="V93" s="33" t="n">
        <f aca="false">MATCH($B93,Home_Data!$B$5:$B$56,0)</f>
        <v>9</v>
      </c>
      <c r="W93" s="34" t="n">
        <f aca="false">MIN(MAX($I93,50000),3000000)</f>
        <v>370000</v>
      </c>
      <c r="X93" s="35" t="n">
        <f aca="false">IFERROR(MIN(3,MAX(1,MATCH(W93,Home_Data!$C$4:$F$4,1))),1)</f>
        <v>2</v>
      </c>
      <c r="Y93" s="36" t="n">
        <f aca="false">INDEX(Home_Data!$C$5:$F$56,V93,X93)</f>
        <v>8471</v>
      </c>
      <c r="Z93" s="36" t="n">
        <f aca="false">INDEX(Home_Data!$C$5:$F$56,V93,X93+1)</f>
        <v>11161</v>
      </c>
      <c r="AA93" s="36" t="n">
        <f aca="false">INDEX(Home_Data!$C$4:$F$4,X93)</f>
        <v>300000</v>
      </c>
      <c r="AB93" s="36" t="n">
        <f aca="false">INDEX(Home_Data!$C$4:$F$4,X93+1)</f>
        <v>400000</v>
      </c>
      <c r="AC93" s="36" t="n">
        <f aca="false">IF($I93&lt;200000,INDEX(Home_Data!$C$5:$F$56,V93,1)*(MAX($I93,Home_Data!$B$90)/200000)^Home_Data!$B$89,Y93*(W93/AA93)^(LN(Z93/Y93)/LN(AB93/AA93)))</f>
        <v>10357.2864956318</v>
      </c>
      <c r="AD93" s="37" t="n">
        <f aca="false">IF($K93=100,Home_Data!$B$67,IF($K93=500,Home_Data!$B$69,Home_Data!$B$68))</f>
        <v>1</v>
      </c>
      <c r="AE93" s="37" t="n">
        <f aca="false">IF($J93&lt;=Home_Data!$B$61,Home_Data!$B$64,IF($J93&gt;=Home_Data!$B$63,Home_Data!$B$66,IF($J93&lt;=Home_Data!$B$62,Home_Data!$B$64+(Home_Data!$B$65-Home_Data!$B$64)*(LN($J93)-LN(Home_Data!$B$61))/(LN(Home_Data!$B$62)-LN(Home_Data!$B$61)),Home_Data!$B$65+(Home_Data!$B$66-Home_Data!$B$65)*(LN($J93)-LN(Home_Data!$B$62))/(LN(Home_Data!$B$63)-LN(Home_Data!$B$62)))))</f>
        <v>0.91</v>
      </c>
      <c r="AF93" s="38" t="n">
        <f aca="false">IF($E93&gt;=20,Home_Data!$B$80,IF($E93&gt;=10,Home_Data!$B$79,1))</f>
        <v>1</v>
      </c>
      <c r="AG93" s="38" t="n">
        <f aca="false">IF($D93&lt;1960,Home_Data!$B$81,IF($D93&lt;1980,Home_Data!$B$82,IF($D93&gt;=2000,Home_Data!$B$83,1)))</f>
        <v>1</v>
      </c>
      <c r="AH93" s="38" t="n">
        <f aca="false">IF($F93="brick",Home_Data!$B$78,1)</f>
        <v>1</v>
      </c>
      <c r="AI93" s="38" t="n">
        <f aca="false">IF($G93="rental",Home_Data!$B$84,IF($G93="vacation",Home_Data!$B$85,1))</f>
        <v>1</v>
      </c>
      <c r="AJ93" s="38" t="n">
        <f aca="false">INDEX(Home_Data!$B$70:$B$73,MIN(3,MAX(0,$H93))+1)</f>
        <v>1.16</v>
      </c>
      <c r="AK93" s="38" t="n">
        <f aca="false">IF(INDEX(Home_Data!$H$5:$H$56,V93)="Yes",1,IF($L93="poor",Home_Data!$B$74,IF($L93="fair",Home_Data!$B$75,IF($L93="excellent",Home_Data!$B$77,Home_Data!$B$76))))</f>
        <v>1.07</v>
      </c>
      <c r="AL93" s="38" t="n">
        <f aca="false">IF(($N93=1),Home_Data!$B$86,1)*IF(($O93=1),Home_Data!$B$87,1)*IF(($P93=1),Home_Data!$B$88,1)</f>
        <v>1.15</v>
      </c>
      <c r="AM93" s="34" t="n">
        <f aca="false">AC93*AD93*AE93*AF93*AG93*AH93*AI93*AJ93*AK93*AL93</f>
        <v>13453.2430743027</v>
      </c>
      <c r="AN93" s="34" t="n">
        <f aca="false">AM93*EXP(-Car_Data!$B$123*Home_Data!$B$91)</f>
        <v>9798.31091448466</v>
      </c>
      <c r="AO93" s="34" t="n">
        <f aca="false">AM93*EXP(Car_Data!$B$123*Home_Data!$B$91)</f>
        <v>18471.5254288084</v>
      </c>
      <c r="AP93" s="39" t="str">
        <f aca="false">IF($U93&gt;0,IF(AND($U93&gt;=AN93,$U93&lt;=AO93),1,0),"")</f>
        <v/>
      </c>
      <c r="AQ93" s="40" t="str">
        <f aca="false">IF($U93&gt;0,$U93/AM93-1,"")</f>
        <v/>
      </c>
    </row>
    <row r="94" customFormat="false" ht="15" hidden="false" customHeight="false" outlineLevel="0" collapsed="false">
      <c r="A94" s="6" t="s">
        <v>362</v>
      </c>
      <c r="B94" s="6" t="s">
        <v>128</v>
      </c>
      <c r="C94" s="6" t="n">
        <v>2000</v>
      </c>
      <c r="D94" s="6" t="n">
        <v>1976</v>
      </c>
      <c r="E94" s="6" t="n">
        <v>21</v>
      </c>
      <c r="F94" s="6" t="s">
        <v>133</v>
      </c>
      <c r="G94" s="6" t="s">
        <v>136</v>
      </c>
      <c r="H94" s="6" t="n">
        <v>0</v>
      </c>
      <c r="I94" s="23" t="n">
        <v>445000</v>
      </c>
      <c r="J94" s="23" t="n">
        <v>2500</v>
      </c>
      <c r="K94" s="6" t="n">
        <v>100</v>
      </c>
      <c r="L94" s="6" t="s">
        <v>264</v>
      </c>
      <c r="M94" s="6" t="n">
        <v>0</v>
      </c>
      <c r="N94" s="6" t="n">
        <v>1</v>
      </c>
      <c r="O94" s="6" t="n">
        <v>0</v>
      </c>
      <c r="P94" s="6" t="n">
        <v>0</v>
      </c>
      <c r="Q94" s="6" t="n">
        <v>0</v>
      </c>
      <c r="R94" s="6" t="s">
        <v>265</v>
      </c>
      <c r="S94" s="5"/>
      <c r="T94" s="32"/>
      <c r="U94" s="17"/>
      <c r="V94" s="33" t="n">
        <f aca="false">MATCH($B94,Home_Data!$B$5:$B$56,0)</f>
        <v>9</v>
      </c>
      <c r="W94" s="34" t="n">
        <f aca="false">MIN(MAX($I94,50000),3000000)</f>
        <v>445000</v>
      </c>
      <c r="X94" s="35" t="n">
        <f aca="false">IFERROR(MIN(3,MAX(1,MATCH(W94,Home_Data!$C$4:$F$4,1))),1)</f>
        <v>3</v>
      </c>
      <c r="Y94" s="36" t="n">
        <f aca="false">INDEX(Home_Data!$C$5:$F$56,V94,X94)</f>
        <v>11161</v>
      </c>
      <c r="Z94" s="36" t="n">
        <f aca="false">INDEX(Home_Data!$C$5:$F$56,V94,X94+1)</f>
        <v>16690</v>
      </c>
      <c r="AA94" s="36" t="n">
        <f aca="false">INDEX(Home_Data!$C$4:$F$4,X94)</f>
        <v>400000</v>
      </c>
      <c r="AB94" s="36" t="n">
        <f aca="false">INDEX(Home_Data!$C$4:$F$4,X94+1)</f>
        <v>600000</v>
      </c>
      <c r="AC94" s="36" t="n">
        <f aca="false">IF($I94&lt;200000,INDEX(Home_Data!$C$5:$F$56,V94,1)*(MAX($I94,Home_Data!$B$90)/200000)^Home_Data!$B$89,Y94*(W94/AA94)^(LN(Z94/Y94)/LN(AB94/AA94)))</f>
        <v>12406.5581889654</v>
      </c>
      <c r="AD94" s="37" t="n">
        <f aca="false">IF($K94=100,Home_Data!$B$67,IF($K94=500,Home_Data!$B$69,Home_Data!$B$68))</f>
        <v>0.991</v>
      </c>
      <c r="AE94" s="37" t="n">
        <f aca="false">IF($J94&lt;=Home_Data!$B$61,Home_Data!$B$64,IF($J94&gt;=Home_Data!$B$63,Home_Data!$B$66,IF($J94&lt;=Home_Data!$B$62,Home_Data!$B$64+(Home_Data!$B$65-Home_Data!$B$64)*(LN($J94)-LN(Home_Data!$B$61))/(LN(Home_Data!$B$62)-LN(Home_Data!$B$61)),Home_Data!$B$65+(Home_Data!$B$66-Home_Data!$B$65)*(LN($J94)-LN(Home_Data!$B$62))/(LN(Home_Data!$B$63)-LN(Home_Data!$B$62)))))</f>
        <v>0.91</v>
      </c>
      <c r="AF94" s="38" t="n">
        <f aca="false">IF($E94&gt;=20,Home_Data!$B$80,IF($E94&gt;=10,Home_Data!$B$79,1))</f>
        <v>1.3</v>
      </c>
      <c r="AG94" s="38" t="n">
        <f aca="false">IF($D94&lt;1960,Home_Data!$B$81,IF($D94&lt;1980,Home_Data!$B$82,IF($D94&gt;=2000,Home_Data!$B$83,1)))</f>
        <v>1.08</v>
      </c>
      <c r="AH94" s="38" t="n">
        <f aca="false">IF($F94="brick",Home_Data!$B$78,1)</f>
        <v>1</v>
      </c>
      <c r="AI94" s="38" t="n">
        <f aca="false">IF($G94="rental",Home_Data!$B$84,IF($G94="vacation",Home_Data!$B$85,1))</f>
        <v>1</v>
      </c>
      <c r="AJ94" s="38" t="n">
        <f aca="false">INDEX(Home_Data!$B$70:$B$73,MIN(3,MAX(0,$H94))+1)</f>
        <v>1</v>
      </c>
      <c r="AK94" s="38" t="n">
        <f aca="false">IF(INDEX(Home_Data!$H$5:$H$56,V94)="Yes",1,IF($L94="poor",Home_Data!$B$74,IF($L94="fair",Home_Data!$B$75,IF($L94="excellent",Home_Data!$B$77,Home_Data!$B$76))))</f>
        <v>0.89</v>
      </c>
      <c r="AL94" s="38" t="n">
        <f aca="false">IF(($N94=1),Home_Data!$B$86,1)*IF(($O94=1),Home_Data!$B$87,1)*IF(($P94=1),Home_Data!$B$88,1)</f>
        <v>1.15</v>
      </c>
      <c r="AM94" s="34" t="n">
        <f aca="false">AC94*AD94*AE94*AF94*AG94*AH94*AI94*AJ94*AK94*AL94</f>
        <v>16077.6036612923</v>
      </c>
      <c r="AN94" s="34" t="n">
        <f aca="false">AM94*EXP(-Car_Data!$B$123*Home_Data!$B$91)</f>
        <v>11709.6939795956</v>
      </c>
      <c r="AO94" s="34" t="n">
        <f aca="false">AM94*EXP(Car_Data!$B$123*Home_Data!$B$91)</f>
        <v>22074.8159550559</v>
      </c>
      <c r="AP94" s="39" t="str">
        <f aca="false">IF($U94&gt;0,IF(AND($U94&gt;=AN94,$U94&lt;=AO94),1,0),"")</f>
        <v/>
      </c>
      <c r="AQ94" s="40" t="str">
        <f aca="false">IF($U94&gt;0,$U94/AM94-1,"")</f>
        <v/>
      </c>
    </row>
    <row r="95" customFormat="false" ht="15" hidden="false" customHeight="false" outlineLevel="0" collapsed="false">
      <c r="A95" s="6" t="s">
        <v>363</v>
      </c>
      <c r="B95" s="6" t="s">
        <v>128</v>
      </c>
      <c r="C95" s="6" t="n">
        <v>1600</v>
      </c>
      <c r="D95" s="6" t="n">
        <v>1987</v>
      </c>
      <c r="E95" s="6" t="n">
        <v>20</v>
      </c>
      <c r="F95" s="6" t="s">
        <v>261</v>
      </c>
      <c r="G95" s="6" t="s">
        <v>136</v>
      </c>
      <c r="H95" s="6" t="n">
        <v>0</v>
      </c>
      <c r="I95" s="23" t="n">
        <v>335000</v>
      </c>
      <c r="J95" s="23" t="n">
        <v>2500</v>
      </c>
      <c r="K95" s="6" t="n">
        <v>100</v>
      </c>
      <c r="L95" s="6" t="s">
        <v>72</v>
      </c>
      <c r="M95" s="6" t="n">
        <v>1</v>
      </c>
      <c r="N95" s="6" t="n">
        <v>0</v>
      </c>
      <c r="O95" s="6" t="n">
        <v>0</v>
      </c>
      <c r="P95" s="6" t="n">
        <v>1</v>
      </c>
      <c r="Q95" s="6" t="n">
        <v>0</v>
      </c>
      <c r="R95" s="6" t="s">
        <v>314</v>
      </c>
      <c r="S95" s="5"/>
      <c r="T95" s="32"/>
      <c r="U95" s="17"/>
      <c r="V95" s="33" t="n">
        <f aca="false">MATCH($B95,Home_Data!$B$5:$B$56,0)</f>
        <v>9</v>
      </c>
      <c r="W95" s="34" t="n">
        <f aca="false">MIN(MAX($I95,50000),3000000)</f>
        <v>335000</v>
      </c>
      <c r="X95" s="35" t="n">
        <f aca="false">IFERROR(MIN(3,MAX(1,MATCH(W95,Home_Data!$C$4:$F$4,1))),1)</f>
        <v>2</v>
      </c>
      <c r="Y95" s="36" t="n">
        <f aca="false">INDEX(Home_Data!$C$5:$F$56,V95,X95)</f>
        <v>8471</v>
      </c>
      <c r="Z95" s="36" t="n">
        <f aca="false">INDEX(Home_Data!$C$5:$F$56,V95,X95+1)</f>
        <v>11161</v>
      </c>
      <c r="AA95" s="36" t="n">
        <f aca="false">INDEX(Home_Data!$C$4:$F$4,X95)</f>
        <v>300000</v>
      </c>
      <c r="AB95" s="36" t="n">
        <f aca="false">INDEX(Home_Data!$C$4:$F$4,X95+1)</f>
        <v>400000</v>
      </c>
      <c r="AC95" s="36" t="n">
        <f aca="false">IF($I95&lt;200000,INDEX(Home_Data!$C$5:$F$56,V95,1)*(MAX($I95,Home_Data!$B$90)/200000)^Home_Data!$B$89,Y95*(W95/AA95)^(LN(Z95/Y95)/LN(AB95/AA95)))</f>
        <v>9416.18592155329</v>
      </c>
      <c r="AD95" s="37" t="n">
        <f aca="false">IF($K95=100,Home_Data!$B$67,IF($K95=500,Home_Data!$B$69,Home_Data!$B$68))</f>
        <v>0.991</v>
      </c>
      <c r="AE95" s="37" t="n">
        <f aca="false">IF($J95&lt;=Home_Data!$B$61,Home_Data!$B$64,IF($J95&gt;=Home_Data!$B$63,Home_Data!$B$66,IF($J95&lt;=Home_Data!$B$62,Home_Data!$B$64+(Home_Data!$B$65-Home_Data!$B$64)*(LN($J95)-LN(Home_Data!$B$61))/(LN(Home_Data!$B$62)-LN(Home_Data!$B$61)),Home_Data!$B$65+(Home_Data!$B$66-Home_Data!$B$65)*(LN($J95)-LN(Home_Data!$B$62))/(LN(Home_Data!$B$63)-LN(Home_Data!$B$62)))))</f>
        <v>0.91</v>
      </c>
      <c r="AF95" s="38" t="n">
        <f aca="false">IF($E95&gt;=20,Home_Data!$B$80,IF($E95&gt;=10,Home_Data!$B$79,1))</f>
        <v>1.3</v>
      </c>
      <c r="AG95" s="38" t="n">
        <f aca="false">IF($D95&lt;1960,Home_Data!$B$81,IF($D95&lt;1980,Home_Data!$B$82,IF($D95&gt;=2000,Home_Data!$B$83,1)))</f>
        <v>1</v>
      </c>
      <c r="AH95" s="38" t="n">
        <f aca="false">IF($F95="brick",Home_Data!$B$78,1)</f>
        <v>0.98</v>
      </c>
      <c r="AI95" s="38" t="n">
        <f aca="false">IF($G95="rental",Home_Data!$B$84,IF($G95="vacation",Home_Data!$B$85,1))</f>
        <v>1</v>
      </c>
      <c r="AJ95" s="38" t="n">
        <f aca="false">INDEX(Home_Data!$B$70:$B$73,MIN(3,MAX(0,$H95))+1)</f>
        <v>1</v>
      </c>
      <c r="AK95" s="38" t="n">
        <f aca="false">IF(INDEX(Home_Data!$H$5:$H$56,V95)="Yes",1,IF($L95="poor",Home_Data!$B$74,IF($L95="fair",Home_Data!$B$75,IF($L95="excellent",Home_Data!$B$77,Home_Data!$B$76))))</f>
        <v>1</v>
      </c>
      <c r="AL95" s="38" t="n">
        <f aca="false">IF(($N95=1),Home_Data!$B$86,1)*IF(($O95=1),Home_Data!$B$87,1)*IF(($P95=1),Home_Data!$B$88,1)</f>
        <v>1.08</v>
      </c>
      <c r="AM95" s="34" t="n">
        <f aca="false">AC95*AD95*AE95*AF95*AG95*AH95*AI95*AJ95*AK95*AL95</f>
        <v>11683.7768924103</v>
      </c>
      <c r="AN95" s="34" t="n">
        <f aca="false">AM95*EXP(-Car_Data!$B$123*Home_Data!$B$91)</f>
        <v>8509.56739687402</v>
      </c>
      <c r="AO95" s="34" t="n">
        <f aca="false">AM95*EXP(Car_Data!$B$123*Home_Data!$B$91)</f>
        <v>16042.0190715885</v>
      </c>
      <c r="AP95" s="39" t="str">
        <f aca="false">IF($U95&gt;0,IF(AND($U95&gt;=AN95,$U95&lt;=AO95),1,0),"")</f>
        <v/>
      </c>
      <c r="AQ95" s="40" t="str">
        <f aca="false">IF($U95&gt;0,$U95/AM95-1,"")</f>
        <v/>
      </c>
    </row>
    <row r="96" customFormat="false" ht="15" hidden="false" customHeight="false" outlineLevel="0" collapsed="false">
      <c r="A96" s="6" t="s">
        <v>364</v>
      </c>
      <c r="B96" s="6" t="s">
        <v>128</v>
      </c>
      <c r="C96" s="6" t="n">
        <v>2850</v>
      </c>
      <c r="D96" s="6" t="n">
        <v>1962</v>
      </c>
      <c r="E96" s="6" t="n">
        <v>8</v>
      </c>
      <c r="F96" s="6" t="s">
        <v>133</v>
      </c>
      <c r="G96" s="6" t="s">
        <v>136</v>
      </c>
      <c r="H96" s="6" t="n">
        <v>0</v>
      </c>
      <c r="I96" s="23" t="n">
        <v>830000</v>
      </c>
      <c r="J96" s="23" t="n">
        <v>1000</v>
      </c>
      <c r="K96" s="6" t="n">
        <v>300</v>
      </c>
      <c r="L96" s="6" t="s">
        <v>72</v>
      </c>
      <c r="M96" s="6" t="n">
        <v>0</v>
      </c>
      <c r="N96" s="6" t="n">
        <v>0</v>
      </c>
      <c r="O96" s="6" t="n">
        <v>0</v>
      </c>
      <c r="P96" s="6" t="n">
        <v>0</v>
      </c>
      <c r="Q96" s="6" t="n">
        <v>0</v>
      </c>
      <c r="R96" s="6" t="s">
        <v>267</v>
      </c>
      <c r="S96" s="5"/>
      <c r="T96" s="32"/>
      <c r="U96" s="17"/>
      <c r="V96" s="33" t="n">
        <f aca="false">MATCH($B96,Home_Data!$B$5:$B$56,0)</f>
        <v>9</v>
      </c>
      <c r="W96" s="34" t="n">
        <f aca="false">MIN(MAX($I96,50000),3000000)</f>
        <v>830000</v>
      </c>
      <c r="X96" s="35" t="n">
        <f aca="false">IFERROR(MIN(3,MAX(1,MATCH(W96,Home_Data!$C$4:$F$4,1))),1)</f>
        <v>3</v>
      </c>
      <c r="Y96" s="36" t="n">
        <f aca="false">INDEX(Home_Data!$C$5:$F$56,V96,X96)</f>
        <v>11161</v>
      </c>
      <c r="Z96" s="36" t="n">
        <f aca="false">INDEX(Home_Data!$C$5:$F$56,V96,X96+1)</f>
        <v>16690</v>
      </c>
      <c r="AA96" s="36" t="n">
        <f aca="false">INDEX(Home_Data!$C$4:$F$4,X96)</f>
        <v>400000</v>
      </c>
      <c r="AB96" s="36" t="n">
        <f aca="false">INDEX(Home_Data!$C$4:$F$4,X96+1)</f>
        <v>600000</v>
      </c>
      <c r="AC96" s="36" t="n">
        <f aca="false">IF($I96&lt;200000,INDEX(Home_Data!$C$5:$F$56,V96,1)*(MAX($I96,Home_Data!$B$90)/200000)^Home_Data!$B$89,Y96*(W96/AA96)^(LN(Z96/Y96)/LN(AB96/AA96)))</f>
        <v>23030.9761293961</v>
      </c>
      <c r="AD96" s="37" t="n">
        <f aca="false">IF($K96=100,Home_Data!$B$67,IF($K96=500,Home_Data!$B$69,Home_Data!$B$68))</f>
        <v>1</v>
      </c>
      <c r="AE96" s="37" t="n">
        <f aca="false">IF($J96&lt;=Home_Data!$B$61,Home_Data!$B$64,IF($J96&gt;=Home_Data!$B$63,Home_Data!$B$66,IF($J96&lt;=Home_Data!$B$62,Home_Data!$B$64+(Home_Data!$B$65-Home_Data!$B$64)*(LN($J96)-LN(Home_Data!$B$61))/(LN(Home_Data!$B$62)-LN(Home_Data!$B$61)),Home_Data!$B$65+(Home_Data!$B$66-Home_Data!$B$65)*(LN($J96)-LN(Home_Data!$B$62))/(LN(Home_Data!$B$63)-LN(Home_Data!$B$62)))))</f>
        <v>1</v>
      </c>
      <c r="AF96" s="38" t="n">
        <f aca="false">IF($E96&gt;=20,Home_Data!$B$80,IF($E96&gt;=10,Home_Data!$B$79,1))</f>
        <v>1</v>
      </c>
      <c r="AG96" s="38" t="n">
        <f aca="false">IF($D96&lt;1960,Home_Data!$B$81,IF($D96&lt;1980,Home_Data!$B$82,IF($D96&gt;=2000,Home_Data!$B$83,1)))</f>
        <v>1.08</v>
      </c>
      <c r="AH96" s="38" t="n">
        <f aca="false">IF($F96="brick",Home_Data!$B$78,1)</f>
        <v>1</v>
      </c>
      <c r="AI96" s="38" t="n">
        <f aca="false">IF($G96="rental",Home_Data!$B$84,IF($G96="vacation",Home_Data!$B$85,1))</f>
        <v>1</v>
      </c>
      <c r="AJ96" s="38" t="n">
        <f aca="false">INDEX(Home_Data!$B$70:$B$73,MIN(3,MAX(0,$H96))+1)</f>
        <v>1</v>
      </c>
      <c r="AK96" s="38" t="n">
        <f aca="false">IF(INDEX(Home_Data!$H$5:$H$56,V96)="Yes",1,IF($L96="poor",Home_Data!$B$74,IF($L96="fair",Home_Data!$B$75,IF($L96="excellent",Home_Data!$B$77,Home_Data!$B$76))))</f>
        <v>1</v>
      </c>
      <c r="AL96" s="38" t="n">
        <f aca="false">IF(($N96=1),Home_Data!$B$86,1)*IF(($O96=1),Home_Data!$B$87,1)*IF(($P96=1),Home_Data!$B$88,1)</f>
        <v>1</v>
      </c>
      <c r="AM96" s="34" t="n">
        <f aca="false">AC96*AD96*AE96*AF96*AG96*AH96*AI96*AJ96*AK96*AL96</f>
        <v>24873.4542197478</v>
      </c>
      <c r="AN96" s="34" t="n">
        <f aca="false">AM96*EXP(-Car_Data!$B$123*Home_Data!$B$91)</f>
        <v>18115.9172265176</v>
      </c>
      <c r="AO96" s="34" t="n">
        <f aca="false">AM96*EXP(Car_Data!$B$123*Home_Data!$B$91)</f>
        <v>34151.6643670832</v>
      </c>
      <c r="AP96" s="39" t="str">
        <f aca="false">IF($U96&gt;0,IF(AND($U96&gt;=AN96,$U96&lt;=AO96),1,0),"")</f>
        <v/>
      </c>
      <c r="AQ96" s="40" t="str">
        <f aca="false">IF($U96&gt;0,$U96/AM96-1,"")</f>
        <v/>
      </c>
    </row>
    <row r="97" customFormat="false" ht="15" hidden="false" customHeight="false" outlineLevel="0" collapsed="false">
      <c r="A97" s="6" t="s">
        <v>365</v>
      </c>
      <c r="B97" s="6" t="s">
        <v>128</v>
      </c>
      <c r="C97" s="6" t="n">
        <v>2200</v>
      </c>
      <c r="D97" s="6" t="n">
        <v>2002</v>
      </c>
      <c r="E97" s="6" t="n">
        <v>12</v>
      </c>
      <c r="F97" s="6" t="s">
        <v>133</v>
      </c>
      <c r="G97" s="6" t="s">
        <v>136</v>
      </c>
      <c r="H97" s="6" t="n">
        <v>1</v>
      </c>
      <c r="I97" s="23" t="n">
        <v>535000</v>
      </c>
      <c r="J97" s="23" t="n">
        <v>1000</v>
      </c>
      <c r="K97" s="6" t="n">
        <v>300</v>
      </c>
      <c r="L97" s="6" t="s">
        <v>264</v>
      </c>
      <c r="M97" s="6" t="n">
        <v>0</v>
      </c>
      <c r="N97" s="6" t="n">
        <v>1</v>
      </c>
      <c r="O97" s="6" t="n">
        <v>0</v>
      </c>
      <c r="P97" s="6" t="n">
        <v>0</v>
      </c>
      <c r="Q97" s="6" t="n">
        <v>0</v>
      </c>
      <c r="R97" s="6" t="s">
        <v>265</v>
      </c>
      <c r="S97" s="5"/>
      <c r="T97" s="32"/>
      <c r="U97" s="17"/>
      <c r="V97" s="33" t="n">
        <f aca="false">MATCH($B97,Home_Data!$B$5:$B$56,0)</f>
        <v>9</v>
      </c>
      <c r="W97" s="34" t="n">
        <f aca="false">MIN(MAX($I97,50000),3000000)</f>
        <v>535000</v>
      </c>
      <c r="X97" s="35" t="n">
        <f aca="false">IFERROR(MIN(3,MAX(1,MATCH(W97,Home_Data!$C$4:$F$4,1))),1)</f>
        <v>3</v>
      </c>
      <c r="Y97" s="36" t="n">
        <f aca="false">INDEX(Home_Data!$C$5:$F$56,V97,X97)</f>
        <v>11161</v>
      </c>
      <c r="Z97" s="36" t="n">
        <f aca="false">INDEX(Home_Data!$C$5:$F$56,V97,X97+1)</f>
        <v>16690</v>
      </c>
      <c r="AA97" s="36" t="n">
        <f aca="false">INDEX(Home_Data!$C$4:$F$4,X97)</f>
        <v>400000</v>
      </c>
      <c r="AB97" s="36" t="n">
        <f aca="false">INDEX(Home_Data!$C$4:$F$4,X97+1)</f>
        <v>600000</v>
      </c>
      <c r="AC97" s="36" t="n">
        <f aca="false">IF($I97&lt;200000,INDEX(Home_Data!$C$5:$F$56,V97,1)*(MAX($I97,Home_Data!$B$90)/200000)^Home_Data!$B$89,Y97*(W97/AA97)^(LN(Z97/Y97)/LN(AB97/AA97)))</f>
        <v>14894.8884368633</v>
      </c>
      <c r="AD97" s="37" t="n">
        <f aca="false">IF($K97=100,Home_Data!$B$67,IF($K97=500,Home_Data!$B$69,Home_Data!$B$68))</f>
        <v>1</v>
      </c>
      <c r="AE97" s="37" t="n">
        <f aca="false">IF($J97&lt;=Home_Data!$B$61,Home_Data!$B$64,IF($J97&gt;=Home_Data!$B$63,Home_Data!$B$66,IF($J97&lt;=Home_Data!$B$62,Home_Data!$B$64+(Home_Data!$B$65-Home_Data!$B$64)*(LN($J97)-LN(Home_Data!$B$61))/(LN(Home_Data!$B$62)-LN(Home_Data!$B$61)),Home_Data!$B$65+(Home_Data!$B$66-Home_Data!$B$65)*(LN($J97)-LN(Home_Data!$B$62))/(LN(Home_Data!$B$63)-LN(Home_Data!$B$62)))))</f>
        <v>1</v>
      </c>
      <c r="AF97" s="38" t="n">
        <f aca="false">IF($E97&gt;=20,Home_Data!$B$80,IF($E97&gt;=10,Home_Data!$B$79,1))</f>
        <v>1.1</v>
      </c>
      <c r="AG97" s="38" t="n">
        <f aca="false">IF($D97&lt;1960,Home_Data!$B$81,IF($D97&lt;1980,Home_Data!$B$82,IF($D97&gt;=2000,Home_Data!$B$83,1)))</f>
        <v>0.95</v>
      </c>
      <c r="AH97" s="38" t="n">
        <f aca="false">IF($F97="brick",Home_Data!$B$78,1)</f>
        <v>1</v>
      </c>
      <c r="AI97" s="38" t="n">
        <f aca="false">IF($G97="rental",Home_Data!$B$84,IF($G97="vacation",Home_Data!$B$85,1))</f>
        <v>1</v>
      </c>
      <c r="AJ97" s="38" t="n">
        <f aca="false">INDEX(Home_Data!$B$70:$B$73,MIN(3,MAX(0,$H97))+1)</f>
        <v>1.16</v>
      </c>
      <c r="AK97" s="38" t="n">
        <f aca="false">IF(INDEX(Home_Data!$H$5:$H$56,V97)="Yes",1,IF($L97="poor",Home_Data!$B$74,IF($L97="fair",Home_Data!$B$75,IF($L97="excellent",Home_Data!$B$77,Home_Data!$B$76))))</f>
        <v>0.89</v>
      </c>
      <c r="AL97" s="38" t="n">
        <f aca="false">IF(($N97=1),Home_Data!$B$86,1)*IF(($O97=1),Home_Data!$B$87,1)*IF(($P97=1),Home_Data!$B$88,1)</f>
        <v>1.15</v>
      </c>
      <c r="AM97" s="34" t="n">
        <f aca="false">AC97*AD97*AE97*AF97*AG97*AH97*AI97*AJ97*AK97*AL97</f>
        <v>18479.8899816001</v>
      </c>
      <c r="AN97" s="34" t="n">
        <f aca="false">AM97*EXP(-Car_Data!$B$123*Home_Data!$B$91)</f>
        <v>13459.3351733201</v>
      </c>
      <c r="AO97" s="34" t="n">
        <f aca="false">AM97*EXP(Car_Data!$B$123*Home_Data!$B$91)</f>
        <v>25373.1948372158</v>
      </c>
      <c r="AP97" s="39" t="str">
        <f aca="false">IF($U97&gt;0,IF(AND($U97&gt;=AN97,$U97&lt;=AO97),1,0),"")</f>
        <v/>
      </c>
      <c r="AQ97" s="40" t="str">
        <f aca="false">IF($U97&gt;0,$U97/AM97-1,"")</f>
        <v/>
      </c>
    </row>
    <row r="98" customFormat="false" ht="15" hidden="false" customHeight="false" outlineLevel="0" collapsed="false">
      <c r="A98" s="6" t="s">
        <v>366</v>
      </c>
      <c r="B98" s="6" t="s">
        <v>128</v>
      </c>
      <c r="C98" s="6" t="n">
        <v>3350</v>
      </c>
      <c r="D98" s="6" t="n">
        <v>2008</v>
      </c>
      <c r="E98" s="6" t="n">
        <v>4</v>
      </c>
      <c r="F98" s="6" t="s">
        <v>133</v>
      </c>
      <c r="G98" s="6" t="s">
        <v>136</v>
      </c>
      <c r="H98" s="6" t="n">
        <v>0</v>
      </c>
      <c r="I98" s="23" t="n">
        <v>865000</v>
      </c>
      <c r="J98" s="23" t="n">
        <v>2500</v>
      </c>
      <c r="K98" s="6" t="n">
        <v>100</v>
      </c>
      <c r="L98" s="6" t="s">
        <v>284</v>
      </c>
      <c r="M98" s="6" t="n">
        <v>1</v>
      </c>
      <c r="N98" s="6" t="n">
        <v>1</v>
      </c>
      <c r="O98" s="6" t="n">
        <v>0</v>
      </c>
      <c r="P98" s="6" t="n">
        <v>0</v>
      </c>
      <c r="Q98" s="6" t="n">
        <v>0</v>
      </c>
      <c r="R98" s="6" t="s">
        <v>343</v>
      </c>
      <c r="S98" s="5"/>
      <c r="T98" s="32"/>
      <c r="U98" s="17"/>
      <c r="V98" s="33" t="n">
        <f aca="false">MATCH($B98,Home_Data!$B$5:$B$56,0)</f>
        <v>9</v>
      </c>
      <c r="W98" s="34" t="n">
        <f aca="false">MIN(MAX($I98,50000),3000000)</f>
        <v>865000</v>
      </c>
      <c r="X98" s="35" t="n">
        <f aca="false">IFERROR(MIN(3,MAX(1,MATCH(W98,Home_Data!$C$4:$F$4,1))),1)</f>
        <v>3</v>
      </c>
      <c r="Y98" s="36" t="n">
        <f aca="false">INDEX(Home_Data!$C$5:$F$56,V98,X98)</f>
        <v>11161</v>
      </c>
      <c r="Z98" s="36" t="n">
        <f aca="false">INDEX(Home_Data!$C$5:$F$56,V98,X98+1)</f>
        <v>16690</v>
      </c>
      <c r="AA98" s="36" t="n">
        <f aca="false">INDEX(Home_Data!$C$4:$F$4,X98)</f>
        <v>400000</v>
      </c>
      <c r="AB98" s="36" t="n">
        <f aca="false">INDEX(Home_Data!$C$4:$F$4,X98+1)</f>
        <v>600000</v>
      </c>
      <c r="AC98" s="36" t="n">
        <f aca="false">IF($I98&lt;200000,INDEX(Home_Data!$C$5:$F$56,V98,1)*(MAX($I98,Home_Data!$B$90)/200000)^Home_Data!$B$89,Y98*(W98/AA98)^(LN(Z98/Y98)/LN(AB98/AA98)))</f>
        <v>23994.6300399031</v>
      </c>
      <c r="AD98" s="37" t="n">
        <f aca="false">IF($K98=100,Home_Data!$B$67,IF($K98=500,Home_Data!$B$69,Home_Data!$B$68))</f>
        <v>0.991</v>
      </c>
      <c r="AE98" s="37" t="n">
        <f aca="false">IF($J98&lt;=Home_Data!$B$61,Home_Data!$B$64,IF($J98&gt;=Home_Data!$B$63,Home_Data!$B$66,IF($J98&lt;=Home_Data!$B$62,Home_Data!$B$64+(Home_Data!$B$65-Home_Data!$B$64)*(LN($J98)-LN(Home_Data!$B$61))/(LN(Home_Data!$B$62)-LN(Home_Data!$B$61)),Home_Data!$B$65+(Home_Data!$B$66-Home_Data!$B$65)*(LN($J98)-LN(Home_Data!$B$62))/(LN(Home_Data!$B$63)-LN(Home_Data!$B$62)))))</f>
        <v>0.91</v>
      </c>
      <c r="AF98" s="38" t="n">
        <f aca="false">IF($E98&gt;=20,Home_Data!$B$80,IF($E98&gt;=10,Home_Data!$B$79,1))</f>
        <v>1</v>
      </c>
      <c r="AG98" s="38" t="n">
        <f aca="false">IF($D98&lt;1960,Home_Data!$B$81,IF($D98&lt;1980,Home_Data!$B$82,IF($D98&gt;=2000,Home_Data!$B$83,1)))</f>
        <v>0.95</v>
      </c>
      <c r="AH98" s="38" t="n">
        <f aca="false">IF($F98="brick",Home_Data!$B$78,1)</f>
        <v>1</v>
      </c>
      <c r="AI98" s="38" t="n">
        <f aca="false">IF($G98="rental",Home_Data!$B$84,IF($G98="vacation",Home_Data!$B$85,1))</f>
        <v>1</v>
      </c>
      <c r="AJ98" s="38" t="n">
        <f aca="false">INDEX(Home_Data!$B$70:$B$73,MIN(3,MAX(0,$H98))+1)</f>
        <v>1</v>
      </c>
      <c r="AK98" s="38" t="n">
        <f aca="false">IF(INDEX(Home_Data!$H$5:$H$56,V98)="Yes",1,IF($L98="poor",Home_Data!$B$74,IF($L98="fair",Home_Data!$B$75,IF($L98="excellent",Home_Data!$B$77,Home_Data!$B$76))))</f>
        <v>2.11</v>
      </c>
      <c r="AL98" s="38" t="n">
        <f aca="false">IF(($N98=1),Home_Data!$B$86,1)*IF(($O98=1),Home_Data!$B$87,1)*IF(($P98=1),Home_Data!$B$88,1)</f>
        <v>1.15</v>
      </c>
      <c r="AM98" s="34" t="n">
        <f aca="false">AC98*AD98*AE98*AF98*AG98*AH98*AI98*AJ98*AK98*AL98</f>
        <v>49880.7535685673</v>
      </c>
      <c r="AN98" s="34" t="n">
        <f aca="false">AM98*EXP(-Car_Data!$B$123*Home_Data!$B$91)</f>
        <v>36329.316984332</v>
      </c>
      <c r="AO98" s="34" t="n">
        <f aca="false">AM98*EXP(Car_Data!$B$123*Home_Data!$B$91)</f>
        <v>68487.100311883</v>
      </c>
      <c r="AP98" s="39" t="str">
        <f aca="false">IF($U98&gt;0,IF(AND($U98&gt;=AN98,$U98&lt;=AO98),1,0),"")</f>
        <v/>
      </c>
      <c r="AQ98" s="40" t="str">
        <f aca="false">IF($U98&gt;0,$U98/AM98-1,"")</f>
        <v/>
      </c>
    </row>
    <row r="99" customFormat="false" ht="15" hidden="false" customHeight="false" outlineLevel="0" collapsed="false">
      <c r="A99" s="6" t="s">
        <v>367</v>
      </c>
      <c r="B99" s="6" t="s">
        <v>128</v>
      </c>
      <c r="C99" s="6" t="n">
        <v>2100</v>
      </c>
      <c r="D99" s="6" t="n">
        <v>2019</v>
      </c>
      <c r="E99" s="6" t="n">
        <v>2</v>
      </c>
      <c r="F99" s="6" t="s">
        <v>133</v>
      </c>
      <c r="G99" s="6" t="s">
        <v>136</v>
      </c>
      <c r="H99" s="6" t="n">
        <v>1</v>
      </c>
      <c r="I99" s="23" t="n">
        <v>445000</v>
      </c>
      <c r="J99" s="23" t="n">
        <v>1000</v>
      </c>
      <c r="K99" s="6" t="n">
        <v>500</v>
      </c>
      <c r="L99" s="6" t="s">
        <v>72</v>
      </c>
      <c r="M99" s="6" t="n">
        <v>0</v>
      </c>
      <c r="N99" s="6" t="n">
        <v>0</v>
      </c>
      <c r="O99" s="6" t="n">
        <v>0</v>
      </c>
      <c r="P99" s="6" t="n">
        <v>0</v>
      </c>
      <c r="Q99" s="6" t="n">
        <v>0</v>
      </c>
      <c r="R99" s="6" t="s">
        <v>267</v>
      </c>
      <c r="S99" s="5"/>
      <c r="T99" s="32"/>
      <c r="U99" s="17"/>
      <c r="V99" s="33" t="n">
        <f aca="false">MATCH($B99,Home_Data!$B$5:$B$56,0)</f>
        <v>9</v>
      </c>
      <c r="W99" s="34" t="n">
        <f aca="false">MIN(MAX($I99,50000),3000000)</f>
        <v>445000</v>
      </c>
      <c r="X99" s="35" t="n">
        <f aca="false">IFERROR(MIN(3,MAX(1,MATCH(W99,Home_Data!$C$4:$F$4,1))),1)</f>
        <v>3</v>
      </c>
      <c r="Y99" s="36" t="n">
        <f aca="false">INDEX(Home_Data!$C$5:$F$56,V99,X99)</f>
        <v>11161</v>
      </c>
      <c r="Z99" s="36" t="n">
        <f aca="false">INDEX(Home_Data!$C$5:$F$56,V99,X99+1)</f>
        <v>16690</v>
      </c>
      <c r="AA99" s="36" t="n">
        <f aca="false">INDEX(Home_Data!$C$4:$F$4,X99)</f>
        <v>400000</v>
      </c>
      <c r="AB99" s="36" t="n">
        <f aca="false">INDEX(Home_Data!$C$4:$F$4,X99+1)</f>
        <v>600000</v>
      </c>
      <c r="AC99" s="36" t="n">
        <f aca="false">IF($I99&lt;200000,INDEX(Home_Data!$C$5:$F$56,V99,1)*(MAX($I99,Home_Data!$B$90)/200000)^Home_Data!$B$89,Y99*(W99/AA99)^(LN(Z99/Y99)/LN(AB99/AA99)))</f>
        <v>12406.5581889654</v>
      </c>
      <c r="AD99" s="37" t="n">
        <f aca="false">IF($K99=100,Home_Data!$B$67,IF($K99=500,Home_Data!$B$69,Home_Data!$B$68))</f>
        <v>1.005</v>
      </c>
      <c r="AE99" s="37" t="n">
        <f aca="false">IF($J99&lt;=Home_Data!$B$61,Home_Data!$B$64,IF($J99&gt;=Home_Data!$B$63,Home_Data!$B$66,IF($J99&lt;=Home_Data!$B$62,Home_Data!$B$64+(Home_Data!$B$65-Home_Data!$B$64)*(LN($J99)-LN(Home_Data!$B$61))/(LN(Home_Data!$B$62)-LN(Home_Data!$B$61)),Home_Data!$B$65+(Home_Data!$B$66-Home_Data!$B$65)*(LN($J99)-LN(Home_Data!$B$62))/(LN(Home_Data!$B$63)-LN(Home_Data!$B$62)))))</f>
        <v>1</v>
      </c>
      <c r="AF99" s="38" t="n">
        <f aca="false">IF($E99&gt;=20,Home_Data!$B$80,IF($E99&gt;=10,Home_Data!$B$79,1))</f>
        <v>1</v>
      </c>
      <c r="AG99" s="38" t="n">
        <f aca="false">IF($D99&lt;1960,Home_Data!$B$81,IF($D99&lt;1980,Home_Data!$B$82,IF($D99&gt;=2000,Home_Data!$B$83,1)))</f>
        <v>0.95</v>
      </c>
      <c r="AH99" s="38" t="n">
        <f aca="false">IF($F99="brick",Home_Data!$B$78,1)</f>
        <v>1</v>
      </c>
      <c r="AI99" s="38" t="n">
        <f aca="false">IF($G99="rental",Home_Data!$B$84,IF($G99="vacation",Home_Data!$B$85,1))</f>
        <v>1</v>
      </c>
      <c r="AJ99" s="38" t="n">
        <f aca="false">INDEX(Home_Data!$B$70:$B$73,MIN(3,MAX(0,$H99))+1)</f>
        <v>1.16</v>
      </c>
      <c r="AK99" s="38" t="n">
        <f aca="false">IF(INDEX(Home_Data!$H$5:$H$56,V99)="Yes",1,IF($L99="poor",Home_Data!$B$74,IF($L99="fair",Home_Data!$B$75,IF($L99="excellent",Home_Data!$B$77,Home_Data!$B$76))))</f>
        <v>1</v>
      </c>
      <c r="AL99" s="38" t="n">
        <f aca="false">IF(($N99=1),Home_Data!$B$86,1)*IF(($O99=1),Home_Data!$B$87,1)*IF(($P99=1),Home_Data!$B$88,1)</f>
        <v>1</v>
      </c>
      <c r="AM99" s="34" t="n">
        <f aca="false">AC99*AD99*AE99*AF99*AG99*AH99*AI99*AJ99*AK99*AL99</f>
        <v>13740.3872598611</v>
      </c>
      <c r="AN99" s="34" t="n">
        <f aca="false">AM99*EXP(-Car_Data!$B$123*Home_Data!$B$91)</f>
        <v>10007.4447264472</v>
      </c>
      <c r="AO99" s="34" t="n">
        <f aca="false">AM99*EXP(Car_Data!$B$123*Home_Data!$B$91)</f>
        <v>18865.7791485978</v>
      </c>
      <c r="AP99" s="39" t="str">
        <f aca="false">IF($U99&gt;0,IF(AND($U99&gt;=AN99,$U99&lt;=AO99),1,0),"")</f>
        <v/>
      </c>
      <c r="AQ99" s="40" t="str">
        <f aca="false">IF($U99&gt;0,$U99/AM99-1,"")</f>
        <v/>
      </c>
    </row>
    <row r="100" customFormat="false" ht="15" hidden="false" customHeight="false" outlineLevel="0" collapsed="false">
      <c r="A100" s="6" t="s">
        <v>368</v>
      </c>
      <c r="B100" s="6" t="s">
        <v>128</v>
      </c>
      <c r="C100" s="6" t="n">
        <v>3700</v>
      </c>
      <c r="D100" s="6" t="n">
        <v>2010</v>
      </c>
      <c r="E100" s="6" t="n">
        <v>15</v>
      </c>
      <c r="F100" s="6" t="s">
        <v>133</v>
      </c>
      <c r="G100" s="6" t="s">
        <v>136</v>
      </c>
      <c r="H100" s="6" t="n">
        <v>1</v>
      </c>
      <c r="I100" s="23" t="n">
        <v>770000</v>
      </c>
      <c r="J100" s="23" t="n">
        <v>1000</v>
      </c>
      <c r="K100" s="6" t="n">
        <v>300</v>
      </c>
      <c r="L100" s="6" t="s">
        <v>72</v>
      </c>
      <c r="M100" s="6" t="n">
        <v>0</v>
      </c>
      <c r="N100" s="6" t="n">
        <v>1</v>
      </c>
      <c r="O100" s="6" t="n">
        <v>0</v>
      </c>
      <c r="P100" s="6" t="n">
        <v>0</v>
      </c>
      <c r="Q100" s="6" t="n">
        <v>0</v>
      </c>
      <c r="R100" s="6" t="s">
        <v>265</v>
      </c>
      <c r="S100" s="5"/>
      <c r="T100" s="32"/>
      <c r="U100" s="17"/>
      <c r="V100" s="33" t="n">
        <f aca="false">MATCH($B100,Home_Data!$B$5:$B$56,0)</f>
        <v>9</v>
      </c>
      <c r="W100" s="34" t="n">
        <f aca="false">MIN(MAX($I100,50000),3000000)</f>
        <v>770000</v>
      </c>
      <c r="X100" s="35" t="n">
        <f aca="false">IFERROR(MIN(3,MAX(1,MATCH(W100,Home_Data!$C$4:$F$4,1))),1)</f>
        <v>3</v>
      </c>
      <c r="Y100" s="36" t="n">
        <f aca="false">INDEX(Home_Data!$C$5:$F$56,V100,X100)</f>
        <v>11161</v>
      </c>
      <c r="Z100" s="36" t="n">
        <f aca="false">INDEX(Home_Data!$C$5:$F$56,V100,X100+1)</f>
        <v>16690</v>
      </c>
      <c r="AA100" s="36" t="n">
        <f aca="false">INDEX(Home_Data!$C$4:$F$4,X100)</f>
        <v>400000</v>
      </c>
      <c r="AB100" s="36" t="n">
        <f aca="false">INDEX(Home_Data!$C$4:$F$4,X100+1)</f>
        <v>600000</v>
      </c>
      <c r="AC100" s="36" t="n">
        <f aca="false">IF($I100&lt;200000,INDEX(Home_Data!$C$5:$F$56,V100,1)*(MAX($I100,Home_Data!$B$90)/200000)^Home_Data!$B$89,Y100*(W100/AA100)^(LN(Z100/Y100)/LN(AB100/AA100)))</f>
        <v>21378.2717499564</v>
      </c>
      <c r="AD100" s="37" t="n">
        <f aca="false">IF($K100=100,Home_Data!$B$67,IF($K100=500,Home_Data!$B$69,Home_Data!$B$68))</f>
        <v>1</v>
      </c>
      <c r="AE100" s="37" t="n">
        <f aca="false">IF($J100&lt;=Home_Data!$B$61,Home_Data!$B$64,IF($J100&gt;=Home_Data!$B$63,Home_Data!$B$66,IF($J100&lt;=Home_Data!$B$62,Home_Data!$B$64+(Home_Data!$B$65-Home_Data!$B$64)*(LN($J100)-LN(Home_Data!$B$61))/(LN(Home_Data!$B$62)-LN(Home_Data!$B$61)),Home_Data!$B$65+(Home_Data!$B$66-Home_Data!$B$65)*(LN($J100)-LN(Home_Data!$B$62))/(LN(Home_Data!$B$63)-LN(Home_Data!$B$62)))))</f>
        <v>1</v>
      </c>
      <c r="AF100" s="38" t="n">
        <f aca="false">IF($E100&gt;=20,Home_Data!$B$80,IF($E100&gt;=10,Home_Data!$B$79,1))</f>
        <v>1.1</v>
      </c>
      <c r="AG100" s="38" t="n">
        <f aca="false">IF($D100&lt;1960,Home_Data!$B$81,IF($D100&lt;1980,Home_Data!$B$82,IF($D100&gt;=2000,Home_Data!$B$83,1)))</f>
        <v>0.95</v>
      </c>
      <c r="AH100" s="38" t="n">
        <f aca="false">IF($F100="brick",Home_Data!$B$78,1)</f>
        <v>1</v>
      </c>
      <c r="AI100" s="38" t="n">
        <f aca="false">IF($G100="rental",Home_Data!$B$84,IF($G100="vacation",Home_Data!$B$85,1))</f>
        <v>1</v>
      </c>
      <c r="AJ100" s="38" t="n">
        <f aca="false">INDEX(Home_Data!$B$70:$B$73,MIN(3,MAX(0,$H100))+1)</f>
        <v>1.16</v>
      </c>
      <c r="AK100" s="38" t="n">
        <f aca="false">IF(INDEX(Home_Data!$H$5:$H$56,V100)="Yes",1,IF($L100="poor",Home_Data!$B$74,IF($L100="fair",Home_Data!$B$75,IF($L100="excellent",Home_Data!$B$77,Home_Data!$B$76))))</f>
        <v>1</v>
      </c>
      <c r="AL100" s="38" t="n">
        <f aca="false">IF(($N100=1),Home_Data!$B$86,1)*IF(($O100=1),Home_Data!$B$87,1)*IF(($P100=1),Home_Data!$B$88,1)</f>
        <v>1.15</v>
      </c>
      <c r="AM100" s="34" t="n">
        <f aca="false">AC100*AD100*AE100*AF100*AG100*AH100*AI100*AJ100*AK100*AL100</f>
        <v>29801.9521675917</v>
      </c>
      <c r="AN100" s="34" t="n">
        <f aca="false">AM100*EXP(-Car_Data!$B$123*Home_Data!$B$91)</f>
        <v>21705.4573074975</v>
      </c>
      <c r="AO100" s="34" t="n">
        <f aca="false">AM100*EXP(Car_Data!$B$123*Home_Data!$B$91)</f>
        <v>40918.5736295286</v>
      </c>
      <c r="AP100" s="39" t="str">
        <f aca="false">IF($U100&gt;0,IF(AND($U100&gt;=AN100,$U100&lt;=AO100),1,0),"")</f>
        <v/>
      </c>
      <c r="AQ100" s="40" t="str">
        <f aca="false">IF($U100&gt;0,$U100/AM100-1,"")</f>
        <v/>
      </c>
    </row>
    <row r="101" customFormat="false" ht="15" hidden="false" customHeight="false" outlineLevel="0" collapsed="false">
      <c r="A101" s="6" t="s">
        <v>369</v>
      </c>
      <c r="B101" s="6" t="s">
        <v>128</v>
      </c>
      <c r="C101" s="6" t="n">
        <v>3350</v>
      </c>
      <c r="D101" s="6" t="n">
        <v>2022</v>
      </c>
      <c r="E101" s="6" t="n">
        <v>0</v>
      </c>
      <c r="F101" s="6" t="s">
        <v>133</v>
      </c>
      <c r="G101" s="6" t="s">
        <v>136</v>
      </c>
      <c r="H101" s="6" t="n">
        <v>0</v>
      </c>
      <c r="I101" s="23" t="n">
        <v>970000</v>
      </c>
      <c r="J101" s="23" t="n">
        <v>2500</v>
      </c>
      <c r="K101" s="6" t="n">
        <v>100</v>
      </c>
      <c r="L101" s="6" t="s">
        <v>72</v>
      </c>
      <c r="M101" s="6" t="n">
        <v>0</v>
      </c>
      <c r="N101" s="6" t="n">
        <v>1</v>
      </c>
      <c r="O101" s="6" t="n">
        <v>0</v>
      </c>
      <c r="P101" s="6" t="n">
        <v>0</v>
      </c>
      <c r="Q101" s="6" t="n">
        <v>0</v>
      </c>
      <c r="R101" s="6" t="s">
        <v>265</v>
      </c>
      <c r="S101" s="5"/>
      <c r="T101" s="32"/>
      <c r="U101" s="17"/>
      <c r="V101" s="33" t="n">
        <f aca="false">MATCH($B101,Home_Data!$B$5:$B$56,0)</f>
        <v>9</v>
      </c>
      <c r="W101" s="34" t="n">
        <f aca="false">MIN(MAX($I101,50000),3000000)</f>
        <v>970000</v>
      </c>
      <c r="X101" s="35" t="n">
        <f aca="false">IFERROR(MIN(3,MAX(1,MATCH(W101,Home_Data!$C$4:$F$4,1))),1)</f>
        <v>3</v>
      </c>
      <c r="Y101" s="36" t="n">
        <f aca="false">INDEX(Home_Data!$C$5:$F$56,V101,X101)</f>
        <v>11161</v>
      </c>
      <c r="Z101" s="36" t="n">
        <f aca="false">INDEX(Home_Data!$C$5:$F$56,V101,X101+1)</f>
        <v>16690</v>
      </c>
      <c r="AA101" s="36" t="n">
        <f aca="false">INDEX(Home_Data!$C$4:$F$4,X101)</f>
        <v>400000</v>
      </c>
      <c r="AB101" s="36" t="n">
        <f aca="false">INDEX(Home_Data!$C$4:$F$4,X101+1)</f>
        <v>600000</v>
      </c>
      <c r="AC101" s="36" t="n">
        <f aca="false">IF($I101&lt;200000,INDEX(Home_Data!$C$5:$F$56,V101,1)*(MAX($I101,Home_Data!$B$90)/200000)^Home_Data!$B$89,Y101*(W101/AA101)^(LN(Z101/Y101)/LN(AB101/AA101)))</f>
        <v>26883.8594693728</v>
      </c>
      <c r="AD101" s="37" t="n">
        <f aca="false">IF($K101=100,Home_Data!$B$67,IF($K101=500,Home_Data!$B$69,Home_Data!$B$68))</f>
        <v>0.991</v>
      </c>
      <c r="AE101" s="37" t="n">
        <f aca="false">IF($J101&lt;=Home_Data!$B$61,Home_Data!$B$64,IF($J101&gt;=Home_Data!$B$63,Home_Data!$B$66,IF($J101&lt;=Home_Data!$B$62,Home_Data!$B$64+(Home_Data!$B$65-Home_Data!$B$64)*(LN($J101)-LN(Home_Data!$B$61))/(LN(Home_Data!$B$62)-LN(Home_Data!$B$61)),Home_Data!$B$65+(Home_Data!$B$66-Home_Data!$B$65)*(LN($J101)-LN(Home_Data!$B$62))/(LN(Home_Data!$B$63)-LN(Home_Data!$B$62)))))</f>
        <v>0.91</v>
      </c>
      <c r="AF101" s="38" t="n">
        <f aca="false">IF($E101&gt;=20,Home_Data!$B$80,IF($E101&gt;=10,Home_Data!$B$79,1))</f>
        <v>1</v>
      </c>
      <c r="AG101" s="38" t="n">
        <f aca="false">IF($D101&lt;1960,Home_Data!$B$81,IF($D101&lt;1980,Home_Data!$B$82,IF($D101&gt;=2000,Home_Data!$B$83,1)))</f>
        <v>0.95</v>
      </c>
      <c r="AH101" s="38" t="n">
        <f aca="false">IF($F101="brick",Home_Data!$B$78,1)</f>
        <v>1</v>
      </c>
      <c r="AI101" s="38" t="n">
        <f aca="false">IF($G101="rental",Home_Data!$B$84,IF($G101="vacation",Home_Data!$B$85,1))</f>
        <v>1</v>
      </c>
      <c r="AJ101" s="38" t="n">
        <f aca="false">INDEX(Home_Data!$B$70:$B$73,MIN(3,MAX(0,$H101))+1)</f>
        <v>1</v>
      </c>
      <c r="AK101" s="38" t="n">
        <f aca="false">IF(INDEX(Home_Data!$H$5:$H$56,V101)="Yes",1,IF($L101="poor",Home_Data!$B$74,IF($L101="fair",Home_Data!$B$75,IF($L101="excellent",Home_Data!$B$77,Home_Data!$B$76))))</f>
        <v>1</v>
      </c>
      <c r="AL101" s="38" t="n">
        <f aca="false">IF(($N101=1),Home_Data!$B$86,1)*IF(($O101=1),Home_Data!$B$87,1)*IF(($P101=1),Home_Data!$B$88,1)</f>
        <v>1.15</v>
      </c>
      <c r="AM101" s="34" t="n">
        <f aca="false">AC101*AD101*AE101*AF101*AG101*AH101*AI101*AJ101*AK101*AL101</f>
        <v>26486.715639072</v>
      </c>
      <c r="AN101" s="34" t="n">
        <f aca="false">AM101*EXP(-Car_Data!$B$123*Home_Data!$B$91)</f>
        <v>19290.8931699074</v>
      </c>
      <c r="AO101" s="34" t="n">
        <f aca="false">AM101*EXP(Car_Data!$B$123*Home_Data!$B$91)</f>
        <v>36366.6989996829</v>
      </c>
      <c r="AP101" s="39" t="str">
        <f aca="false">IF($U101&gt;0,IF(AND($U101&gt;=AN101,$U101&lt;=AO101),1,0),"")</f>
        <v/>
      </c>
      <c r="AQ101" s="40" t="str">
        <f aca="false">IF($U101&gt;0,$U101/AM101-1,"")</f>
        <v/>
      </c>
    </row>
    <row r="102" customFormat="false" ht="15" hidden="false" customHeight="false" outlineLevel="0" collapsed="false">
      <c r="A102" s="6" t="s">
        <v>370</v>
      </c>
      <c r="B102" s="6" t="s">
        <v>128</v>
      </c>
      <c r="C102" s="6" t="n">
        <v>2050</v>
      </c>
      <c r="D102" s="6" t="n">
        <v>1964</v>
      </c>
      <c r="E102" s="6" t="n">
        <v>20</v>
      </c>
      <c r="F102" s="6" t="s">
        <v>133</v>
      </c>
      <c r="G102" s="6" t="s">
        <v>136</v>
      </c>
      <c r="H102" s="6" t="n">
        <v>1</v>
      </c>
      <c r="I102" s="23" t="n">
        <v>510000</v>
      </c>
      <c r="J102" s="23" t="n">
        <v>5000</v>
      </c>
      <c r="K102" s="6" t="n">
        <v>100</v>
      </c>
      <c r="L102" s="6" t="s">
        <v>264</v>
      </c>
      <c r="M102" s="6" t="n">
        <v>1</v>
      </c>
      <c r="N102" s="6" t="n">
        <v>1</v>
      </c>
      <c r="O102" s="6" t="n">
        <v>0</v>
      </c>
      <c r="P102" s="6" t="n">
        <v>0</v>
      </c>
      <c r="Q102" s="6" t="n">
        <v>0</v>
      </c>
      <c r="R102" s="6" t="s">
        <v>343</v>
      </c>
      <c r="S102" s="5"/>
      <c r="T102" s="32"/>
      <c r="U102" s="17"/>
      <c r="V102" s="33" t="n">
        <f aca="false">MATCH($B102,Home_Data!$B$5:$B$56,0)</f>
        <v>9</v>
      </c>
      <c r="W102" s="34" t="n">
        <f aca="false">MIN(MAX($I102,50000),3000000)</f>
        <v>510000</v>
      </c>
      <c r="X102" s="35" t="n">
        <f aca="false">IFERROR(MIN(3,MAX(1,MATCH(W102,Home_Data!$C$4:$F$4,1))),1)</f>
        <v>3</v>
      </c>
      <c r="Y102" s="36" t="n">
        <f aca="false">INDEX(Home_Data!$C$5:$F$56,V102,X102)</f>
        <v>11161</v>
      </c>
      <c r="Z102" s="36" t="n">
        <f aca="false">INDEX(Home_Data!$C$5:$F$56,V102,X102+1)</f>
        <v>16690</v>
      </c>
      <c r="AA102" s="36" t="n">
        <f aca="false">INDEX(Home_Data!$C$4:$F$4,X102)</f>
        <v>400000</v>
      </c>
      <c r="AB102" s="36" t="n">
        <f aca="false">INDEX(Home_Data!$C$4:$F$4,X102+1)</f>
        <v>600000</v>
      </c>
      <c r="AC102" s="36" t="n">
        <f aca="false">IF($I102&lt;200000,INDEX(Home_Data!$C$5:$F$56,V102,1)*(MAX($I102,Home_Data!$B$90)/200000)^Home_Data!$B$89,Y102*(W102/AA102)^(LN(Z102/Y102)/LN(AB102/AA102)))</f>
        <v>14204.0297457152</v>
      </c>
      <c r="AD102" s="37" t="n">
        <f aca="false">IF($K102=100,Home_Data!$B$67,IF($K102=500,Home_Data!$B$69,Home_Data!$B$68))</f>
        <v>0.991</v>
      </c>
      <c r="AE102" s="37" t="n">
        <f aca="false">IF($J102&lt;=Home_Data!$B$61,Home_Data!$B$64,IF($J102&gt;=Home_Data!$B$63,Home_Data!$B$66,IF($J102&lt;=Home_Data!$B$62,Home_Data!$B$64+(Home_Data!$B$65-Home_Data!$B$64)*(LN($J102)-LN(Home_Data!$B$61))/(LN(Home_Data!$B$62)-LN(Home_Data!$B$61)),Home_Data!$B$65+(Home_Data!$B$66-Home_Data!$B$65)*(LN($J102)-LN(Home_Data!$B$62))/(LN(Home_Data!$B$63)-LN(Home_Data!$B$62)))))</f>
        <v>0.84</v>
      </c>
      <c r="AF102" s="38" t="n">
        <f aca="false">IF($E102&gt;=20,Home_Data!$B$80,IF($E102&gt;=10,Home_Data!$B$79,1))</f>
        <v>1.3</v>
      </c>
      <c r="AG102" s="38" t="n">
        <f aca="false">IF($D102&lt;1960,Home_Data!$B$81,IF($D102&lt;1980,Home_Data!$B$82,IF($D102&gt;=2000,Home_Data!$B$83,1)))</f>
        <v>1.08</v>
      </c>
      <c r="AH102" s="38" t="n">
        <f aca="false">IF($F102="brick",Home_Data!$B$78,1)</f>
        <v>1</v>
      </c>
      <c r="AI102" s="38" t="n">
        <f aca="false">IF($G102="rental",Home_Data!$B$84,IF($G102="vacation",Home_Data!$B$85,1))</f>
        <v>1</v>
      </c>
      <c r="AJ102" s="38" t="n">
        <f aca="false">INDEX(Home_Data!$B$70:$B$73,MIN(3,MAX(0,$H102))+1)</f>
        <v>1.16</v>
      </c>
      <c r="AK102" s="38" t="n">
        <f aca="false">IF(INDEX(Home_Data!$H$5:$H$56,V102)="Yes",1,IF($L102="poor",Home_Data!$B$74,IF($L102="fair",Home_Data!$B$75,IF($L102="excellent",Home_Data!$B$77,Home_Data!$B$76))))</f>
        <v>0.89</v>
      </c>
      <c r="AL102" s="38" t="n">
        <f aca="false">IF(($N102=1),Home_Data!$B$86,1)*IF(($O102=1),Home_Data!$B$87,1)*IF(($P102=1),Home_Data!$B$88,1)</f>
        <v>1.15</v>
      </c>
      <c r="AM102" s="34" t="n">
        <f aca="false">AC102*AD102*AE102*AF102*AG102*AH102*AI102*AJ102*AK102*AL102</f>
        <v>19709.5839881198</v>
      </c>
      <c r="AN102" s="34" t="n">
        <f aca="false">AM102*EXP(-Car_Data!$B$123*Home_Data!$B$91)</f>
        <v>14354.950017935</v>
      </c>
      <c r="AO102" s="34" t="n">
        <f aca="false">AM102*EXP(Car_Data!$B$123*Home_Data!$B$91)</f>
        <v>27061.5850629502</v>
      </c>
      <c r="AP102" s="39" t="str">
        <f aca="false">IF($U102&gt;0,IF(AND($U102&gt;=AN102,$U102&lt;=AO102),1,0),"")</f>
        <v/>
      </c>
      <c r="AQ102" s="40" t="str">
        <f aca="false">IF($U102&gt;0,$U102/AM102-1,"")</f>
        <v/>
      </c>
    </row>
    <row r="103" customFormat="false" ht="15" hidden="false" customHeight="false" outlineLevel="0" collapsed="false">
      <c r="A103" s="6" t="s">
        <v>371</v>
      </c>
      <c r="B103" s="6" t="s">
        <v>128</v>
      </c>
      <c r="C103" s="6" t="n">
        <v>3450</v>
      </c>
      <c r="D103" s="6" t="n">
        <v>2007</v>
      </c>
      <c r="E103" s="6" t="n">
        <v>5</v>
      </c>
      <c r="F103" s="6" t="s">
        <v>133</v>
      </c>
      <c r="G103" s="6" t="s">
        <v>136</v>
      </c>
      <c r="H103" s="6" t="n">
        <v>0</v>
      </c>
      <c r="I103" s="23" t="n">
        <v>890000</v>
      </c>
      <c r="J103" s="23" t="n">
        <v>1000</v>
      </c>
      <c r="K103" s="6" t="n">
        <v>300</v>
      </c>
      <c r="L103" s="6" t="s">
        <v>72</v>
      </c>
      <c r="M103" s="6" t="n">
        <v>0</v>
      </c>
      <c r="N103" s="6" t="n">
        <v>0</v>
      </c>
      <c r="O103" s="6" t="n">
        <v>0</v>
      </c>
      <c r="P103" s="6" t="n">
        <v>0</v>
      </c>
      <c r="Q103" s="6" t="n">
        <v>0</v>
      </c>
      <c r="R103" s="6" t="s">
        <v>267</v>
      </c>
      <c r="S103" s="5"/>
      <c r="T103" s="32"/>
      <c r="U103" s="17"/>
      <c r="V103" s="33" t="n">
        <f aca="false">MATCH($B103,Home_Data!$B$5:$B$56,0)</f>
        <v>9</v>
      </c>
      <c r="W103" s="34" t="n">
        <f aca="false">MIN(MAX($I103,50000),3000000)</f>
        <v>890000</v>
      </c>
      <c r="X103" s="35" t="n">
        <f aca="false">IFERROR(MIN(3,MAX(1,MATCH(W103,Home_Data!$C$4:$F$4,1))),1)</f>
        <v>3</v>
      </c>
      <c r="Y103" s="36" t="n">
        <f aca="false">INDEX(Home_Data!$C$5:$F$56,V103,X103)</f>
        <v>11161</v>
      </c>
      <c r="Z103" s="36" t="n">
        <f aca="false">INDEX(Home_Data!$C$5:$F$56,V103,X103+1)</f>
        <v>16690</v>
      </c>
      <c r="AA103" s="36" t="n">
        <f aca="false">INDEX(Home_Data!$C$4:$F$4,X103)</f>
        <v>400000</v>
      </c>
      <c r="AB103" s="36" t="n">
        <f aca="false">INDEX(Home_Data!$C$4:$F$4,X103+1)</f>
        <v>600000</v>
      </c>
      <c r="AC103" s="36" t="n">
        <f aca="false">IF($I103&lt;200000,INDEX(Home_Data!$C$5:$F$56,V103,1)*(MAX($I103,Home_Data!$B$90)/200000)^Home_Data!$B$89,Y103*(W103/AA103)^(LN(Z103/Y103)/LN(AB103/AA103)))</f>
        <v>24682.7721498904</v>
      </c>
      <c r="AD103" s="37" t="n">
        <f aca="false">IF($K103=100,Home_Data!$B$67,IF($K103=500,Home_Data!$B$69,Home_Data!$B$68))</f>
        <v>1</v>
      </c>
      <c r="AE103" s="37" t="n">
        <f aca="false">IF($J103&lt;=Home_Data!$B$61,Home_Data!$B$64,IF($J103&gt;=Home_Data!$B$63,Home_Data!$B$66,IF($J103&lt;=Home_Data!$B$62,Home_Data!$B$64+(Home_Data!$B$65-Home_Data!$B$64)*(LN($J103)-LN(Home_Data!$B$61))/(LN(Home_Data!$B$62)-LN(Home_Data!$B$61)),Home_Data!$B$65+(Home_Data!$B$66-Home_Data!$B$65)*(LN($J103)-LN(Home_Data!$B$62))/(LN(Home_Data!$B$63)-LN(Home_Data!$B$62)))))</f>
        <v>1</v>
      </c>
      <c r="AF103" s="38" t="n">
        <f aca="false">IF($E103&gt;=20,Home_Data!$B$80,IF($E103&gt;=10,Home_Data!$B$79,1))</f>
        <v>1</v>
      </c>
      <c r="AG103" s="38" t="n">
        <f aca="false">IF($D103&lt;1960,Home_Data!$B$81,IF($D103&lt;1980,Home_Data!$B$82,IF($D103&gt;=2000,Home_Data!$B$83,1)))</f>
        <v>0.95</v>
      </c>
      <c r="AH103" s="38" t="n">
        <f aca="false">IF($F103="brick",Home_Data!$B$78,1)</f>
        <v>1</v>
      </c>
      <c r="AI103" s="38" t="n">
        <f aca="false">IF($G103="rental",Home_Data!$B$84,IF($G103="vacation",Home_Data!$B$85,1))</f>
        <v>1</v>
      </c>
      <c r="AJ103" s="38" t="n">
        <f aca="false">INDEX(Home_Data!$B$70:$B$73,MIN(3,MAX(0,$H103))+1)</f>
        <v>1</v>
      </c>
      <c r="AK103" s="38" t="n">
        <f aca="false">IF(INDEX(Home_Data!$H$5:$H$56,V103)="Yes",1,IF($L103="poor",Home_Data!$B$74,IF($L103="fair",Home_Data!$B$75,IF($L103="excellent",Home_Data!$B$77,Home_Data!$B$76))))</f>
        <v>1</v>
      </c>
      <c r="AL103" s="38" t="n">
        <f aca="false">IF(($N103=1),Home_Data!$B$86,1)*IF(($O103=1),Home_Data!$B$87,1)*IF(($P103=1),Home_Data!$B$88,1)</f>
        <v>1</v>
      </c>
      <c r="AM103" s="34" t="n">
        <f aca="false">AC103*AD103*AE103*AF103*AG103*AH103*AI103*AJ103*AK103*AL103</f>
        <v>23448.6335423959</v>
      </c>
      <c r="AN103" s="34" t="n">
        <f aca="false">AM103*EXP(-Car_Data!$B$123*Home_Data!$B$91)</f>
        <v>17078.1870734999</v>
      </c>
      <c r="AO103" s="34" t="n">
        <f aca="false">AM103*EXP(Car_Data!$B$123*Home_Data!$B$91)</f>
        <v>32195.3619924187</v>
      </c>
      <c r="AP103" s="39" t="str">
        <f aca="false">IF($U103&gt;0,IF(AND($U103&gt;=AN103,$U103&lt;=AO103),1,0),"")</f>
        <v/>
      </c>
      <c r="AQ103" s="40" t="str">
        <f aca="false">IF($U103&gt;0,$U103/AM103-1,"")</f>
        <v/>
      </c>
    </row>
    <row r="104" customFormat="false" ht="15" hidden="false" customHeight="false" outlineLevel="0" collapsed="false">
      <c r="A104" s="6" t="s">
        <v>372</v>
      </c>
      <c r="B104" s="6" t="s">
        <v>128</v>
      </c>
      <c r="C104" s="6" t="n">
        <v>2750</v>
      </c>
      <c r="D104" s="6" t="n">
        <v>1965</v>
      </c>
      <c r="E104" s="6" t="n">
        <v>1</v>
      </c>
      <c r="F104" s="6" t="s">
        <v>133</v>
      </c>
      <c r="G104" s="6" t="s">
        <v>136</v>
      </c>
      <c r="H104" s="6" t="n">
        <v>0</v>
      </c>
      <c r="I104" s="23" t="n">
        <v>810000</v>
      </c>
      <c r="J104" s="23" t="n">
        <v>1000</v>
      </c>
      <c r="K104" s="6" t="n">
        <v>300</v>
      </c>
      <c r="L104" s="6" t="s">
        <v>264</v>
      </c>
      <c r="M104" s="6" t="n">
        <v>1</v>
      </c>
      <c r="N104" s="6" t="n">
        <v>1</v>
      </c>
      <c r="O104" s="6" t="n">
        <v>0</v>
      </c>
      <c r="P104" s="6" t="n">
        <v>0</v>
      </c>
      <c r="Q104" s="6" t="n">
        <v>0</v>
      </c>
      <c r="R104" s="6" t="s">
        <v>343</v>
      </c>
      <c r="S104" s="5"/>
      <c r="T104" s="32"/>
      <c r="U104" s="17"/>
      <c r="V104" s="33" t="n">
        <f aca="false">MATCH($B104,Home_Data!$B$5:$B$56,0)</f>
        <v>9</v>
      </c>
      <c r="W104" s="34" t="n">
        <f aca="false">MIN(MAX($I104,50000),3000000)</f>
        <v>810000</v>
      </c>
      <c r="X104" s="35" t="n">
        <f aca="false">IFERROR(MIN(3,MAX(1,MATCH(W104,Home_Data!$C$4:$F$4,1))),1)</f>
        <v>3</v>
      </c>
      <c r="Y104" s="36" t="n">
        <f aca="false">INDEX(Home_Data!$C$5:$F$56,V104,X104)</f>
        <v>11161</v>
      </c>
      <c r="Z104" s="36" t="n">
        <f aca="false">INDEX(Home_Data!$C$5:$F$56,V104,X104+1)</f>
        <v>16690</v>
      </c>
      <c r="AA104" s="36" t="n">
        <f aca="false">INDEX(Home_Data!$C$4:$F$4,X104)</f>
        <v>400000</v>
      </c>
      <c r="AB104" s="36" t="n">
        <f aca="false">INDEX(Home_Data!$C$4:$F$4,X104+1)</f>
        <v>600000</v>
      </c>
      <c r="AC104" s="36" t="n">
        <f aca="false">IF($I104&lt;200000,INDEX(Home_Data!$C$5:$F$56,V104,1)*(MAX($I104,Home_Data!$B$90)/200000)^Home_Data!$B$89,Y104*(W104/AA104)^(LN(Z104/Y104)/LN(AB104/AA104)))</f>
        <v>22480.1789081134</v>
      </c>
      <c r="AD104" s="37" t="n">
        <f aca="false">IF($K104=100,Home_Data!$B$67,IF($K104=500,Home_Data!$B$69,Home_Data!$B$68))</f>
        <v>1</v>
      </c>
      <c r="AE104" s="37" t="n">
        <f aca="false">IF($J104&lt;=Home_Data!$B$61,Home_Data!$B$64,IF($J104&gt;=Home_Data!$B$63,Home_Data!$B$66,IF($J104&lt;=Home_Data!$B$62,Home_Data!$B$64+(Home_Data!$B$65-Home_Data!$B$64)*(LN($J104)-LN(Home_Data!$B$61))/(LN(Home_Data!$B$62)-LN(Home_Data!$B$61)),Home_Data!$B$65+(Home_Data!$B$66-Home_Data!$B$65)*(LN($J104)-LN(Home_Data!$B$62))/(LN(Home_Data!$B$63)-LN(Home_Data!$B$62)))))</f>
        <v>1</v>
      </c>
      <c r="AF104" s="38" t="n">
        <f aca="false">IF($E104&gt;=20,Home_Data!$B$80,IF($E104&gt;=10,Home_Data!$B$79,1))</f>
        <v>1</v>
      </c>
      <c r="AG104" s="38" t="n">
        <f aca="false">IF($D104&lt;1960,Home_Data!$B$81,IF($D104&lt;1980,Home_Data!$B$82,IF($D104&gt;=2000,Home_Data!$B$83,1)))</f>
        <v>1.08</v>
      </c>
      <c r="AH104" s="38" t="n">
        <f aca="false">IF($F104="brick",Home_Data!$B$78,1)</f>
        <v>1</v>
      </c>
      <c r="AI104" s="38" t="n">
        <f aca="false">IF($G104="rental",Home_Data!$B$84,IF($G104="vacation",Home_Data!$B$85,1))</f>
        <v>1</v>
      </c>
      <c r="AJ104" s="38" t="n">
        <f aca="false">INDEX(Home_Data!$B$70:$B$73,MIN(3,MAX(0,$H104))+1)</f>
        <v>1</v>
      </c>
      <c r="AK104" s="38" t="n">
        <f aca="false">IF(INDEX(Home_Data!$H$5:$H$56,V104)="Yes",1,IF($L104="poor",Home_Data!$B$74,IF($L104="fair",Home_Data!$B$75,IF($L104="excellent",Home_Data!$B$77,Home_Data!$B$76))))</f>
        <v>0.89</v>
      </c>
      <c r="AL104" s="38" t="n">
        <f aca="false">IF(($N104=1),Home_Data!$B$86,1)*IF(($O104=1),Home_Data!$B$87,1)*IF(($P104=1),Home_Data!$B$88,1)</f>
        <v>1.15</v>
      </c>
      <c r="AM104" s="34" t="n">
        <f aca="false">AC104*AD104*AE104*AF104*AG104*AH104*AI104*AJ104*AK104*AL104</f>
        <v>24849.1401614503</v>
      </c>
      <c r="AN104" s="34" t="n">
        <f aca="false">AM104*EXP(-Car_Data!$B$123*Home_Data!$B$91)</f>
        <v>18098.208730397</v>
      </c>
      <c r="AO104" s="34" t="n">
        <f aca="false">AM104*EXP(Car_Data!$B$123*Home_Data!$B$91)</f>
        <v>34118.2807625769</v>
      </c>
      <c r="AP104" s="39" t="str">
        <f aca="false">IF($U104&gt;0,IF(AND($U104&gt;=AN104,$U104&lt;=AO104),1,0),"")</f>
        <v/>
      </c>
      <c r="AQ104" s="40" t="str">
        <f aca="false">IF($U104&gt;0,$U104/AM104-1,"")</f>
        <v/>
      </c>
    </row>
    <row r="105" customFormat="false" ht="15" hidden="false" customHeight="false" outlineLevel="0" collapsed="false">
      <c r="A105" s="6" t="s">
        <v>373</v>
      </c>
      <c r="B105" s="6" t="s">
        <v>128</v>
      </c>
      <c r="C105" s="6" t="n">
        <v>1200</v>
      </c>
      <c r="D105" s="6" t="n">
        <v>1956</v>
      </c>
      <c r="E105" s="6" t="n">
        <v>9</v>
      </c>
      <c r="F105" s="6" t="s">
        <v>261</v>
      </c>
      <c r="G105" s="6" t="s">
        <v>136</v>
      </c>
      <c r="H105" s="6" t="n">
        <v>2</v>
      </c>
      <c r="I105" s="23" t="n">
        <v>320000</v>
      </c>
      <c r="J105" s="23" t="n">
        <v>1000</v>
      </c>
      <c r="K105" s="6" t="n">
        <v>300</v>
      </c>
      <c r="L105" s="6" t="s">
        <v>271</v>
      </c>
      <c r="M105" s="6" t="n">
        <v>0</v>
      </c>
      <c r="N105" s="6" t="n">
        <v>1</v>
      </c>
      <c r="O105" s="6" t="n">
        <v>0</v>
      </c>
      <c r="P105" s="6" t="n">
        <v>0</v>
      </c>
      <c r="Q105" s="6" t="n">
        <v>0</v>
      </c>
      <c r="R105" s="6" t="s">
        <v>265</v>
      </c>
      <c r="S105" s="5"/>
      <c r="T105" s="32"/>
      <c r="U105" s="17"/>
      <c r="V105" s="33" t="n">
        <f aca="false">MATCH($B105,Home_Data!$B$5:$B$56,0)</f>
        <v>9</v>
      </c>
      <c r="W105" s="34" t="n">
        <f aca="false">MIN(MAX($I105,50000),3000000)</f>
        <v>320000</v>
      </c>
      <c r="X105" s="35" t="n">
        <f aca="false">IFERROR(MIN(3,MAX(1,MATCH(W105,Home_Data!$C$4:$F$4,1))),1)</f>
        <v>2</v>
      </c>
      <c r="Y105" s="36" t="n">
        <f aca="false">INDEX(Home_Data!$C$5:$F$56,V105,X105)</f>
        <v>8471</v>
      </c>
      <c r="Z105" s="36" t="n">
        <f aca="false">INDEX(Home_Data!$C$5:$F$56,V105,X105+1)</f>
        <v>11161</v>
      </c>
      <c r="AA105" s="36" t="n">
        <f aca="false">INDEX(Home_Data!$C$4:$F$4,X105)</f>
        <v>300000</v>
      </c>
      <c r="AB105" s="36" t="n">
        <f aca="false">INDEX(Home_Data!$C$4:$F$4,X105+1)</f>
        <v>400000</v>
      </c>
      <c r="AC105" s="36" t="n">
        <f aca="false">IF($I105&lt;200000,INDEX(Home_Data!$C$5:$F$56,V105,1)*(MAX($I105,Home_Data!$B$90)/200000)^Home_Data!$B$89,Y105*(W105/AA105)^(LN(Z105/Y105)/LN(AB105/AA105)))</f>
        <v>9011.63305367008</v>
      </c>
      <c r="AD105" s="37" t="n">
        <f aca="false">IF($K105=100,Home_Data!$B$67,IF($K105=500,Home_Data!$B$69,Home_Data!$B$68))</f>
        <v>1</v>
      </c>
      <c r="AE105" s="37" t="n">
        <f aca="false">IF($J105&lt;=Home_Data!$B$61,Home_Data!$B$64,IF($J105&gt;=Home_Data!$B$63,Home_Data!$B$66,IF($J105&lt;=Home_Data!$B$62,Home_Data!$B$64+(Home_Data!$B$65-Home_Data!$B$64)*(LN($J105)-LN(Home_Data!$B$61))/(LN(Home_Data!$B$62)-LN(Home_Data!$B$61)),Home_Data!$B$65+(Home_Data!$B$66-Home_Data!$B$65)*(LN($J105)-LN(Home_Data!$B$62))/(LN(Home_Data!$B$63)-LN(Home_Data!$B$62)))))</f>
        <v>1</v>
      </c>
      <c r="AF105" s="38" t="n">
        <f aca="false">IF($E105&gt;=20,Home_Data!$B$80,IF($E105&gt;=10,Home_Data!$B$79,1))</f>
        <v>1</v>
      </c>
      <c r="AG105" s="38" t="n">
        <f aca="false">IF($D105&lt;1960,Home_Data!$B$81,IF($D105&lt;1980,Home_Data!$B$82,IF($D105&gt;=2000,Home_Data!$B$83,1)))</f>
        <v>1.18</v>
      </c>
      <c r="AH105" s="38" t="n">
        <f aca="false">IF($F105="brick",Home_Data!$B$78,1)</f>
        <v>0.98</v>
      </c>
      <c r="AI105" s="38" t="n">
        <f aca="false">IF($G105="rental",Home_Data!$B$84,IF($G105="vacation",Home_Data!$B$85,1))</f>
        <v>1</v>
      </c>
      <c r="AJ105" s="38" t="n">
        <f aca="false">INDEX(Home_Data!$B$70:$B$73,MIN(3,MAX(0,$H105))+1)</f>
        <v>1.29</v>
      </c>
      <c r="AK105" s="38" t="n">
        <f aca="false">IF(INDEX(Home_Data!$H$5:$H$56,V105)="Yes",1,IF($L105="poor",Home_Data!$B$74,IF($L105="fair",Home_Data!$B$75,IF($L105="excellent",Home_Data!$B$77,Home_Data!$B$76))))</f>
        <v>1.07</v>
      </c>
      <c r="AL105" s="38" t="n">
        <f aca="false">IF(($N105=1),Home_Data!$B$86,1)*IF(($O105=1),Home_Data!$B$87,1)*IF(($P105=1),Home_Data!$B$88,1)</f>
        <v>1.15</v>
      </c>
      <c r="AM105" s="34" t="n">
        <f aca="false">AC105*AD105*AE105*AF105*AG105*AH105*AI105*AJ105*AK105*AL105</f>
        <v>16541.8055222999</v>
      </c>
      <c r="AN105" s="34" t="n">
        <f aca="false">AM105*EXP(-Car_Data!$B$123*Home_Data!$B$91)</f>
        <v>12047.7830289136</v>
      </c>
      <c r="AO105" s="34" t="n">
        <f aca="false">AM105*EXP(Car_Data!$B$123*Home_Data!$B$91)</f>
        <v>22712.1727940237</v>
      </c>
      <c r="AP105" s="39" t="str">
        <f aca="false">IF($U105&gt;0,IF(AND($U105&gt;=AN105,$U105&lt;=AO105),1,0),"")</f>
        <v/>
      </c>
      <c r="AQ105" s="40" t="str">
        <f aca="false">IF($U105&gt;0,$U105/AM105-1,"")</f>
        <v/>
      </c>
    </row>
    <row r="106" customFormat="false" ht="15" hidden="false" customHeight="false" outlineLevel="0" collapsed="false">
      <c r="A106" s="6" t="s">
        <v>374</v>
      </c>
      <c r="B106" s="6" t="s">
        <v>128</v>
      </c>
      <c r="C106" s="6" t="n">
        <v>3700</v>
      </c>
      <c r="D106" s="6" t="n">
        <v>1970</v>
      </c>
      <c r="E106" s="6" t="n">
        <v>10</v>
      </c>
      <c r="F106" s="6" t="s">
        <v>261</v>
      </c>
      <c r="G106" s="6" t="s">
        <v>136</v>
      </c>
      <c r="H106" s="6" t="n">
        <v>0</v>
      </c>
      <c r="I106" s="23" t="n">
        <v>1090000</v>
      </c>
      <c r="J106" s="23" t="n">
        <v>1000</v>
      </c>
      <c r="K106" s="6" t="n">
        <v>300</v>
      </c>
      <c r="L106" s="6" t="s">
        <v>72</v>
      </c>
      <c r="M106" s="6" t="n">
        <v>0</v>
      </c>
      <c r="N106" s="6" t="n">
        <v>1</v>
      </c>
      <c r="O106" s="6" t="n">
        <v>0</v>
      </c>
      <c r="P106" s="6" t="n">
        <v>0</v>
      </c>
      <c r="Q106" s="6" t="n">
        <v>0</v>
      </c>
      <c r="R106" s="6" t="s">
        <v>265</v>
      </c>
      <c r="S106" s="5"/>
      <c r="T106" s="32"/>
      <c r="U106" s="17"/>
      <c r="V106" s="33" t="n">
        <f aca="false">MATCH($B106,Home_Data!$B$5:$B$56,0)</f>
        <v>9</v>
      </c>
      <c r="W106" s="34" t="n">
        <f aca="false">MIN(MAX($I106,50000),3000000)</f>
        <v>1090000</v>
      </c>
      <c r="X106" s="35" t="n">
        <f aca="false">IFERROR(MIN(3,MAX(1,MATCH(W106,Home_Data!$C$4:$F$4,1))),1)</f>
        <v>3</v>
      </c>
      <c r="Y106" s="36" t="n">
        <f aca="false">INDEX(Home_Data!$C$5:$F$56,V106,X106)</f>
        <v>11161</v>
      </c>
      <c r="Z106" s="36" t="n">
        <f aca="false">INDEX(Home_Data!$C$5:$F$56,V106,X106+1)</f>
        <v>16690</v>
      </c>
      <c r="AA106" s="36" t="n">
        <f aca="false">INDEX(Home_Data!$C$4:$F$4,X106)</f>
        <v>400000</v>
      </c>
      <c r="AB106" s="36" t="n">
        <f aca="false">INDEX(Home_Data!$C$4:$F$4,X106+1)</f>
        <v>600000</v>
      </c>
      <c r="AC106" s="36" t="n">
        <f aca="false">IF($I106&lt;200000,INDEX(Home_Data!$C$5:$F$56,V106,1)*(MAX($I106,Home_Data!$B$90)/200000)^Home_Data!$B$89,Y106*(W106/AA106)^(LN(Z106/Y106)/LN(AB106/AA106)))</f>
        <v>30182.9357802489</v>
      </c>
      <c r="AD106" s="37" t="n">
        <f aca="false">IF($K106=100,Home_Data!$B$67,IF($K106=500,Home_Data!$B$69,Home_Data!$B$68))</f>
        <v>1</v>
      </c>
      <c r="AE106" s="37" t="n">
        <f aca="false">IF($J106&lt;=Home_Data!$B$61,Home_Data!$B$64,IF($J106&gt;=Home_Data!$B$63,Home_Data!$B$66,IF($J106&lt;=Home_Data!$B$62,Home_Data!$B$64+(Home_Data!$B$65-Home_Data!$B$64)*(LN($J106)-LN(Home_Data!$B$61))/(LN(Home_Data!$B$62)-LN(Home_Data!$B$61)),Home_Data!$B$65+(Home_Data!$B$66-Home_Data!$B$65)*(LN($J106)-LN(Home_Data!$B$62))/(LN(Home_Data!$B$63)-LN(Home_Data!$B$62)))))</f>
        <v>1</v>
      </c>
      <c r="AF106" s="38" t="n">
        <f aca="false">IF($E106&gt;=20,Home_Data!$B$80,IF($E106&gt;=10,Home_Data!$B$79,1))</f>
        <v>1.1</v>
      </c>
      <c r="AG106" s="38" t="n">
        <f aca="false">IF($D106&lt;1960,Home_Data!$B$81,IF($D106&lt;1980,Home_Data!$B$82,IF($D106&gt;=2000,Home_Data!$B$83,1)))</f>
        <v>1.08</v>
      </c>
      <c r="AH106" s="38" t="n">
        <f aca="false">IF($F106="brick",Home_Data!$B$78,1)</f>
        <v>0.98</v>
      </c>
      <c r="AI106" s="38" t="n">
        <f aca="false">IF($G106="rental",Home_Data!$B$84,IF($G106="vacation",Home_Data!$B$85,1))</f>
        <v>1</v>
      </c>
      <c r="AJ106" s="38" t="n">
        <f aca="false">INDEX(Home_Data!$B$70:$B$73,MIN(3,MAX(0,$H106))+1)</f>
        <v>1</v>
      </c>
      <c r="AK106" s="38" t="n">
        <f aca="false">IF(INDEX(Home_Data!$H$5:$H$56,V106)="Yes",1,IF($L106="poor",Home_Data!$B$74,IF($L106="fair",Home_Data!$B$75,IF($L106="excellent",Home_Data!$B$77,Home_Data!$B$76))))</f>
        <v>1</v>
      </c>
      <c r="AL106" s="38" t="n">
        <f aca="false">IF(($N106=1),Home_Data!$B$86,1)*IF(($O106=1),Home_Data!$B$87,1)*IF(($P106=1),Home_Data!$B$88,1)</f>
        <v>1.15</v>
      </c>
      <c r="AM106" s="34" t="n">
        <f aca="false">AC106*AD106*AE106*AF106*AG106*AH106*AI106*AJ106*AK106*AL106</f>
        <v>40411.2083257166</v>
      </c>
      <c r="AN106" s="34" t="n">
        <f aca="false">AM106*EXP(-Car_Data!$B$123*Home_Data!$B$91)</f>
        <v>29432.4261754934</v>
      </c>
      <c r="AO106" s="34" t="n">
        <f aca="false">AM106*EXP(Car_Data!$B$123*Home_Data!$B$91)</f>
        <v>55485.2579467004</v>
      </c>
      <c r="AP106" s="39" t="str">
        <f aca="false">IF($U106&gt;0,IF(AND($U106&gt;=AN106,$U106&lt;=AO106),1,0),"")</f>
        <v/>
      </c>
      <c r="AQ106" s="40" t="str">
        <f aca="false">IF($U106&gt;0,$U106/AM106-1,"")</f>
        <v/>
      </c>
    </row>
    <row r="107" customFormat="false" ht="15" hidden="false" customHeight="false" outlineLevel="0" collapsed="false">
      <c r="A107" s="6" t="s">
        <v>375</v>
      </c>
      <c r="B107" s="6" t="s">
        <v>128</v>
      </c>
      <c r="C107" s="6" t="n">
        <v>1150</v>
      </c>
      <c r="D107" s="6" t="n">
        <v>1965</v>
      </c>
      <c r="E107" s="6" t="n">
        <v>17</v>
      </c>
      <c r="F107" s="6" t="s">
        <v>133</v>
      </c>
      <c r="G107" s="6" t="s">
        <v>136</v>
      </c>
      <c r="H107" s="6" t="n">
        <v>0</v>
      </c>
      <c r="I107" s="23" t="n">
        <v>325000</v>
      </c>
      <c r="J107" s="23" t="n">
        <v>1000</v>
      </c>
      <c r="K107" s="6" t="n">
        <v>300</v>
      </c>
      <c r="L107" s="6" t="s">
        <v>264</v>
      </c>
      <c r="M107" s="6" t="n">
        <v>0</v>
      </c>
      <c r="N107" s="6" t="n">
        <v>0</v>
      </c>
      <c r="O107" s="6" t="n">
        <v>0</v>
      </c>
      <c r="P107" s="6" t="n">
        <v>0</v>
      </c>
      <c r="Q107" s="6" t="n">
        <v>0</v>
      </c>
      <c r="R107" s="6" t="s">
        <v>267</v>
      </c>
      <c r="S107" s="5"/>
      <c r="T107" s="32"/>
      <c r="U107" s="17"/>
      <c r="V107" s="33" t="n">
        <f aca="false">MATCH($B107,Home_Data!$B$5:$B$56,0)</f>
        <v>9</v>
      </c>
      <c r="W107" s="34" t="n">
        <f aca="false">MIN(MAX($I107,50000),3000000)</f>
        <v>325000</v>
      </c>
      <c r="X107" s="35" t="n">
        <f aca="false">IFERROR(MIN(3,MAX(1,MATCH(W107,Home_Data!$C$4:$F$4,1))),1)</f>
        <v>2</v>
      </c>
      <c r="Y107" s="36" t="n">
        <f aca="false">INDEX(Home_Data!$C$5:$F$56,V107,X107)</f>
        <v>8471</v>
      </c>
      <c r="Z107" s="36" t="n">
        <f aca="false">INDEX(Home_Data!$C$5:$F$56,V107,X107+1)</f>
        <v>11161</v>
      </c>
      <c r="AA107" s="36" t="n">
        <f aca="false">INDEX(Home_Data!$C$4:$F$4,X107)</f>
        <v>300000</v>
      </c>
      <c r="AB107" s="36" t="n">
        <f aca="false">INDEX(Home_Data!$C$4:$F$4,X107+1)</f>
        <v>400000</v>
      </c>
      <c r="AC107" s="36" t="n">
        <f aca="false">IF($I107&lt;200000,INDEX(Home_Data!$C$5:$F$56,V107,1)*(MAX($I107,Home_Data!$B$90)/200000)^Home_Data!$B$89,Y107*(W107/AA107)^(LN(Z107/Y107)/LN(AB107/AA107)))</f>
        <v>9146.56944246217</v>
      </c>
      <c r="AD107" s="37" t="n">
        <f aca="false">IF($K107=100,Home_Data!$B$67,IF($K107=500,Home_Data!$B$69,Home_Data!$B$68))</f>
        <v>1</v>
      </c>
      <c r="AE107" s="37" t="n">
        <f aca="false">IF($J107&lt;=Home_Data!$B$61,Home_Data!$B$64,IF($J107&gt;=Home_Data!$B$63,Home_Data!$B$66,IF($J107&lt;=Home_Data!$B$62,Home_Data!$B$64+(Home_Data!$B$65-Home_Data!$B$64)*(LN($J107)-LN(Home_Data!$B$61))/(LN(Home_Data!$B$62)-LN(Home_Data!$B$61)),Home_Data!$B$65+(Home_Data!$B$66-Home_Data!$B$65)*(LN($J107)-LN(Home_Data!$B$62))/(LN(Home_Data!$B$63)-LN(Home_Data!$B$62)))))</f>
        <v>1</v>
      </c>
      <c r="AF107" s="38" t="n">
        <f aca="false">IF($E107&gt;=20,Home_Data!$B$80,IF($E107&gt;=10,Home_Data!$B$79,1))</f>
        <v>1.1</v>
      </c>
      <c r="AG107" s="38" t="n">
        <f aca="false">IF($D107&lt;1960,Home_Data!$B$81,IF($D107&lt;1980,Home_Data!$B$82,IF($D107&gt;=2000,Home_Data!$B$83,1)))</f>
        <v>1.08</v>
      </c>
      <c r="AH107" s="38" t="n">
        <f aca="false">IF($F107="brick",Home_Data!$B$78,1)</f>
        <v>1</v>
      </c>
      <c r="AI107" s="38" t="n">
        <f aca="false">IF($G107="rental",Home_Data!$B$84,IF($G107="vacation",Home_Data!$B$85,1))</f>
        <v>1</v>
      </c>
      <c r="AJ107" s="38" t="n">
        <f aca="false">INDEX(Home_Data!$B$70:$B$73,MIN(3,MAX(0,$H107))+1)</f>
        <v>1</v>
      </c>
      <c r="AK107" s="38" t="n">
        <f aca="false">IF(INDEX(Home_Data!$H$5:$H$56,V107)="Yes",1,IF($L107="poor",Home_Data!$B$74,IF($L107="fair",Home_Data!$B$75,IF($L107="excellent",Home_Data!$B$77,Home_Data!$B$76))))</f>
        <v>0.89</v>
      </c>
      <c r="AL107" s="38" t="n">
        <f aca="false">IF(($N107=1),Home_Data!$B$86,1)*IF(($O107=1),Home_Data!$B$87,1)*IF(($P107=1),Home_Data!$B$88,1)</f>
        <v>1</v>
      </c>
      <c r="AM107" s="34" t="n">
        <f aca="false">AC107*AD107*AE107*AF107*AG107*AH107*AI107*AJ107*AK107*AL107</f>
        <v>9670.8508029041</v>
      </c>
      <c r="AN107" s="34" t="n">
        <f aca="false">AM107*EXP(-Car_Data!$B$123*Home_Data!$B$91)</f>
        <v>7043.5063464695</v>
      </c>
      <c r="AO107" s="34" t="n">
        <f aca="false">AM107*EXP(Car_Data!$B$123*Home_Data!$B$91)</f>
        <v>13278.2382312908</v>
      </c>
      <c r="AP107" s="39" t="str">
        <f aca="false">IF($U107&gt;0,IF(AND($U107&gt;=AN107,$U107&lt;=AO107),1,0),"")</f>
        <v/>
      </c>
      <c r="AQ107" s="40" t="str">
        <f aca="false">IF($U107&gt;0,$U107/AM107-1,"")</f>
        <v/>
      </c>
    </row>
    <row r="108" customFormat="false" ht="15" hidden="false" customHeight="false" outlineLevel="0" collapsed="false">
      <c r="A108" s="6" t="s">
        <v>376</v>
      </c>
      <c r="B108" s="6" t="s">
        <v>128</v>
      </c>
      <c r="C108" s="6" t="n">
        <v>1850</v>
      </c>
      <c r="D108" s="6" t="n">
        <v>1999</v>
      </c>
      <c r="E108" s="6" t="n">
        <v>3</v>
      </c>
      <c r="F108" s="6" t="s">
        <v>261</v>
      </c>
      <c r="G108" s="6" t="s">
        <v>136</v>
      </c>
      <c r="H108" s="6" t="n">
        <v>0</v>
      </c>
      <c r="I108" s="23" t="n">
        <v>480000</v>
      </c>
      <c r="J108" s="23" t="n">
        <v>5000</v>
      </c>
      <c r="K108" s="6" t="n">
        <v>300</v>
      </c>
      <c r="L108" s="6" t="s">
        <v>72</v>
      </c>
      <c r="M108" s="6" t="n">
        <v>0</v>
      </c>
      <c r="N108" s="6" t="n">
        <v>1</v>
      </c>
      <c r="O108" s="6" t="n">
        <v>0</v>
      </c>
      <c r="P108" s="6" t="n">
        <v>0</v>
      </c>
      <c r="Q108" s="6" t="n">
        <v>0</v>
      </c>
      <c r="R108" s="6" t="s">
        <v>265</v>
      </c>
      <c r="S108" s="5"/>
      <c r="T108" s="32"/>
      <c r="U108" s="17"/>
      <c r="V108" s="33" t="n">
        <f aca="false">MATCH($B108,Home_Data!$B$5:$B$56,0)</f>
        <v>9</v>
      </c>
      <c r="W108" s="34" t="n">
        <f aca="false">MIN(MAX($I108,50000),3000000)</f>
        <v>480000</v>
      </c>
      <c r="X108" s="35" t="n">
        <f aca="false">IFERROR(MIN(3,MAX(1,MATCH(W108,Home_Data!$C$4:$F$4,1))),1)</f>
        <v>3</v>
      </c>
      <c r="Y108" s="36" t="n">
        <f aca="false">INDEX(Home_Data!$C$5:$F$56,V108,X108)</f>
        <v>11161</v>
      </c>
      <c r="Z108" s="36" t="n">
        <f aca="false">INDEX(Home_Data!$C$5:$F$56,V108,X108+1)</f>
        <v>16690</v>
      </c>
      <c r="AA108" s="36" t="n">
        <f aca="false">INDEX(Home_Data!$C$4:$F$4,X108)</f>
        <v>400000</v>
      </c>
      <c r="AB108" s="36" t="n">
        <f aca="false">INDEX(Home_Data!$C$4:$F$4,X108+1)</f>
        <v>600000</v>
      </c>
      <c r="AC108" s="36" t="n">
        <f aca="false">IF($I108&lt;200000,INDEX(Home_Data!$C$5:$F$56,V108,1)*(MAX($I108,Home_Data!$B$90)/200000)^Home_Data!$B$89,Y108*(W108/AA108)^(LN(Z108/Y108)/LN(AB108/AA108)))</f>
        <v>13374.6582894218</v>
      </c>
      <c r="AD108" s="37" t="n">
        <f aca="false">IF($K108=100,Home_Data!$B$67,IF($K108=500,Home_Data!$B$69,Home_Data!$B$68))</f>
        <v>1</v>
      </c>
      <c r="AE108" s="37" t="n">
        <f aca="false">IF($J108&lt;=Home_Data!$B$61,Home_Data!$B$64,IF($J108&gt;=Home_Data!$B$63,Home_Data!$B$66,IF($J108&lt;=Home_Data!$B$62,Home_Data!$B$64+(Home_Data!$B$65-Home_Data!$B$64)*(LN($J108)-LN(Home_Data!$B$61))/(LN(Home_Data!$B$62)-LN(Home_Data!$B$61)),Home_Data!$B$65+(Home_Data!$B$66-Home_Data!$B$65)*(LN($J108)-LN(Home_Data!$B$62))/(LN(Home_Data!$B$63)-LN(Home_Data!$B$62)))))</f>
        <v>0.84</v>
      </c>
      <c r="AF108" s="38" t="n">
        <f aca="false">IF($E108&gt;=20,Home_Data!$B$80,IF($E108&gt;=10,Home_Data!$B$79,1))</f>
        <v>1</v>
      </c>
      <c r="AG108" s="38" t="n">
        <f aca="false">IF($D108&lt;1960,Home_Data!$B$81,IF($D108&lt;1980,Home_Data!$B$82,IF($D108&gt;=2000,Home_Data!$B$83,1)))</f>
        <v>1</v>
      </c>
      <c r="AH108" s="38" t="n">
        <f aca="false">IF($F108="brick",Home_Data!$B$78,1)</f>
        <v>0.98</v>
      </c>
      <c r="AI108" s="38" t="n">
        <f aca="false">IF($G108="rental",Home_Data!$B$84,IF($G108="vacation",Home_Data!$B$85,1))</f>
        <v>1</v>
      </c>
      <c r="AJ108" s="38" t="n">
        <f aca="false">INDEX(Home_Data!$B$70:$B$73,MIN(3,MAX(0,$H108))+1)</f>
        <v>1</v>
      </c>
      <c r="AK108" s="38" t="n">
        <f aca="false">IF(INDEX(Home_Data!$H$5:$H$56,V108)="Yes",1,IF($L108="poor",Home_Data!$B$74,IF($L108="fair",Home_Data!$B$75,IF($L108="excellent",Home_Data!$B$77,Home_Data!$B$76))))</f>
        <v>1</v>
      </c>
      <c r="AL108" s="38" t="n">
        <f aca="false">IF(($N108=1),Home_Data!$B$86,1)*IF(($O108=1),Home_Data!$B$87,1)*IF(($P108=1),Home_Data!$B$88,1)</f>
        <v>1.15</v>
      </c>
      <c r="AM108" s="34" t="n">
        <f aca="false">AC108*AD108*AE108*AF108*AG108*AH108*AI108*AJ108*AK108*AL108</f>
        <v>12661.5215094299</v>
      </c>
      <c r="AN108" s="34" t="n">
        <f aca="false">AM108*EXP(-Car_Data!$B$123*Home_Data!$B$91)</f>
        <v>9221.68162090232</v>
      </c>
      <c r="AO108" s="34" t="n">
        <f aca="false">AM108*EXP(Car_Data!$B$123*Home_Data!$B$91)</f>
        <v>17384.4786150911</v>
      </c>
      <c r="AP108" s="39" t="str">
        <f aca="false">IF($U108&gt;0,IF(AND($U108&gt;=AN108,$U108&lt;=AO108),1,0),"")</f>
        <v/>
      </c>
      <c r="AQ108" s="40" t="str">
        <f aca="false">IF($U108&gt;0,$U108/AM108-1,"")</f>
        <v/>
      </c>
    </row>
    <row r="109" customFormat="false" ht="15" hidden="false" customHeight="false" outlineLevel="0" collapsed="false">
      <c r="A109" s="6" t="s">
        <v>377</v>
      </c>
      <c r="B109" s="6" t="s">
        <v>128</v>
      </c>
      <c r="C109" s="6" t="n">
        <v>3650</v>
      </c>
      <c r="D109" s="6" t="n">
        <v>2020</v>
      </c>
      <c r="E109" s="6" t="n">
        <v>5</v>
      </c>
      <c r="F109" s="6" t="s">
        <v>133</v>
      </c>
      <c r="G109" s="6" t="s">
        <v>136</v>
      </c>
      <c r="H109" s="6" t="n">
        <v>1</v>
      </c>
      <c r="I109" s="23" t="n">
        <v>1035000</v>
      </c>
      <c r="J109" s="23" t="n">
        <v>1000</v>
      </c>
      <c r="K109" s="6" t="n">
        <v>300</v>
      </c>
      <c r="L109" s="6" t="s">
        <v>264</v>
      </c>
      <c r="M109" s="6" t="n">
        <v>0</v>
      </c>
      <c r="N109" s="6" t="n">
        <v>1</v>
      </c>
      <c r="O109" s="6" t="n">
        <v>0</v>
      </c>
      <c r="P109" s="6" t="n">
        <v>0</v>
      </c>
      <c r="Q109" s="6" t="n">
        <v>0</v>
      </c>
      <c r="R109" s="6" t="s">
        <v>265</v>
      </c>
      <c r="S109" s="5"/>
      <c r="T109" s="32"/>
      <c r="U109" s="17"/>
      <c r="V109" s="33" t="n">
        <f aca="false">MATCH($B109,Home_Data!$B$5:$B$56,0)</f>
        <v>9</v>
      </c>
      <c r="W109" s="34" t="n">
        <f aca="false">MIN(MAX($I109,50000),3000000)</f>
        <v>1035000</v>
      </c>
      <c r="X109" s="35" t="n">
        <f aca="false">IFERROR(MIN(3,MAX(1,MATCH(W109,Home_Data!$C$4:$F$4,1))),1)</f>
        <v>3</v>
      </c>
      <c r="Y109" s="36" t="n">
        <f aca="false">INDEX(Home_Data!$C$5:$F$56,V109,X109)</f>
        <v>11161</v>
      </c>
      <c r="Z109" s="36" t="n">
        <f aca="false">INDEX(Home_Data!$C$5:$F$56,V109,X109+1)</f>
        <v>16690</v>
      </c>
      <c r="AA109" s="36" t="n">
        <f aca="false">INDEX(Home_Data!$C$4:$F$4,X109)</f>
        <v>400000</v>
      </c>
      <c r="AB109" s="36" t="n">
        <f aca="false">INDEX(Home_Data!$C$4:$F$4,X109+1)</f>
        <v>600000</v>
      </c>
      <c r="AC109" s="36" t="n">
        <f aca="false">IF($I109&lt;200000,INDEX(Home_Data!$C$5:$F$56,V109,1)*(MAX($I109,Home_Data!$B$90)/200000)^Home_Data!$B$89,Y109*(W109/AA109)^(LN(Z109/Y109)/LN(AB109/AA109)))</f>
        <v>28671.2212871167</v>
      </c>
      <c r="AD109" s="37" t="n">
        <f aca="false">IF($K109=100,Home_Data!$B$67,IF($K109=500,Home_Data!$B$69,Home_Data!$B$68))</f>
        <v>1</v>
      </c>
      <c r="AE109" s="37" t="n">
        <f aca="false">IF($J109&lt;=Home_Data!$B$61,Home_Data!$B$64,IF($J109&gt;=Home_Data!$B$63,Home_Data!$B$66,IF($J109&lt;=Home_Data!$B$62,Home_Data!$B$64+(Home_Data!$B$65-Home_Data!$B$64)*(LN($J109)-LN(Home_Data!$B$61))/(LN(Home_Data!$B$62)-LN(Home_Data!$B$61)),Home_Data!$B$65+(Home_Data!$B$66-Home_Data!$B$65)*(LN($J109)-LN(Home_Data!$B$62))/(LN(Home_Data!$B$63)-LN(Home_Data!$B$62)))))</f>
        <v>1</v>
      </c>
      <c r="AF109" s="38" t="n">
        <f aca="false">IF($E109&gt;=20,Home_Data!$B$80,IF($E109&gt;=10,Home_Data!$B$79,1))</f>
        <v>1</v>
      </c>
      <c r="AG109" s="38" t="n">
        <f aca="false">IF($D109&lt;1960,Home_Data!$B$81,IF($D109&lt;1980,Home_Data!$B$82,IF($D109&gt;=2000,Home_Data!$B$83,1)))</f>
        <v>0.95</v>
      </c>
      <c r="AH109" s="38" t="n">
        <f aca="false">IF($F109="brick",Home_Data!$B$78,1)</f>
        <v>1</v>
      </c>
      <c r="AI109" s="38" t="n">
        <f aca="false">IF($G109="rental",Home_Data!$B$84,IF($G109="vacation",Home_Data!$B$85,1))</f>
        <v>1</v>
      </c>
      <c r="AJ109" s="38" t="n">
        <f aca="false">INDEX(Home_Data!$B$70:$B$73,MIN(3,MAX(0,$H109))+1)</f>
        <v>1.16</v>
      </c>
      <c r="AK109" s="38" t="n">
        <f aca="false">IF(INDEX(Home_Data!$H$5:$H$56,V109)="Yes",1,IF($L109="poor",Home_Data!$B$74,IF($L109="fair",Home_Data!$B$75,IF($L109="excellent",Home_Data!$B$77,Home_Data!$B$76))))</f>
        <v>0.89</v>
      </c>
      <c r="AL109" s="38" t="n">
        <f aca="false">IF(($N109=1),Home_Data!$B$86,1)*IF(($O109=1),Home_Data!$B$87,1)*IF(($P109=1),Home_Data!$B$88,1)</f>
        <v>1.15</v>
      </c>
      <c r="AM109" s="34" t="n">
        <f aca="false">AC109*AD109*AE109*AF109*AG109*AH109*AI109*AJ109*AK109*AL109</f>
        <v>32338.184476075</v>
      </c>
      <c r="AN109" s="34" t="n">
        <f aca="false">AM109*EXP(-Car_Data!$B$123*Home_Data!$B$91)</f>
        <v>23552.654490558</v>
      </c>
      <c r="AO109" s="34" t="n">
        <f aca="false">AM109*EXP(Car_Data!$B$123*Home_Data!$B$91)</f>
        <v>44400.8625706242</v>
      </c>
      <c r="AP109" s="39" t="str">
        <f aca="false">IF($U109&gt;0,IF(AND($U109&gt;=AN109,$U109&lt;=AO109),1,0),"")</f>
        <v/>
      </c>
      <c r="AQ109" s="40" t="str">
        <f aca="false">IF($U109&gt;0,$U109/AM109-1,"")</f>
        <v/>
      </c>
    </row>
    <row r="110" customFormat="false" ht="15" hidden="false" customHeight="false" outlineLevel="0" collapsed="false">
      <c r="A110" s="6" t="s">
        <v>378</v>
      </c>
      <c r="B110" s="6" t="s">
        <v>128</v>
      </c>
      <c r="C110" s="6" t="n">
        <v>1400</v>
      </c>
      <c r="D110" s="6" t="n">
        <v>1971</v>
      </c>
      <c r="E110" s="6" t="n">
        <v>4</v>
      </c>
      <c r="F110" s="6" t="s">
        <v>261</v>
      </c>
      <c r="G110" s="6" t="s">
        <v>136</v>
      </c>
      <c r="H110" s="6" t="n">
        <v>0</v>
      </c>
      <c r="I110" s="23" t="n">
        <v>395000</v>
      </c>
      <c r="J110" s="23" t="n">
        <v>5000</v>
      </c>
      <c r="K110" s="6" t="n">
        <v>300</v>
      </c>
      <c r="L110" s="6" t="s">
        <v>72</v>
      </c>
      <c r="M110" s="6" t="n">
        <v>0</v>
      </c>
      <c r="N110" s="6" t="n">
        <v>1</v>
      </c>
      <c r="O110" s="6" t="n">
        <v>0</v>
      </c>
      <c r="P110" s="6" t="n">
        <v>0</v>
      </c>
      <c r="Q110" s="6" t="n">
        <v>0</v>
      </c>
      <c r="R110" s="6" t="s">
        <v>265</v>
      </c>
      <c r="S110" s="5"/>
      <c r="T110" s="32"/>
      <c r="U110" s="17"/>
      <c r="V110" s="33" t="n">
        <f aca="false">MATCH($B110,Home_Data!$B$5:$B$56,0)</f>
        <v>9</v>
      </c>
      <c r="W110" s="34" t="n">
        <f aca="false">MIN(MAX($I110,50000),3000000)</f>
        <v>395000</v>
      </c>
      <c r="X110" s="35" t="n">
        <f aca="false">IFERROR(MIN(3,MAX(1,MATCH(W110,Home_Data!$C$4:$F$4,1))),1)</f>
        <v>2</v>
      </c>
      <c r="Y110" s="36" t="n">
        <f aca="false">INDEX(Home_Data!$C$5:$F$56,V110,X110)</f>
        <v>8471</v>
      </c>
      <c r="Z110" s="36" t="n">
        <f aca="false">INDEX(Home_Data!$C$5:$F$56,V110,X110+1)</f>
        <v>11161</v>
      </c>
      <c r="AA110" s="36" t="n">
        <f aca="false">INDEX(Home_Data!$C$4:$F$4,X110)</f>
        <v>300000</v>
      </c>
      <c r="AB110" s="36" t="n">
        <f aca="false">INDEX(Home_Data!$C$4:$F$4,X110+1)</f>
        <v>400000</v>
      </c>
      <c r="AC110" s="36" t="n">
        <f aca="false">IF($I110&lt;200000,INDEX(Home_Data!$C$5:$F$56,V110,1)*(MAX($I110,Home_Data!$B$90)/200000)^Home_Data!$B$89,Y110*(W110/AA110)^(LN(Z110/Y110)/LN(AB110/AA110)))</f>
        <v>11027.2261711838</v>
      </c>
      <c r="AD110" s="37" t="n">
        <f aca="false">IF($K110=100,Home_Data!$B$67,IF($K110=500,Home_Data!$B$69,Home_Data!$B$68))</f>
        <v>1</v>
      </c>
      <c r="AE110" s="37" t="n">
        <f aca="false">IF($J110&lt;=Home_Data!$B$61,Home_Data!$B$64,IF($J110&gt;=Home_Data!$B$63,Home_Data!$B$66,IF($J110&lt;=Home_Data!$B$62,Home_Data!$B$64+(Home_Data!$B$65-Home_Data!$B$64)*(LN($J110)-LN(Home_Data!$B$61))/(LN(Home_Data!$B$62)-LN(Home_Data!$B$61)),Home_Data!$B$65+(Home_Data!$B$66-Home_Data!$B$65)*(LN($J110)-LN(Home_Data!$B$62))/(LN(Home_Data!$B$63)-LN(Home_Data!$B$62)))))</f>
        <v>0.84</v>
      </c>
      <c r="AF110" s="38" t="n">
        <f aca="false">IF($E110&gt;=20,Home_Data!$B$80,IF($E110&gt;=10,Home_Data!$B$79,1))</f>
        <v>1</v>
      </c>
      <c r="AG110" s="38" t="n">
        <f aca="false">IF($D110&lt;1960,Home_Data!$B$81,IF($D110&lt;1980,Home_Data!$B$82,IF($D110&gt;=2000,Home_Data!$B$83,1)))</f>
        <v>1.08</v>
      </c>
      <c r="AH110" s="38" t="n">
        <f aca="false">IF($F110="brick",Home_Data!$B$78,1)</f>
        <v>0.98</v>
      </c>
      <c r="AI110" s="38" t="n">
        <f aca="false">IF($G110="rental",Home_Data!$B$84,IF($G110="vacation",Home_Data!$B$85,1))</f>
        <v>1</v>
      </c>
      <c r="AJ110" s="38" t="n">
        <f aca="false">INDEX(Home_Data!$B$70:$B$73,MIN(3,MAX(0,$H110))+1)</f>
        <v>1</v>
      </c>
      <c r="AK110" s="38" t="n">
        <f aca="false">IF(INDEX(Home_Data!$H$5:$H$56,V110)="Yes",1,IF($L110="poor",Home_Data!$B$74,IF($L110="fair",Home_Data!$B$75,IF($L110="excellent",Home_Data!$B$77,Home_Data!$B$76))))</f>
        <v>1</v>
      </c>
      <c r="AL110" s="38" t="n">
        <f aca="false">IF(($N110=1),Home_Data!$B$86,1)*IF(($O110=1),Home_Data!$B$87,1)*IF(($P110=1),Home_Data!$B$88,1)</f>
        <v>1.15</v>
      </c>
      <c r="AM110" s="34" t="n">
        <f aca="false">AC110*AD110*AE110*AF110*AG110*AH110*AI110*AJ110*AK110*AL110</f>
        <v>11274.3948294752</v>
      </c>
      <c r="AN110" s="34" t="n">
        <f aca="false">AM110*EXP(-Car_Data!$B$123*Home_Data!$B$91)</f>
        <v>8211.40488592427</v>
      </c>
      <c r="AO110" s="34" t="n">
        <f aca="false">AM110*EXP(Car_Data!$B$123*Home_Data!$B$91)</f>
        <v>15479.9307227912</v>
      </c>
      <c r="AP110" s="39" t="str">
        <f aca="false">IF($U110&gt;0,IF(AND($U110&gt;=AN110,$U110&lt;=AO110),1,0),"")</f>
        <v/>
      </c>
      <c r="AQ110" s="40" t="str">
        <f aca="false">IF($U110&gt;0,$U110/AM110-1,"")</f>
        <v/>
      </c>
    </row>
    <row r="111" customFormat="false" ht="15" hidden="false" customHeight="false" outlineLevel="0" collapsed="false">
      <c r="A111" s="6" t="s">
        <v>379</v>
      </c>
      <c r="B111" s="6" t="s">
        <v>128</v>
      </c>
      <c r="C111" s="6" t="n">
        <v>3250</v>
      </c>
      <c r="D111" s="6" t="n">
        <v>1968</v>
      </c>
      <c r="E111" s="6" t="n">
        <v>24</v>
      </c>
      <c r="F111" s="6" t="s">
        <v>261</v>
      </c>
      <c r="G111" s="6" t="s">
        <v>136</v>
      </c>
      <c r="H111" s="6" t="n">
        <v>0</v>
      </c>
      <c r="I111" s="23" t="n">
        <v>770000</v>
      </c>
      <c r="J111" s="23" t="n">
        <v>2500</v>
      </c>
      <c r="K111" s="6" t="n">
        <v>300</v>
      </c>
      <c r="L111" s="6" t="s">
        <v>72</v>
      </c>
      <c r="M111" s="6" t="n">
        <v>0</v>
      </c>
      <c r="N111" s="6" t="n">
        <v>0</v>
      </c>
      <c r="O111" s="6" t="n">
        <v>0</v>
      </c>
      <c r="P111" s="6" t="n">
        <v>0</v>
      </c>
      <c r="Q111" s="6" t="n">
        <v>0</v>
      </c>
      <c r="R111" s="6" t="s">
        <v>267</v>
      </c>
      <c r="S111" s="5"/>
      <c r="T111" s="32"/>
      <c r="U111" s="17"/>
      <c r="V111" s="33" t="n">
        <f aca="false">MATCH($B111,Home_Data!$B$5:$B$56,0)</f>
        <v>9</v>
      </c>
      <c r="W111" s="34" t="n">
        <f aca="false">MIN(MAX($I111,50000),3000000)</f>
        <v>770000</v>
      </c>
      <c r="X111" s="35" t="n">
        <f aca="false">IFERROR(MIN(3,MAX(1,MATCH(W111,Home_Data!$C$4:$F$4,1))),1)</f>
        <v>3</v>
      </c>
      <c r="Y111" s="36" t="n">
        <f aca="false">INDEX(Home_Data!$C$5:$F$56,V111,X111)</f>
        <v>11161</v>
      </c>
      <c r="Z111" s="36" t="n">
        <f aca="false">INDEX(Home_Data!$C$5:$F$56,V111,X111+1)</f>
        <v>16690</v>
      </c>
      <c r="AA111" s="36" t="n">
        <f aca="false">INDEX(Home_Data!$C$4:$F$4,X111)</f>
        <v>400000</v>
      </c>
      <c r="AB111" s="36" t="n">
        <f aca="false">INDEX(Home_Data!$C$4:$F$4,X111+1)</f>
        <v>600000</v>
      </c>
      <c r="AC111" s="36" t="n">
        <f aca="false">IF($I111&lt;200000,INDEX(Home_Data!$C$5:$F$56,V111,1)*(MAX($I111,Home_Data!$B$90)/200000)^Home_Data!$B$89,Y111*(W111/AA111)^(LN(Z111/Y111)/LN(AB111/AA111)))</f>
        <v>21378.2717499564</v>
      </c>
      <c r="AD111" s="37" t="n">
        <f aca="false">IF($K111=100,Home_Data!$B$67,IF($K111=500,Home_Data!$B$69,Home_Data!$B$68))</f>
        <v>1</v>
      </c>
      <c r="AE111" s="37" t="n">
        <f aca="false">IF($J111&lt;=Home_Data!$B$61,Home_Data!$B$64,IF($J111&gt;=Home_Data!$B$63,Home_Data!$B$66,IF($J111&lt;=Home_Data!$B$62,Home_Data!$B$64+(Home_Data!$B$65-Home_Data!$B$64)*(LN($J111)-LN(Home_Data!$B$61))/(LN(Home_Data!$B$62)-LN(Home_Data!$B$61)),Home_Data!$B$65+(Home_Data!$B$66-Home_Data!$B$65)*(LN($J111)-LN(Home_Data!$B$62))/(LN(Home_Data!$B$63)-LN(Home_Data!$B$62)))))</f>
        <v>0.91</v>
      </c>
      <c r="AF111" s="38" t="n">
        <f aca="false">IF($E111&gt;=20,Home_Data!$B$80,IF($E111&gt;=10,Home_Data!$B$79,1))</f>
        <v>1.3</v>
      </c>
      <c r="AG111" s="38" t="n">
        <f aca="false">IF($D111&lt;1960,Home_Data!$B$81,IF($D111&lt;1980,Home_Data!$B$82,IF($D111&gt;=2000,Home_Data!$B$83,1)))</f>
        <v>1.08</v>
      </c>
      <c r="AH111" s="38" t="n">
        <f aca="false">IF($F111="brick",Home_Data!$B$78,1)</f>
        <v>0.98</v>
      </c>
      <c r="AI111" s="38" t="n">
        <f aca="false">IF($G111="rental",Home_Data!$B$84,IF($G111="vacation",Home_Data!$B$85,1))</f>
        <v>1</v>
      </c>
      <c r="AJ111" s="38" t="n">
        <f aca="false">INDEX(Home_Data!$B$70:$B$73,MIN(3,MAX(0,$H111))+1)</f>
        <v>1</v>
      </c>
      <c r="AK111" s="38" t="n">
        <f aca="false">IF(INDEX(Home_Data!$H$5:$H$56,V111)="Yes",1,IF($L111="poor",Home_Data!$B$74,IF($L111="fair",Home_Data!$B$75,IF($L111="excellent",Home_Data!$B$77,Home_Data!$B$76))))</f>
        <v>1</v>
      </c>
      <c r="AL111" s="38" t="n">
        <f aca="false">IF(($N111=1),Home_Data!$B$86,1)*IF(($O111=1),Home_Data!$B$87,1)*IF(($P111=1),Home_Data!$B$88,1)</f>
        <v>1</v>
      </c>
      <c r="AM111" s="34" t="n">
        <f aca="false">AC111*AD111*AE111*AF111*AG111*AH111*AI111*AJ111*AK111*AL111</f>
        <v>26767.460416242</v>
      </c>
      <c r="AN111" s="34" t="n">
        <f aca="false">AM111*EXP(-Car_Data!$B$123*Home_Data!$B$91)</f>
        <v>19495.3661433858</v>
      </c>
      <c r="AO111" s="34" t="n">
        <f aca="false">AM111*EXP(Car_Data!$B$123*Home_Data!$B$91)</f>
        <v>36752.1662258275</v>
      </c>
      <c r="AP111" s="39" t="str">
        <f aca="false">IF($U111&gt;0,IF(AND($U111&gt;=AN111,$U111&lt;=AO111),1,0),"")</f>
        <v/>
      </c>
      <c r="AQ111" s="40" t="str">
        <f aca="false">IF($U111&gt;0,$U111/AM111-1,"")</f>
        <v/>
      </c>
    </row>
    <row r="112" customFormat="false" ht="15" hidden="false" customHeight="false" outlineLevel="0" collapsed="false">
      <c r="A112" s="6" t="s">
        <v>380</v>
      </c>
      <c r="B112" s="6" t="s">
        <v>128</v>
      </c>
      <c r="C112" s="6" t="n">
        <v>1300</v>
      </c>
      <c r="D112" s="6" t="n">
        <v>1990</v>
      </c>
      <c r="E112" s="6" t="n">
        <v>17</v>
      </c>
      <c r="F112" s="6" t="s">
        <v>133</v>
      </c>
      <c r="G112" s="6" t="s">
        <v>136</v>
      </c>
      <c r="H112" s="6" t="n">
        <v>1</v>
      </c>
      <c r="I112" s="23" t="n">
        <v>270000</v>
      </c>
      <c r="J112" s="23" t="n">
        <v>1000</v>
      </c>
      <c r="K112" s="6" t="n">
        <v>500</v>
      </c>
      <c r="L112" s="6" t="s">
        <v>72</v>
      </c>
      <c r="M112" s="6" t="n">
        <v>0</v>
      </c>
      <c r="N112" s="6" t="n">
        <v>0</v>
      </c>
      <c r="O112" s="6" t="n">
        <v>0</v>
      </c>
      <c r="P112" s="6" t="n">
        <v>1</v>
      </c>
      <c r="Q112" s="6" t="n">
        <v>0</v>
      </c>
      <c r="R112" s="6" t="s">
        <v>262</v>
      </c>
      <c r="S112" s="5"/>
      <c r="T112" s="32"/>
      <c r="U112" s="17"/>
      <c r="V112" s="33" t="n">
        <f aca="false">MATCH($B112,Home_Data!$B$5:$B$56,0)</f>
        <v>9</v>
      </c>
      <c r="W112" s="34" t="n">
        <f aca="false">MIN(MAX($I112,50000),3000000)</f>
        <v>270000</v>
      </c>
      <c r="X112" s="35" t="n">
        <f aca="false">IFERROR(MIN(3,MAX(1,MATCH(W112,Home_Data!$C$4:$F$4,1))),1)</f>
        <v>1</v>
      </c>
      <c r="Y112" s="36" t="n">
        <f aca="false">INDEX(Home_Data!$C$5:$F$56,V112,X112)</f>
        <v>6203</v>
      </c>
      <c r="Z112" s="36" t="n">
        <f aca="false">INDEX(Home_Data!$C$5:$F$56,V112,X112+1)</f>
        <v>8471</v>
      </c>
      <c r="AA112" s="36" t="n">
        <f aca="false">INDEX(Home_Data!$C$4:$F$4,X112)</f>
        <v>200000</v>
      </c>
      <c r="AB112" s="36" t="n">
        <f aca="false">INDEX(Home_Data!$C$4:$F$4,X112+1)</f>
        <v>300000</v>
      </c>
      <c r="AC112" s="36" t="n">
        <f aca="false">IF($I112&lt;200000,INDEX(Home_Data!$C$5:$F$56,V112,1)*(MAX($I112,Home_Data!$B$90)/200000)^Home_Data!$B$89,Y112*(W112/AA112)^(LN(Z112/Y112)/LN(AB112/AA112)))</f>
        <v>7812.10895211274</v>
      </c>
      <c r="AD112" s="37" t="n">
        <f aca="false">IF($K112=100,Home_Data!$B$67,IF($K112=500,Home_Data!$B$69,Home_Data!$B$68))</f>
        <v>1.005</v>
      </c>
      <c r="AE112" s="37" t="n">
        <f aca="false">IF($J112&lt;=Home_Data!$B$61,Home_Data!$B$64,IF($J112&gt;=Home_Data!$B$63,Home_Data!$B$66,IF($J112&lt;=Home_Data!$B$62,Home_Data!$B$64+(Home_Data!$B$65-Home_Data!$B$64)*(LN($J112)-LN(Home_Data!$B$61))/(LN(Home_Data!$B$62)-LN(Home_Data!$B$61)),Home_Data!$B$65+(Home_Data!$B$66-Home_Data!$B$65)*(LN($J112)-LN(Home_Data!$B$62))/(LN(Home_Data!$B$63)-LN(Home_Data!$B$62)))))</f>
        <v>1</v>
      </c>
      <c r="AF112" s="38" t="n">
        <f aca="false">IF($E112&gt;=20,Home_Data!$B$80,IF($E112&gt;=10,Home_Data!$B$79,1))</f>
        <v>1.1</v>
      </c>
      <c r="AG112" s="38" t="n">
        <f aca="false">IF($D112&lt;1960,Home_Data!$B$81,IF($D112&lt;1980,Home_Data!$B$82,IF($D112&gt;=2000,Home_Data!$B$83,1)))</f>
        <v>1</v>
      </c>
      <c r="AH112" s="38" t="n">
        <f aca="false">IF($F112="brick",Home_Data!$B$78,1)</f>
        <v>1</v>
      </c>
      <c r="AI112" s="38" t="n">
        <f aca="false">IF($G112="rental",Home_Data!$B$84,IF($G112="vacation",Home_Data!$B$85,1))</f>
        <v>1</v>
      </c>
      <c r="AJ112" s="38" t="n">
        <f aca="false">INDEX(Home_Data!$B$70:$B$73,MIN(3,MAX(0,$H112))+1)</f>
        <v>1.16</v>
      </c>
      <c r="AK112" s="38" t="n">
        <f aca="false">IF(INDEX(Home_Data!$H$5:$H$56,V112)="Yes",1,IF($L112="poor",Home_Data!$B$74,IF($L112="fair",Home_Data!$B$75,IF($L112="excellent",Home_Data!$B$77,Home_Data!$B$76))))</f>
        <v>1</v>
      </c>
      <c r="AL112" s="38" t="n">
        <f aca="false">IF(($N112=1),Home_Data!$B$86,1)*IF(($O112=1),Home_Data!$B$87,1)*IF(($P112=1),Home_Data!$B$88,1)</f>
        <v>1.08</v>
      </c>
      <c r="AM112" s="34" t="n">
        <f aca="false">AC112*AD112*AE112*AF112*AG112*AH112*AI112*AJ112*AK112*AL112</f>
        <v>10819.5396602512</v>
      </c>
      <c r="AN112" s="34" t="n">
        <f aca="false">AM112*EXP(-Car_Data!$B$123*Home_Data!$B$91)</f>
        <v>7880.12325037346</v>
      </c>
      <c r="AO112" s="34" t="n">
        <f aca="false">AM112*EXP(Car_Data!$B$123*Home_Data!$B$91)</f>
        <v>14855.4070463555</v>
      </c>
      <c r="AP112" s="39" t="str">
        <f aca="false">IF($U112&gt;0,IF(AND($U112&gt;=AN112,$U112&lt;=AO112),1,0),"")</f>
        <v/>
      </c>
      <c r="AQ112" s="40" t="str">
        <f aca="false">IF($U112&gt;0,$U112/AM112-1,"")</f>
        <v/>
      </c>
    </row>
    <row r="113" customFormat="false" ht="15" hidden="false" customHeight="false" outlineLevel="0" collapsed="false">
      <c r="A113" s="6" t="s">
        <v>381</v>
      </c>
      <c r="B113" s="6" t="s">
        <v>128</v>
      </c>
      <c r="C113" s="6" t="n">
        <v>2200</v>
      </c>
      <c r="D113" s="6" t="n">
        <v>1982</v>
      </c>
      <c r="E113" s="6" t="n">
        <v>22</v>
      </c>
      <c r="F113" s="6" t="s">
        <v>133</v>
      </c>
      <c r="G113" s="6" t="s">
        <v>136</v>
      </c>
      <c r="H113" s="6" t="n">
        <v>0</v>
      </c>
      <c r="I113" s="23" t="n">
        <v>555000</v>
      </c>
      <c r="J113" s="23" t="n">
        <v>1000</v>
      </c>
      <c r="K113" s="6" t="n">
        <v>300</v>
      </c>
      <c r="L113" s="6" t="s">
        <v>72</v>
      </c>
      <c r="M113" s="6" t="n">
        <v>0</v>
      </c>
      <c r="N113" s="6" t="n">
        <v>0</v>
      </c>
      <c r="O113" s="6" t="n">
        <v>0</v>
      </c>
      <c r="P113" s="6" t="n">
        <v>1</v>
      </c>
      <c r="Q113" s="6" t="n">
        <v>0</v>
      </c>
      <c r="R113" s="6" t="s">
        <v>262</v>
      </c>
      <c r="S113" s="5"/>
      <c r="T113" s="32"/>
      <c r="U113" s="17"/>
      <c r="V113" s="33" t="n">
        <f aca="false">MATCH($B113,Home_Data!$B$5:$B$56,0)</f>
        <v>9</v>
      </c>
      <c r="W113" s="34" t="n">
        <f aca="false">MIN(MAX($I113,50000),3000000)</f>
        <v>555000</v>
      </c>
      <c r="X113" s="35" t="n">
        <f aca="false">IFERROR(MIN(3,MAX(1,MATCH(W113,Home_Data!$C$4:$F$4,1))),1)</f>
        <v>3</v>
      </c>
      <c r="Y113" s="36" t="n">
        <f aca="false">INDEX(Home_Data!$C$5:$F$56,V113,X113)</f>
        <v>11161</v>
      </c>
      <c r="Z113" s="36" t="n">
        <f aca="false">INDEX(Home_Data!$C$5:$F$56,V113,X113+1)</f>
        <v>16690</v>
      </c>
      <c r="AA113" s="36" t="n">
        <f aca="false">INDEX(Home_Data!$C$4:$F$4,X113)</f>
        <v>400000</v>
      </c>
      <c r="AB113" s="36" t="n">
        <f aca="false">INDEX(Home_Data!$C$4:$F$4,X113+1)</f>
        <v>600000</v>
      </c>
      <c r="AC113" s="36" t="n">
        <f aca="false">IF($I113&lt;200000,INDEX(Home_Data!$C$5:$F$56,V113,1)*(MAX($I113,Home_Data!$B$90)/200000)^Home_Data!$B$89,Y113*(W113/AA113)^(LN(Z113/Y113)/LN(AB113/AA113)))</f>
        <v>15447.3981936101</v>
      </c>
      <c r="AD113" s="37" t="n">
        <f aca="false">IF($K113=100,Home_Data!$B$67,IF($K113=500,Home_Data!$B$69,Home_Data!$B$68))</f>
        <v>1</v>
      </c>
      <c r="AE113" s="37" t="n">
        <f aca="false">IF($J113&lt;=Home_Data!$B$61,Home_Data!$B$64,IF($J113&gt;=Home_Data!$B$63,Home_Data!$B$66,IF($J113&lt;=Home_Data!$B$62,Home_Data!$B$64+(Home_Data!$B$65-Home_Data!$B$64)*(LN($J113)-LN(Home_Data!$B$61))/(LN(Home_Data!$B$62)-LN(Home_Data!$B$61)),Home_Data!$B$65+(Home_Data!$B$66-Home_Data!$B$65)*(LN($J113)-LN(Home_Data!$B$62))/(LN(Home_Data!$B$63)-LN(Home_Data!$B$62)))))</f>
        <v>1</v>
      </c>
      <c r="AF113" s="38" t="n">
        <f aca="false">IF($E113&gt;=20,Home_Data!$B$80,IF($E113&gt;=10,Home_Data!$B$79,1))</f>
        <v>1.3</v>
      </c>
      <c r="AG113" s="38" t="n">
        <f aca="false">IF($D113&lt;1960,Home_Data!$B$81,IF($D113&lt;1980,Home_Data!$B$82,IF($D113&gt;=2000,Home_Data!$B$83,1)))</f>
        <v>1</v>
      </c>
      <c r="AH113" s="38" t="n">
        <f aca="false">IF($F113="brick",Home_Data!$B$78,1)</f>
        <v>1</v>
      </c>
      <c r="AI113" s="38" t="n">
        <f aca="false">IF($G113="rental",Home_Data!$B$84,IF($G113="vacation",Home_Data!$B$85,1))</f>
        <v>1</v>
      </c>
      <c r="AJ113" s="38" t="n">
        <f aca="false">INDEX(Home_Data!$B$70:$B$73,MIN(3,MAX(0,$H113))+1)</f>
        <v>1</v>
      </c>
      <c r="AK113" s="38" t="n">
        <f aca="false">IF(INDEX(Home_Data!$H$5:$H$56,V113)="Yes",1,IF($L113="poor",Home_Data!$B$74,IF($L113="fair",Home_Data!$B$75,IF($L113="excellent",Home_Data!$B$77,Home_Data!$B$76))))</f>
        <v>1</v>
      </c>
      <c r="AL113" s="38" t="n">
        <f aca="false">IF(($N113=1),Home_Data!$B$86,1)*IF(($O113=1),Home_Data!$B$87,1)*IF(($P113=1),Home_Data!$B$88,1)</f>
        <v>1.08</v>
      </c>
      <c r="AM113" s="34" t="n">
        <f aca="false">AC113*AD113*AE113*AF113*AG113*AH113*AI113*AJ113*AK113*AL113</f>
        <v>21688.1470638286</v>
      </c>
      <c r="AN113" s="34" t="n">
        <f aca="false">AM113*EXP(-Car_Data!$B$123*Home_Data!$B$91)</f>
        <v>15795.9836833971</v>
      </c>
      <c r="AO113" s="34" t="n">
        <f aca="false">AM113*EXP(Car_Data!$B$123*Home_Data!$B$91)</f>
        <v>29778.1849165027</v>
      </c>
      <c r="AP113" s="39" t="str">
        <f aca="false">IF($U113&gt;0,IF(AND($U113&gt;=AN113,$U113&lt;=AO113),1,0),"")</f>
        <v/>
      </c>
      <c r="AQ113" s="40" t="str">
        <f aca="false">IF($U113&gt;0,$U113/AM113-1,"")</f>
        <v/>
      </c>
    </row>
    <row r="114" customFormat="false" ht="15" hidden="false" customHeight="false" outlineLevel="0" collapsed="false">
      <c r="A114" s="6" t="s">
        <v>382</v>
      </c>
      <c r="B114" s="6" t="s">
        <v>128</v>
      </c>
      <c r="C114" s="6" t="n">
        <v>3400</v>
      </c>
      <c r="D114" s="6" t="n">
        <v>1995</v>
      </c>
      <c r="E114" s="6" t="n">
        <v>20</v>
      </c>
      <c r="F114" s="6" t="s">
        <v>133</v>
      </c>
      <c r="G114" s="6" t="s">
        <v>136</v>
      </c>
      <c r="H114" s="6" t="n">
        <v>0</v>
      </c>
      <c r="I114" s="23" t="n">
        <v>685000</v>
      </c>
      <c r="J114" s="23" t="n">
        <v>1000</v>
      </c>
      <c r="K114" s="6" t="n">
        <v>300</v>
      </c>
      <c r="L114" s="6" t="s">
        <v>264</v>
      </c>
      <c r="M114" s="6" t="n">
        <v>0</v>
      </c>
      <c r="N114" s="6" t="n">
        <v>1</v>
      </c>
      <c r="O114" s="6" t="n">
        <v>0</v>
      </c>
      <c r="P114" s="6" t="n">
        <v>0</v>
      </c>
      <c r="Q114" s="6" t="n">
        <v>0</v>
      </c>
      <c r="R114" s="6" t="s">
        <v>265</v>
      </c>
      <c r="S114" s="5"/>
      <c r="T114" s="32"/>
      <c r="U114" s="17"/>
      <c r="V114" s="33" t="n">
        <f aca="false">MATCH($B114,Home_Data!$B$5:$B$56,0)</f>
        <v>9</v>
      </c>
      <c r="W114" s="34" t="n">
        <f aca="false">MIN(MAX($I114,50000),3000000)</f>
        <v>685000</v>
      </c>
      <c r="X114" s="35" t="n">
        <f aca="false">IFERROR(MIN(3,MAX(1,MATCH(W114,Home_Data!$C$4:$F$4,1))),1)</f>
        <v>3</v>
      </c>
      <c r="Y114" s="36" t="n">
        <f aca="false">INDEX(Home_Data!$C$5:$F$56,V114,X114)</f>
        <v>11161</v>
      </c>
      <c r="Z114" s="36" t="n">
        <f aca="false">INDEX(Home_Data!$C$5:$F$56,V114,X114+1)</f>
        <v>16690</v>
      </c>
      <c r="AA114" s="36" t="n">
        <f aca="false">INDEX(Home_Data!$C$4:$F$4,X114)</f>
        <v>400000</v>
      </c>
      <c r="AB114" s="36" t="n">
        <f aca="false">INDEX(Home_Data!$C$4:$F$4,X114+1)</f>
        <v>600000</v>
      </c>
      <c r="AC114" s="36" t="n">
        <f aca="false">IF($I114&lt;200000,INDEX(Home_Data!$C$5:$F$56,V114,1)*(MAX($I114,Home_Data!$B$90)/200000)^Home_Data!$B$89,Y114*(W114/AA114)^(LN(Z114/Y114)/LN(AB114/AA114)))</f>
        <v>19035.2438592574</v>
      </c>
      <c r="AD114" s="37" t="n">
        <f aca="false">IF($K114=100,Home_Data!$B$67,IF($K114=500,Home_Data!$B$69,Home_Data!$B$68))</f>
        <v>1</v>
      </c>
      <c r="AE114" s="37" t="n">
        <f aca="false">IF($J114&lt;=Home_Data!$B$61,Home_Data!$B$64,IF($J114&gt;=Home_Data!$B$63,Home_Data!$B$66,IF($J114&lt;=Home_Data!$B$62,Home_Data!$B$64+(Home_Data!$B$65-Home_Data!$B$64)*(LN($J114)-LN(Home_Data!$B$61))/(LN(Home_Data!$B$62)-LN(Home_Data!$B$61)),Home_Data!$B$65+(Home_Data!$B$66-Home_Data!$B$65)*(LN($J114)-LN(Home_Data!$B$62))/(LN(Home_Data!$B$63)-LN(Home_Data!$B$62)))))</f>
        <v>1</v>
      </c>
      <c r="AF114" s="38" t="n">
        <f aca="false">IF($E114&gt;=20,Home_Data!$B$80,IF($E114&gt;=10,Home_Data!$B$79,1))</f>
        <v>1.3</v>
      </c>
      <c r="AG114" s="38" t="n">
        <f aca="false">IF($D114&lt;1960,Home_Data!$B$81,IF($D114&lt;1980,Home_Data!$B$82,IF($D114&gt;=2000,Home_Data!$B$83,1)))</f>
        <v>1</v>
      </c>
      <c r="AH114" s="38" t="n">
        <f aca="false">IF($F114="brick",Home_Data!$B$78,1)</f>
        <v>1</v>
      </c>
      <c r="AI114" s="38" t="n">
        <f aca="false">IF($G114="rental",Home_Data!$B$84,IF($G114="vacation",Home_Data!$B$85,1))</f>
        <v>1</v>
      </c>
      <c r="AJ114" s="38" t="n">
        <f aca="false">INDEX(Home_Data!$B$70:$B$73,MIN(3,MAX(0,$H114))+1)</f>
        <v>1</v>
      </c>
      <c r="AK114" s="38" t="n">
        <f aca="false">IF(INDEX(Home_Data!$H$5:$H$56,V114)="Yes",1,IF($L114="poor",Home_Data!$B$74,IF($L114="fair",Home_Data!$B$75,IF($L114="excellent",Home_Data!$B$77,Home_Data!$B$76))))</f>
        <v>0.89</v>
      </c>
      <c r="AL114" s="38" t="n">
        <f aca="false">IF(($N114=1),Home_Data!$B$86,1)*IF(($O114=1),Home_Data!$B$87,1)*IF(($P114=1),Home_Data!$B$88,1)</f>
        <v>1.15</v>
      </c>
      <c r="AM114" s="34" t="n">
        <f aca="false">AC114*AD114*AE114*AF114*AG114*AH114*AI114*AJ114*AK114*AL114</f>
        <v>25327.343716935</v>
      </c>
      <c r="AN114" s="34" t="n">
        <f aca="false">AM114*EXP(-Car_Data!$B$123*Home_Data!$B$91)</f>
        <v>18446.4955405863</v>
      </c>
      <c r="AO114" s="34" t="n">
        <f aca="false">AM114*EXP(Car_Data!$B$123*Home_Data!$B$91)</f>
        <v>34774.8621598277</v>
      </c>
      <c r="AP114" s="39" t="str">
        <f aca="false">IF($U114&gt;0,IF(AND($U114&gt;=AN114,$U114&lt;=AO114),1,0),"")</f>
        <v/>
      </c>
      <c r="AQ114" s="40" t="str">
        <f aca="false">IF($U114&gt;0,$U114/AM114-1,"")</f>
        <v/>
      </c>
    </row>
    <row r="115" customFormat="false" ht="15" hidden="false" customHeight="false" outlineLevel="0" collapsed="false">
      <c r="A115" s="6" t="s">
        <v>383</v>
      </c>
      <c r="B115" s="6" t="s">
        <v>128</v>
      </c>
      <c r="C115" s="6" t="n">
        <v>2000</v>
      </c>
      <c r="D115" s="6" t="n">
        <v>1984</v>
      </c>
      <c r="E115" s="6" t="n">
        <v>21</v>
      </c>
      <c r="F115" s="6" t="s">
        <v>133</v>
      </c>
      <c r="G115" s="6" t="s">
        <v>136</v>
      </c>
      <c r="H115" s="6" t="n">
        <v>0</v>
      </c>
      <c r="I115" s="23" t="n">
        <v>530000</v>
      </c>
      <c r="J115" s="23" t="n">
        <v>1000</v>
      </c>
      <c r="K115" s="6" t="n">
        <v>300</v>
      </c>
      <c r="L115" s="6" t="s">
        <v>264</v>
      </c>
      <c r="M115" s="6" t="n">
        <v>0</v>
      </c>
      <c r="N115" s="6" t="n">
        <v>0</v>
      </c>
      <c r="O115" s="6" t="n">
        <v>0</v>
      </c>
      <c r="P115" s="6" t="n">
        <v>0</v>
      </c>
      <c r="Q115" s="6" t="n">
        <v>0</v>
      </c>
      <c r="R115" s="6" t="s">
        <v>267</v>
      </c>
      <c r="S115" s="5"/>
      <c r="T115" s="32"/>
      <c r="U115" s="17"/>
      <c r="V115" s="33" t="n">
        <f aca="false">MATCH($B115,Home_Data!$B$5:$B$56,0)</f>
        <v>9</v>
      </c>
      <c r="W115" s="34" t="n">
        <f aca="false">MIN(MAX($I115,50000),3000000)</f>
        <v>530000</v>
      </c>
      <c r="X115" s="35" t="n">
        <f aca="false">IFERROR(MIN(3,MAX(1,MATCH(W115,Home_Data!$C$4:$F$4,1))),1)</f>
        <v>3</v>
      </c>
      <c r="Y115" s="36" t="n">
        <f aca="false">INDEX(Home_Data!$C$5:$F$56,V115,X115)</f>
        <v>11161</v>
      </c>
      <c r="Z115" s="36" t="n">
        <f aca="false">INDEX(Home_Data!$C$5:$F$56,V115,X115+1)</f>
        <v>16690</v>
      </c>
      <c r="AA115" s="36" t="n">
        <f aca="false">INDEX(Home_Data!$C$4:$F$4,X115)</f>
        <v>400000</v>
      </c>
      <c r="AB115" s="36" t="n">
        <f aca="false">INDEX(Home_Data!$C$4:$F$4,X115+1)</f>
        <v>600000</v>
      </c>
      <c r="AC115" s="36" t="n">
        <f aca="false">IF($I115&lt;200000,INDEX(Home_Data!$C$5:$F$56,V115,1)*(MAX($I115,Home_Data!$B$90)/200000)^Home_Data!$B$89,Y115*(W115/AA115)^(LN(Z115/Y115)/LN(AB115/AA115)))</f>
        <v>14756.7366981175</v>
      </c>
      <c r="AD115" s="37" t="n">
        <f aca="false">IF($K115=100,Home_Data!$B$67,IF($K115=500,Home_Data!$B$69,Home_Data!$B$68))</f>
        <v>1</v>
      </c>
      <c r="AE115" s="37" t="n">
        <f aca="false">IF($J115&lt;=Home_Data!$B$61,Home_Data!$B$64,IF($J115&gt;=Home_Data!$B$63,Home_Data!$B$66,IF($J115&lt;=Home_Data!$B$62,Home_Data!$B$64+(Home_Data!$B$65-Home_Data!$B$64)*(LN($J115)-LN(Home_Data!$B$61))/(LN(Home_Data!$B$62)-LN(Home_Data!$B$61)),Home_Data!$B$65+(Home_Data!$B$66-Home_Data!$B$65)*(LN($J115)-LN(Home_Data!$B$62))/(LN(Home_Data!$B$63)-LN(Home_Data!$B$62)))))</f>
        <v>1</v>
      </c>
      <c r="AF115" s="38" t="n">
        <f aca="false">IF($E115&gt;=20,Home_Data!$B$80,IF($E115&gt;=10,Home_Data!$B$79,1))</f>
        <v>1.3</v>
      </c>
      <c r="AG115" s="38" t="n">
        <f aca="false">IF($D115&lt;1960,Home_Data!$B$81,IF($D115&lt;1980,Home_Data!$B$82,IF($D115&gt;=2000,Home_Data!$B$83,1)))</f>
        <v>1</v>
      </c>
      <c r="AH115" s="38" t="n">
        <f aca="false">IF($F115="brick",Home_Data!$B$78,1)</f>
        <v>1</v>
      </c>
      <c r="AI115" s="38" t="n">
        <f aca="false">IF($G115="rental",Home_Data!$B$84,IF($G115="vacation",Home_Data!$B$85,1))</f>
        <v>1</v>
      </c>
      <c r="AJ115" s="38" t="n">
        <f aca="false">INDEX(Home_Data!$B$70:$B$73,MIN(3,MAX(0,$H115))+1)</f>
        <v>1</v>
      </c>
      <c r="AK115" s="38" t="n">
        <f aca="false">IF(INDEX(Home_Data!$H$5:$H$56,V115)="Yes",1,IF($L115="poor",Home_Data!$B$74,IF($L115="fair",Home_Data!$B$75,IF($L115="excellent",Home_Data!$B$77,Home_Data!$B$76))))</f>
        <v>0.89</v>
      </c>
      <c r="AL115" s="38" t="n">
        <f aca="false">IF(($N115=1),Home_Data!$B$86,1)*IF(($O115=1),Home_Data!$B$87,1)*IF(($P115=1),Home_Data!$B$88,1)</f>
        <v>1</v>
      </c>
      <c r="AM115" s="34" t="n">
        <f aca="false">AC115*AD115*AE115*AF115*AG115*AH115*AI115*AJ115*AK115*AL115</f>
        <v>17073.544359722</v>
      </c>
      <c r="AN115" s="34" t="n">
        <f aca="false">AM115*EXP(-Car_Data!$B$123*Home_Data!$B$91)</f>
        <v>12435.0608343908</v>
      </c>
      <c r="AO115" s="34" t="n">
        <f aca="false">AM115*EXP(Car_Data!$B$123*Home_Data!$B$91)</f>
        <v>23442.2590195292</v>
      </c>
      <c r="AP115" s="39" t="str">
        <f aca="false">IF($U115&gt;0,IF(AND($U115&gt;=AN115,$U115&lt;=AO115),1,0),"")</f>
        <v/>
      </c>
      <c r="AQ115" s="40" t="str">
        <f aca="false">IF($U115&gt;0,$U115/AM115-1,"")</f>
        <v/>
      </c>
    </row>
    <row r="116" customFormat="false" ht="15" hidden="false" customHeight="false" outlineLevel="0" collapsed="false">
      <c r="A116" s="6" t="s">
        <v>384</v>
      </c>
      <c r="B116" s="6" t="s">
        <v>128</v>
      </c>
      <c r="C116" s="6" t="n">
        <v>3250</v>
      </c>
      <c r="D116" s="6" t="n">
        <v>1986</v>
      </c>
      <c r="E116" s="6" t="n">
        <v>24</v>
      </c>
      <c r="F116" s="6" t="s">
        <v>133</v>
      </c>
      <c r="G116" s="6" t="s">
        <v>136</v>
      </c>
      <c r="H116" s="6" t="n">
        <v>0</v>
      </c>
      <c r="I116" s="23" t="n">
        <v>695000</v>
      </c>
      <c r="J116" s="23" t="n">
        <v>2500</v>
      </c>
      <c r="K116" s="6" t="n">
        <v>300</v>
      </c>
      <c r="L116" s="6" t="s">
        <v>72</v>
      </c>
      <c r="M116" s="6" t="n">
        <v>0</v>
      </c>
      <c r="N116" s="6" t="n">
        <v>1</v>
      </c>
      <c r="O116" s="6" t="n">
        <v>0</v>
      </c>
      <c r="P116" s="6" t="n">
        <v>1</v>
      </c>
      <c r="Q116" s="6" t="n">
        <v>0</v>
      </c>
      <c r="R116" s="6" t="s">
        <v>269</v>
      </c>
      <c r="S116" s="5"/>
      <c r="T116" s="32"/>
      <c r="U116" s="17"/>
      <c r="V116" s="33" t="n">
        <f aca="false">MATCH($B116,Home_Data!$B$5:$B$56,0)</f>
        <v>9</v>
      </c>
      <c r="W116" s="34" t="n">
        <f aca="false">MIN(MAX($I116,50000),3000000)</f>
        <v>695000</v>
      </c>
      <c r="X116" s="35" t="n">
        <f aca="false">IFERROR(MIN(3,MAX(1,MATCH(W116,Home_Data!$C$4:$F$4,1))),1)</f>
        <v>3</v>
      </c>
      <c r="Y116" s="36" t="n">
        <f aca="false">INDEX(Home_Data!$C$5:$F$56,V116,X116)</f>
        <v>11161</v>
      </c>
      <c r="Z116" s="36" t="n">
        <f aca="false">INDEX(Home_Data!$C$5:$F$56,V116,X116+1)</f>
        <v>16690</v>
      </c>
      <c r="AA116" s="36" t="n">
        <f aca="false">INDEX(Home_Data!$C$4:$F$4,X116)</f>
        <v>400000</v>
      </c>
      <c r="AB116" s="36" t="n">
        <f aca="false">INDEX(Home_Data!$C$4:$F$4,X116+1)</f>
        <v>600000</v>
      </c>
      <c r="AC116" s="36" t="n">
        <f aca="false">IF($I116&lt;200000,INDEX(Home_Data!$C$5:$F$56,V116,1)*(MAX($I116,Home_Data!$B$90)/200000)^Home_Data!$B$89,Y116*(W116/AA116)^(LN(Z116/Y116)/LN(AB116/AA116)))</f>
        <v>19311.0038855661</v>
      </c>
      <c r="AD116" s="37" t="n">
        <f aca="false">IF($K116=100,Home_Data!$B$67,IF($K116=500,Home_Data!$B$69,Home_Data!$B$68))</f>
        <v>1</v>
      </c>
      <c r="AE116" s="37" t="n">
        <f aca="false">IF($J116&lt;=Home_Data!$B$61,Home_Data!$B$64,IF($J116&gt;=Home_Data!$B$63,Home_Data!$B$66,IF($J116&lt;=Home_Data!$B$62,Home_Data!$B$64+(Home_Data!$B$65-Home_Data!$B$64)*(LN($J116)-LN(Home_Data!$B$61))/(LN(Home_Data!$B$62)-LN(Home_Data!$B$61)),Home_Data!$B$65+(Home_Data!$B$66-Home_Data!$B$65)*(LN($J116)-LN(Home_Data!$B$62))/(LN(Home_Data!$B$63)-LN(Home_Data!$B$62)))))</f>
        <v>0.91</v>
      </c>
      <c r="AF116" s="38" t="n">
        <f aca="false">IF($E116&gt;=20,Home_Data!$B$80,IF($E116&gt;=10,Home_Data!$B$79,1))</f>
        <v>1.3</v>
      </c>
      <c r="AG116" s="38" t="n">
        <f aca="false">IF($D116&lt;1960,Home_Data!$B$81,IF($D116&lt;1980,Home_Data!$B$82,IF($D116&gt;=2000,Home_Data!$B$83,1)))</f>
        <v>1</v>
      </c>
      <c r="AH116" s="38" t="n">
        <f aca="false">IF($F116="brick",Home_Data!$B$78,1)</f>
        <v>1</v>
      </c>
      <c r="AI116" s="38" t="n">
        <f aca="false">IF($G116="rental",Home_Data!$B$84,IF($G116="vacation",Home_Data!$B$85,1))</f>
        <v>1</v>
      </c>
      <c r="AJ116" s="38" t="n">
        <f aca="false">INDEX(Home_Data!$B$70:$B$73,MIN(3,MAX(0,$H116))+1)</f>
        <v>1</v>
      </c>
      <c r="AK116" s="38" t="n">
        <f aca="false">IF(INDEX(Home_Data!$H$5:$H$56,V116)="Yes",1,IF($L116="poor",Home_Data!$B$74,IF($L116="fair",Home_Data!$B$75,IF($L116="excellent",Home_Data!$B$77,Home_Data!$B$76))))</f>
        <v>1</v>
      </c>
      <c r="AL116" s="38" t="n">
        <f aca="false">IF(($N116=1),Home_Data!$B$86,1)*IF(($O116=1),Home_Data!$B$87,1)*IF(($P116=1),Home_Data!$B$88,1)</f>
        <v>1.242</v>
      </c>
      <c r="AM116" s="34" t="n">
        <f aca="false">AC116*AD116*AE116*AF116*AG116*AH116*AI116*AJ116*AK116*AL116</f>
        <v>28373.3876550078</v>
      </c>
      <c r="AN116" s="34" t="n">
        <f aca="false">AM116*EXP(-Car_Data!$B$123*Home_Data!$B$91)</f>
        <v>20665.0004319034</v>
      </c>
      <c r="AO116" s="34" t="n">
        <f aca="false">AM116*EXP(Car_Data!$B$123*Home_Data!$B$91)</f>
        <v>38957.1309071198</v>
      </c>
      <c r="AP116" s="39" t="str">
        <f aca="false">IF($U116&gt;0,IF(AND($U116&gt;=AN116,$U116&lt;=AO116),1,0),"")</f>
        <v/>
      </c>
      <c r="AQ116" s="40" t="str">
        <f aca="false">IF($U116&gt;0,$U116/AM116-1,"")</f>
        <v/>
      </c>
    </row>
    <row r="117" customFormat="false" ht="15" hidden="false" customHeight="false" outlineLevel="0" collapsed="false">
      <c r="A117" s="6" t="s">
        <v>385</v>
      </c>
      <c r="B117" s="6" t="s">
        <v>128</v>
      </c>
      <c r="C117" s="6" t="n">
        <v>1700</v>
      </c>
      <c r="D117" s="6" t="n">
        <v>2000</v>
      </c>
      <c r="E117" s="6" t="n">
        <v>17</v>
      </c>
      <c r="F117" s="6" t="s">
        <v>133</v>
      </c>
      <c r="G117" s="6" t="s">
        <v>136</v>
      </c>
      <c r="H117" s="6" t="n">
        <v>1</v>
      </c>
      <c r="I117" s="23" t="n">
        <v>500000</v>
      </c>
      <c r="J117" s="23" t="n">
        <v>1000</v>
      </c>
      <c r="K117" s="6" t="n">
        <v>500</v>
      </c>
      <c r="L117" s="6" t="s">
        <v>72</v>
      </c>
      <c r="M117" s="6" t="n">
        <v>1</v>
      </c>
      <c r="N117" s="6" t="n">
        <v>1</v>
      </c>
      <c r="O117" s="6" t="n">
        <v>0</v>
      </c>
      <c r="P117" s="6" t="n">
        <v>0</v>
      </c>
      <c r="Q117" s="6" t="n">
        <v>0</v>
      </c>
      <c r="R117" s="6" t="s">
        <v>343</v>
      </c>
      <c r="S117" s="5"/>
      <c r="T117" s="32"/>
      <c r="U117" s="17"/>
      <c r="V117" s="33" t="n">
        <f aca="false">MATCH($B117,Home_Data!$B$5:$B$56,0)</f>
        <v>9</v>
      </c>
      <c r="W117" s="34" t="n">
        <f aca="false">MIN(MAX($I117,50000),3000000)</f>
        <v>500000</v>
      </c>
      <c r="X117" s="35" t="n">
        <f aca="false">IFERROR(MIN(3,MAX(1,MATCH(W117,Home_Data!$C$4:$F$4,1))),1)</f>
        <v>3</v>
      </c>
      <c r="Y117" s="36" t="n">
        <f aca="false">INDEX(Home_Data!$C$5:$F$56,V117,X117)</f>
        <v>11161</v>
      </c>
      <c r="Z117" s="36" t="n">
        <f aca="false">INDEX(Home_Data!$C$5:$F$56,V117,X117+1)</f>
        <v>16690</v>
      </c>
      <c r="AA117" s="36" t="n">
        <f aca="false">INDEX(Home_Data!$C$4:$F$4,X117)</f>
        <v>400000</v>
      </c>
      <c r="AB117" s="36" t="n">
        <f aca="false">INDEX(Home_Data!$C$4:$F$4,X117+1)</f>
        <v>600000</v>
      </c>
      <c r="AC117" s="36" t="n">
        <f aca="false">IF($I117&lt;200000,INDEX(Home_Data!$C$5:$F$56,V117,1)*(MAX($I117,Home_Data!$B$90)/200000)^Home_Data!$B$89,Y117*(W117/AA117)^(LN(Z117/Y117)/LN(AB117/AA117)))</f>
        <v>13927.6148944552</v>
      </c>
      <c r="AD117" s="37" t="n">
        <f aca="false">IF($K117=100,Home_Data!$B$67,IF($K117=500,Home_Data!$B$69,Home_Data!$B$68))</f>
        <v>1.005</v>
      </c>
      <c r="AE117" s="37" t="n">
        <f aca="false">IF($J117&lt;=Home_Data!$B$61,Home_Data!$B$64,IF($J117&gt;=Home_Data!$B$63,Home_Data!$B$66,IF($J117&lt;=Home_Data!$B$62,Home_Data!$B$64+(Home_Data!$B$65-Home_Data!$B$64)*(LN($J117)-LN(Home_Data!$B$61))/(LN(Home_Data!$B$62)-LN(Home_Data!$B$61)),Home_Data!$B$65+(Home_Data!$B$66-Home_Data!$B$65)*(LN($J117)-LN(Home_Data!$B$62))/(LN(Home_Data!$B$63)-LN(Home_Data!$B$62)))))</f>
        <v>1</v>
      </c>
      <c r="AF117" s="38" t="n">
        <f aca="false">IF($E117&gt;=20,Home_Data!$B$80,IF($E117&gt;=10,Home_Data!$B$79,1))</f>
        <v>1.1</v>
      </c>
      <c r="AG117" s="38" t="n">
        <f aca="false">IF($D117&lt;1960,Home_Data!$B$81,IF($D117&lt;1980,Home_Data!$B$82,IF($D117&gt;=2000,Home_Data!$B$83,1)))</f>
        <v>0.95</v>
      </c>
      <c r="AH117" s="38" t="n">
        <f aca="false">IF($F117="brick",Home_Data!$B$78,1)</f>
        <v>1</v>
      </c>
      <c r="AI117" s="38" t="n">
        <f aca="false">IF($G117="rental",Home_Data!$B$84,IF($G117="vacation",Home_Data!$B$85,1))</f>
        <v>1</v>
      </c>
      <c r="AJ117" s="38" t="n">
        <f aca="false">INDEX(Home_Data!$B$70:$B$73,MIN(3,MAX(0,$H117))+1)</f>
        <v>1.16</v>
      </c>
      <c r="AK117" s="38" t="n">
        <f aca="false">IF(INDEX(Home_Data!$H$5:$H$56,V117)="Yes",1,IF($L117="poor",Home_Data!$B$74,IF($L117="fair",Home_Data!$B$75,IF($L117="excellent",Home_Data!$B$77,Home_Data!$B$76))))</f>
        <v>1</v>
      </c>
      <c r="AL117" s="38" t="n">
        <f aca="false">IF(($N117=1),Home_Data!$B$86,1)*IF(($O117=1),Home_Data!$B$87,1)*IF(($P117=1),Home_Data!$B$88,1)</f>
        <v>1.15</v>
      </c>
      <c r="AM117" s="34" t="n">
        <f aca="false">AC117*AD117*AE117*AF117*AG117*AH117*AI117*AJ117*AK117*AL117</f>
        <v>19512.5905562739</v>
      </c>
      <c r="AN117" s="34" t="n">
        <f aca="false">AM117*EXP(-Car_Data!$B$123*Home_Data!$B$91)</f>
        <v>14211.4751039179</v>
      </c>
      <c r="AO117" s="34" t="n">
        <f aca="false">AM117*EXP(Car_Data!$B$123*Home_Data!$B$91)</f>
        <v>26791.1098202484</v>
      </c>
      <c r="AP117" s="39" t="str">
        <f aca="false">IF($U117&gt;0,IF(AND($U117&gt;=AN117,$U117&lt;=AO117),1,0),"")</f>
        <v/>
      </c>
      <c r="AQ117" s="40" t="str">
        <f aca="false">IF($U117&gt;0,$U117/AM117-1,"")</f>
        <v/>
      </c>
    </row>
    <row r="118" customFormat="false" ht="15" hidden="false" customHeight="false" outlineLevel="0" collapsed="false">
      <c r="A118" s="6" t="s">
        <v>386</v>
      </c>
      <c r="B118" s="6" t="s">
        <v>128</v>
      </c>
      <c r="C118" s="6" t="n">
        <v>3750</v>
      </c>
      <c r="D118" s="6" t="n">
        <v>2016</v>
      </c>
      <c r="E118" s="6" t="n">
        <v>3</v>
      </c>
      <c r="F118" s="6" t="s">
        <v>133</v>
      </c>
      <c r="G118" s="6" t="s">
        <v>136</v>
      </c>
      <c r="H118" s="6" t="n">
        <v>1</v>
      </c>
      <c r="I118" s="23" t="n">
        <v>950000</v>
      </c>
      <c r="J118" s="23" t="n">
        <v>1000</v>
      </c>
      <c r="K118" s="6" t="n">
        <v>300</v>
      </c>
      <c r="L118" s="6" t="s">
        <v>72</v>
      </c>
      <c r="M118" s="6" t="n">
        <v>0</v>
      </c>
      <c r="N118" s="6" t="n">
        <v>0</v>
      </c>
      <c r="O118" s="6" t="n">
        <v>0</v>
      </c>
      <c r="P118" s="6" t="n">
        <v>0</v>
      </c>
      <c r="Q118" s="6" t="n">
        <v>0</v>
      </c>
      <c r="R118" s="6" t="s">
        <v>267</v>
      </c>
      <c r="S118" s="5"/>
      <c r="T118" s="32"/>
      <c r="U118" s="17"/>
      <c r="V118" s="33" t="n">
        <f aca="false">MATCH($B118,Home_Data!$B$5:$B$56,0)</f>
        <v>9</v>
      </c>
      <c r="W118" s="34" t="n">
        <f aca="false">MIN(MAX($I118,50000),3000000)</f>
        <v>950000</v>
      </c>
      <c r="X118" s="35" t="n">
        <f aca="false">IFERROR(MIN(3,MAX(1,MATCH(W118,Home_Data!$C$4:$F$4,1))),1)</f>
        <v>3</v>
      </c>
      <c r="Y118" s="36" t="n">
        <f aca="false">INDEX(Home_Data!$C$5:$F$56,V118,X118)</f>
        <v>11161</v>
      </c>
      <c r="Z118" s="36" t="n">
        <f aca="false">INDEX(Home_Data!$C$5:$F$56,V118,X118+1)</f>
        <v>16690</v>
      </c>
      <c r="AA118" s="36" t="n">
        <f aca="false">INDEX(Home_Data!$C$4:$F$4,X118)</f>
        <v>400000</v>
      </c>
      <c r="AB118" s="36" t="n">
        <f aca="false">INDEX(Home_Data!$C$4:$F$4,X118+1)</f>
        <v>600000</v>
      </c>
      <c r="AC118" s="36" t="n">
        <f aca="false">IF($I118&lt;200000,INDEX(Home_Data!$C$5:$F$56,V118,1)*(MAX($I118,Home_Data!$B$90)/200000)^Home_Data!$B$89,Y118*(W118/AA118)^(LN(Z118/Y118)/LN(AB118/AA118)))</f>
        <v>26333.7215957369</v>
      </c>
      <c r="AD118" s="37" t="n">
        <f aca="false">IF($K118=100,Home_Data!$B$67,IF($K118=500,Home_Data!$B$69,Home_Data!$B$68))</f>
        <v>1</v>
      </c>
      <c r="AE118" s="37" t="n">
        <f aca="false">IF($J118&lt;=Home_Data!$B$61,Home_Data!$B$64,IF($J118&gt;=Home_Data!$B$63,Home_Data!$B$66,IF($J118&lt;=Home_Data!$B$62,Home_Data!$B$64+(Home_Data!$B$65-Home_Data!$B$64)*(LN($J118)-LN(Home_Data!$B$61))/(LN(Home_Data!$B$62)-LN(Home_Data!$B$61)),Home_Data!$B$65+(Home_Data!$B$66-Home_Data!$B$65)*(LN($J118)-LN(Home_Data!$B$62))/(LN(Home_Data!$B$63)-LN(Home_Data!$B$62)))))</f>
        <v>1</v>
      </c>
      <c r="AF118" s="38" t="n">
        <f aca="false">IF($E118&gt;=20,Home_Data!$B$80,IF($E118&gt;=10,Home_Data!$B$79,1))</f>
        <v>1</v>
      </c>
      <c r="AG118" s="38" t="n">
        <f aca="false">IF($D118&lt;1960,Home_Data!$B$81,IF($D118&lt;1980,Home_Data!$B$82,IF($D118&gt;=2000,Home_Data!$B$83,1)))</f>
        <v>0.95</v>
      </c>
      <c r="AH118" s="38" t="n">
        <f aca="false">IF($F118="brick",Home_Data!$B$78,1)</f>
        <v>1</v>
      </c>
      <c r="AI118" s="38" t="n">
        <f aca="false">IF($G118="rental",Home_Data!$B$84,IF($G118="vacation",Home_Data!$B$85,1))</f>
        <v>1</v>
      </c>
      <c r="AJ118" s="38" t="n">
        <f aca="false">INDEX(Home_Data!$B$70:$B$73,MIN(3,MAX(0,$H118))+1)</f>
        <v>1.16</v>
      </c>
      <c r="AK118" s="38" t="n">
        <f aca="false">IF(INDEX(Home_Data!$H$5:$H$56,V118)="Yes",1,IF($L118="poor",Home_Data!$B$74,IF($L118="fair",Home_Data!$B$75,IF($L118="excellent",Home_Data!$B$77,Home_Data!$B$76))))</f>
        <v>1</v>
      </c>
      <c r="AL118" s="38" t="n">
        <f aca="false">IF(($N118=1),Home_Data!$B$86,1)*IF(($O118=1),Home_Data!$B$87,1)*IF(($P118=1),Home_Data!$B$88,1)</f>
        <v>1</v>
      </c>
      <c r="AM118" s="34" t="n">
        <f aca="false">AC118*AD118*AE118*AF118*AG118*AH118*AI118*AJ118*AK118*AL118</f>
        <v>29019.7611985021</v>
      </c>
      <c r="AN118" s="34" t="n">
        <f aca="false">AM118*EXP(-Car_Data!$B$123*Home_Data!$B$91)</f>
        <v>21135.7693692574</v>
      </c>
      <c r="AO118" s="34" t="n">
        <f aca="false">AM118*EXP(Car_Data!$B$123*Home_Data!$B$91)</f>
        <v>39844.612481579</v>
      </c>
      <c r="AP118" s="39" t="str">
        <f aca="false">IF($U118&gt;0,IF(AND($U118&gt;=AN118,$U118&lt;=AO118),1,0),"")</f>
        <v/>
      </c>
      <c r="AQ118" s="40" t="str">
        <f aca="false">IF($U118&gt;0,$U118/AM118-1,"")</f>
        <v/>
      </c>
    </row>
    <row r="119" customFormat="false" ht="15" hidden="false" customHeight="false" outlineLevel="0" collapsed="false">
      <c r="A119" s="6" t="s">
        <v>387</v>
      </c>
      <c r="B119" s="6" t="s">
        <v>128</v>
      </c>
      <c r="C119" s="6" t="n">
        <v>1750</v>
      </c>
      <c r="D119" s="6" t="n">
        <v>1999</v>
      </c>
      <c r="E119" s="6" t="n">
        <v>4</v>
      </c>
      <c r="F119" s="6" t="s">
        <v>133</v>
      </c>
      <c r="G119" s="6" t="s">
        <v>136</v>
      </c>
      <c r="H119" s="6" t="n">
        <v>0</v>
      </c>
      <c r="I119" s="23" t="n">
        <v>485000</v>
      </c>
      <c r="J119" s="23" t="n">
        <v>1000</v>
      </c>
      <c r="K119" s="6" t="n">
        <v>300</v>
      </c>
      <c r="L119" s="6" t="s">
        <v>284</v>
      </c>
      <c r="M119" s="6" t="n">
        <v>0</v>
      </c>
      <c r="N119" s="6" t="n">
        <v>1</v>
      </c>
      <c r="O119" s="6" t="n">
        <v>0</v>
      </c>
      <c r="P119" s="6" t="n">
        <v>0</v>
      </c>
      <c r="Q119" s="6" t="n">
        <v>0</v>
      </c>
      <c r="R119" s="6" t="s">
        <v>265</v>
      </c>
      <c r="S119" s="5"/>
      <c r="T119" s="32"/>
      <c r="U119" s="17"/>
      <c r="V119" s="33" t="n">
        <f aca="false">MATCH($B119,Home_Data!$B$5:$B$56,0)</f>
        <v>9</v>
      </c>
      <c r="W119" s="34" t="n">
        <f aca="false">MIN(MAX($I119,50000),3000000)</f>
        <v>485000</v>
      </c>
      <c r="X119" s="35" t="n">
        <f aca="false">IFERROR(MIN(3,MAX(1,MATCH(W119,Home_Data!$C$4:$F$4,1))),1)</f>
        <v>3</v>
      </c>
      <c r="Y119" s="36" t="n">
        <f aca="false">INDEX(Home_Data!$C$5:$F$56,V119,X119)</f>
        <v>11161</v>
      </c>
      <c r="Z119" s="36" t="n">
        <f aca="false">INDEX(Home_Data!$C$5:$F$56,V119,X119+1)</f>
        <v>16690</v>
      </c>
      <c r="AA119" s="36" t="n">
        <f aca="false">INDEX(Home_Data!$C$4:$F$4,X119)</f>
        <v>400000</v>
      </c>
      <c r="AB119" s="36" t="n">
        <f aca="false">INDEX(Home_Data!$C$4:$F$4,X119+1)</f>
        <v>600000</v>
      </c>
      <c r="AC119" s="36" t="n">
        <f aca="false">IF($I119&lt;200000,INDEX(Home_Data!$C$5:$F$56,V119,1)*(MAX($I119,Home_Data!$B$90)/200000)^Home_Data!$B$89,Y119*(W119/AA119)^(LN(Z119/Y119)/LN(AB119/AA119)))</f>
        <v>13512.9135749131</v>
      </c>
      <c r="AD119" s="37" t="n">
        <f aca="false">IF($K119=100,Home_Data!$B$67,IF($K119=500,Home_Data!$B$69,Home_Data!$B$68))</f>
        <v>1</v>
      </c>
      <c r="AE119" s="37" t="n">
        <f aca="false">IF($J119&lt;=Home_Data!$B$61,Home_Data!$B$64,IF($J119&gt;=Home_Data!$B$63,Home_Data!$B$66,IF($J119&lt;=Home_Data!$B$62,Home_Data!$B$64+(Home_Data!$B$65-Home_Data!$B$64)*(LN($J119)-LN(Home_Data!$B$61))/(LN(Home_Data!$B$62)-LN(Home_Data!$B$61)),Home_Data!$B$65+(Home_Data!$B$66-Home_Data!$B$65)*(LN($J119)-LN(Home_Data!$B$62))/(LN(Home_Data!$B$63)-LN(Home_Data!$B$62)))))</f>
        <v>1</v>
      </c>
      <c r="AF119" s="38" t="n">
        <f aca="false">IF($E119&gt;=20,Home_Data!$B$80,IF($E119&gt;=10,Home_Data!$B$79,1))</f>
        <v>1</v>
      </c>
      <c r="AG119" s="38" t="n">
        <f aca="false">IF($D119&lt;1960,Home_Data!$B$81,IF($D119&lt;1980,Home_Data!$B$82,IF($D119&gt;=2000,Home_Data!$B$83,1)))</f>
        <v>1</v>
      </c>
      <c r="AH119" s="38" t="n">
        <f aca="false">IF($F119="brick",Home_Data!$B$78,1)</f>
        <v>1</v>
      </c>
      <c r="AI119" s="38" t="n">
        <f aca="false">IF($G119="rental",Home_Data!$B$84,IF($G119="vacation",Home_Data!$B$85,1))</f>
        <v>1</v>
      </c>
      <c r="AJ119" s="38" t="n">
        <f aca="false">INDEX(Home_Data!$B$70:$B$73,MIN(3,MAX(0,$H119))+1)</f>
        <v>1</v>
      </c>
      <c r="AK119" s="38" t="n">
        <f aca="false">IF(INDEX(Home_Data!$H$5:$H$56,V119)="Yes",1,IF($L119="poor",Home_Data!$B$74,IF($L119="fair",Home_Data!$B$75,IF($L119="excellent",Home_Data!$B$77,Home_Data!$B$76))))</f>
        <v>2.11</v>
      </c>
      <c r="AL119" s="38" t="n">
        <f aca="false">IF(($N119=1),Home_Data!$B$86,1)*IF(($O119=1),Home_Data!$B$87,1)*IF(($P119=1),Home_Data!$B$88,1)</f>
        <v>1.15</v>
      </c>
      <c r="AM119" s="34" t="n">
        <f aca="false">AC119*AD119*AE119*AF119*AG119*AH119*AI119*AJ119*AK119*AL119</f>
        <v>32789.0847895267</v>
      </c>
      <c r="AN119" s="34" t="n">
        <f aca="false">AM119*EXP(-Car_Data!$B$123*Home_Data!$B$91)</f>
        <v>23881.0557123479</v>
      </c>
      <c r="AO119" s="34" t="n">
        <f aca="false">AM119*EXP(Car_Data!$B$123*Home_Data!$B$91)</f>
        <v>45019.9561646207</v>
      </c>
      <c r="AP119" s="39" t="str">
        <f aca="false">IF($U119&gt;0,IF(AND($U119&gt;=AN119,$U119&lt;=AO119),1,0),"")</f>
        <v/>
      </c>
      <c r="AQ119" s="40" t="str">
        <f aca="false">IF($U119&gt;0,$U119/AM119-1,"")</f>
        <v/>
      </c>
    </row>
    <row r="120" customFormat="false" ht="15" hidden="false" customHeight="false" outlineLevel="0" collapsed="false">
      <c r="A120" s="6" t="s">
        <v>388</v>
      </c>
      <c r="B120" s="6" t="s">
        <v>128</v>
      </c>
      <c r="C120" s="6" t="n">
        <v>3400</v>
      </c>
      <c r="D120" s="6" t="n">
        <v>1982</v>
      </c>
      <c r="E120" s="6" t="n">
        <v>7</v>
      </c>
      <c r="F120" s="6" t="s">
        <v>133</v>
      </c>
      <c r="G120" s="6" t="s">
        <v>136</v>
      </c>
      <c r="H120" s="6" t="n">
        <v>0</v>
      </c>
      <c r="I120" s="23" t="n">
        <v>800000</v>
      </c>
      <c r="J120" s="23" t="n">
        <v>2500</v>
      </c>
      <c r="K120" s="6" t="n">
        <v>300</v>
      </c>
      <c r="L120" s="6" t="s">
        <v>271</v>
      </c>
      <c r="M120" s="6" t="n">
        <v>1</v>
      </c>
      <c r="N120" s="6" t="n">
        <v>1</v>
      </c>
      <c r="O120" s="6" t="n">
        <v>0</v>
      </c>
      <c r="P120" s="6" t="n">
        <v>0</v>
      </c>
      <c r="Q120" s="6" t="n">
        <v>0</v>
      </c>
      <c r="R120" s="6" t="s">
        <v>343</v>
      </c>
      <c r="S120" s="5"/>
      <c r="T120" s="32"/>
      <c r="U120" s="17"/>
      <c r="V120" s="33" t="n">
        <f aca="false">MATCH($B120,Home_Data!$B$5:$B$56,0)</f>
        <v>9</v>
      </c>
      <c r="W120" s="34" t="n">
        <f aca="false">MIN(MAX($I120,50000),3000000)</f>
        <v>800000</v>
      </c>
      <c r="X120" s="35" t="n">
        <f aca="false">IFERROR(MIN(3,MAX(1,MATCH(W120,Home_Data!$C$4:$F$4,1))),1)</f>
        <v>3</v>
      </c>
      <c r="Y120" s="36" t="n">
        <f aca="false">INDEX(Home_Data!$C$5:$F$56,V120,X120)</f>
        <v>11161</v>
      </c>
      <c r="Z120" s="36" t="n">
        <f aca="false">INDEX(Home_Data!$C$5:$F$56,V120,X120+1)</f>
        <v>16690</v>
      </c>
      <c r="AA120" s="36" t="n">
        <f aca="false">INDEX(Home_Data!$C$4:$F$4,X120)</f>
        <v>400000</v>
      </c>
      <c r="AB120" s="36" t="n">
        <f aca="false">INDEX(Home_Data!$C$4:$F$4,X120+1)</f>
        <v>600000</v>
      </c>
      <c r="AC120" s="36" t="n">
        <f aca="false">IF($I120&lt;200000,INDEX(Home_Data!$C$5:$F$56,V120,1)*(MAX($I120,Home_Data!$B$90)/200000)^Home_Data!$B$89,Y120*(W120/AA120)^(LN(Z120/Y120)/LN(AB120/AA120)))</f>
        <v>22204.7416994302</v>
      </c>
      <c r="AD120" s="37" t="n">
        <f aca="false">IF($K120=100,Home_Data!$B$67,IF($K120=500,Home_Data!$B$69,Home_Data!$B$68))</f>
        <v>1</v>
      </c>
      <c r="AE120" s="37" t="n">
        <f aca="false">IF($J120&lt;=Home_Data!$B$61,Home_Data!$B$64,IF($J120&gt;=Home_Data!$B$63,Home_Data!$B$66,IF($J120&lt;=Home_Data!$B$62,Home_Data!$B$64+(Home_Data!$B$65-Home_Data!$B$64)*(LN($J120)-LN(Home_Data!$B$61))/(LN(Home_Data!$B$62)-LN(Home_Data!$B$61)),Home_Data!$B$65+(Home_Data!$B$66-Home_Data!$B$65)*(LN($J120)-LN(Home_Data!$B$62))/(LN(Home_Data!$B$63)-LN(Home_Data!$B$62)))))</f>
        <v>0.91</v>
      </c>
      <c r="AF120" s="38" t="n">
        <f aca="false">IF($E120&gt;=20,Home_Data!$B$80,IF($E120&gt;=10,Home_Data!$B$79,1))</f>
        <v>1</v>
      </c>
      <c r="AG120" s="38" t="n">
        <f aca="false">IF($D120&lt;1960,Home_Data!$B$81,IF($D120&lt;1980,Home_Data!$B$82,IF($D120&gt;=2000,Home_Data!$B$83,1)))</f>
        <v>1</v>
      </c>
      <c r="AH120" s="38" t="n">
        <f aca="false">IF($F120="brick",Home_Data!$B$78,1)</f>
        <v>1</v>
      </c>
      <c r="AI120" s="38" t="n">
        <f aca="false">IF($G120="rental",Home_Data!$B$84,IF($G120="vacation",Home_Data!$B$85,1))</f>
        <v>1</v>
      </c>
      <c r="AJ120" s="38" t="n">
        <f aca="false">INDEX(Home_Data!$B$70:$B$73,MIN(3,MAX(0,$H120))+1)</f>
        <v>1</v>
      </c>
      <c r="AK120" s="38" t="n">
        <f aca="false">IF(INDEX(Home_Data!$H$5:$H$56,V120)="Yes",1,IF($L120="poor",Home_Data!$B$74,IF($L120="fair",Home_Data!$B$75,IF($L120="excellent",Home_Data!$B$77,Home_Data!$B$76))))</f>
        <v>1.07</v>
      </c>
      <c r="AL120" s="38" t="n">
        <f aca="false">IF(($N120=1),Home_Data!$B$86,1)*IF(($O120=1),Home_Data!$B$87,1)*IF(($P120=1),Home_Data!$B$88,1)</f>
        <v>1.15</v>
      </c>
      <c r="AM120" s="34" t="n">
        <f aca="false">AC120*AD120*AE120*AF120*AG120*AH120*AI120*AJ120*AK120*AL120</f>
        <v>24863.8705416455</v>
      </c>
      <c r="AN120" s="34" t="n">
        <f aca="false">AM120*EXP(-Car_Data!$B$123*Home_Data!$B$91)</f>
        <v>18108.9372100835</v>
      </c>
      <c r="AO120" s="34" t="n">
        <f aca="false">AM120*EXP(Car_Data!$B$123*Home_Data!$B$91)</f>
        <v>34138.5058184127</v>
      </c>
      <c r="AP120" s="39" t="str">
        <f aca="false">IF($U120&gt;0,IF(AND($U120&gt;=AN120,$U120&lt;=AO120),1,0),"")</f>
        <v/>
      </c>
      <c r="AQ120" s="40" t="str">
        <f aca="false">IF($U120&gt;0,$U120/AM120-1,"")</f>
        <v/>
      </c>
    </row>
    <row r="121" customFormat="false" ht="15" hidden="false" customHeight="false" outlineLevel="0" collapsed="false">
      <c r="A121" s="6" t="s">
        <v>389</v>
      </c>
      <c r="B121" s="6" t="s">
        <v>128</v>
      </c>
      <c r="C121" s="6" t="n">
        <v>1550</v>
      </c>
      <c r="D121" s="6" t="n">
        <v>1966</v>
      </c>
      <c r="E121" s="6" t="n">
        <v>21</v>
      </c>
      <c r="F121" s="6" t="s">
        <v>133</v>
      </c>
      <c r="G121" s="6" t="s">
        <v>136</v>
      </c>
      <c r="H121" s="6" t="n">
        <v>0</v>
      </c>
      <c r="I121" s="23" t="n">
        <v>355000</v>
      </c>
      <c r="J121" s="23" t="n">
        <v>1000</v>
      </c>
      <c r="K121" s="6" t="n">
        <v>300</v>
      </c>
      <c r="L121" s="6" t="s">
        <v>72</v>
      </c>
      <c r="M121" s="6" t="n">
        <v>0</v>
      </c>
      <c r="N121" s="6" t="n">
        <v>0</v>
      </c>
      <c r="O121" s="6" t="n">
        <v>0</v>
      </c>
      <c r="P121" s="6" t="n">
        <v>0</v>
      </c>
      <c r="Q121" s="6" t="n">
        <v>0</v>
      </c>
      <c r="R121" s="6" t="s">
        <v>267</v>
      </c>
      <c r="S121" s="5"/>
      <c r="T121" s="32"/>
      <c r="U121" s="17"/>
      <c r="V121" s="33" t="n">
        <f aca="false">MATCH($B121,Home_Data!$B$5:$B$56,0)</f>
        <v>9</v>
      </c>
      <c r="W121" s="34" t="n">
        <f aca="false">MIN(MAX($I121,50000),3000000)</f>
        <v>355000</v>
      </c>
      <c r="X121" s="35" t="n">
        <f aca="false">IFERROR(MIN(3,MAX(1,MATCH(W121,Home_Data!$C$4:$F$4,1))),1)</f>
        <v>2</v>
      </c>
      <c r="Y121" s="36" t="n">
        <f aca="false">INDEX(Home_Data!$C$5:$F$56,V121,X121)</f>
        <v>8471</v>
      </c>
      <c r="Z121" s="36" t="n">
        <f aca="false">INDEX(Home_Data!$C$5:$F$56,V121,X121+1)</f>
        <v>11161</v>
      </c>
      <c r="AA121" s="36" t="n">
        <f aca="false">INDEX(Home_Data!$C$4:$F$4,X121)</f>
        <v>300000</v>
      </c>
      <c r="AB121" s="36" t="n">
        <f aca="false">INDEX(Home_Data!$C$4:$F$4,X121+1)</f>
        <v>400000</v>
      </c>
      <c r="AC121" s="36" t="n">
        <f aca="false">IF($I121&lt;200000,INDEX(Home_Data!$C$5:$F$56,V121,1)*(MAX($I121,Home_Data!$B$90)/200000)^Home_Data!$B$89,Y121*(W121/AA121)^(LN(Z121/Y121)/LN(AB121/AA121)))</f>
        <v>9954.43021396209</v>
      </c>
      <c r="AD121" s="37" t="n">
        <f aca="false">IF($K121=100,Home_Data!$B$67,IF($K121=500,Home_Data!$B$69,Home_Data!$B$68))</f>
        <v>1</v>
      </c>
      <c r="AE121" s="37" t="n">
        <f aca="false">IF($J121&lt;=Home_Data!$B$61,Home_Data!$B$64,IF($J121&gt;=Home_Data!$B$63,Home_Data!$B$66,IF($J121&lt;=Home_Data!$B$62,Home_Data!$B$64+(Home_Data!$B$65-Home_Data!$B$64)*(LN($J121)-LN(Home_Data!$B$61))/(LN(Home_Data!$B$62)-LN(Home_Data!$B$61)),Home_Data!$B$65+(Home_Data!$B$66-Home_Data!$B$65)*(LN($J121)-LN(Home_Data!$B$62))/(LN(Home_Data!$B$63)-LN(Home_Data!$B$62)))))</f>
        <v>1</v>
      </c>
      <c r="AF121" s="38" t="n">
        <f aca="false">IF($E121&gt;=20,Home_Data!$B$80,IF($E121&gt;=10,Home_Data!$B$79,1))</f>
        <v>1.3</v>
      </c>
      <c r="AG121" s="38" t="n">
        <f aca="false">IF($D121&lt;1960,Home_Data!$B$81,IF($D121&lt;1980,Home_Data!$B$82,IF($D121&gt;=2000,Home_Data!$B$83,1)))</f>
        <v>1.08</v>
      </c>
      <c r="AH121" s="38" t="n">
        <f aca="false">IF($F121="brick",Home_Data!$B$78,1)</f>
        <v>1</v>
      </c>
      <c r="AI121" s="38" t="n">
        <f aca="false">IF($G121="rental",Home_Data!$B$84,IF($G121="vacation",Home_Data!$B$85,1))</f>
        <v>1</v>
      </c>
      <c r="AJ121" s="38" t="n">
        <f aca="false">INDEX(Home_Data!$B$70:$B$73,MIN(3,MAX(0,$H121))+1)</f>
        <v>1</v>
      </c>
      <c r="AK121" s="38" t="n">
        <f aca="false">IF(INDEX(Home_Data!$H$5:$H$56,V121)="Yes",1,IF($L121="poor",Home_Data!$B$74,IF($L121="fair",Home_Data!$B$75,IF($L121="excellent",Home_Data!$B$77,Home_Data!$B$76))))</f>
        <v>1</v>
      </c>
      <c r="AL121" s="38" t="n">
        <f aca="false">IF(($N121=1),Home_Data!$B$86,1)*IF(($O121=1),Home_Data!$B$87,1)*IF(($P121=1),Home_Data!$B$88,1)</f>
        <v>1</v>
      </c>
      <c r="AM121" s="34" t="n">
        <f aca="false">AC121*AD121*AE121*AF121*AG121*AH121*AI121*AJ121*AK121*AL121</f>
        <v>13976.0200204028</v>
      </c>
      <c r="AN121" s="34" t="n">
        <f aca="false">AM121*EXP(-Car_Data!$B$123*Home_Data!$B$91)</f>
        <v>10179.0615653517</v>
      </c>
      <c r="AO121" s="34" t="n">
        <f aca="false">AM121*EXP(Car_Data!$B$123*Home_Data!$B$91)</f>
        <v>19189.3068291852</v>
      </c>
      <c r="AP121" s="39" t="str">
        <f aca="false">IF($U121&gt;0,IF(AND($U121&gt;=AN121,$U121&lt;=AO121),1,0),"")</f>
        <v/>
      </c>
      <c r="AQ121" s="40" t="str">
        <f aca="false">IF($U121&gt;0,$U121/AM121-1,"")</f>
        <v/>
      </c>
    </row>
    <row r="122" customFormat="false" ht="15" hidden="false" customHeight="false" outlineLevel="0" collapsed="false">
      <c r="A122" s="6" t="s">
        <v>390</v>
      </c>
      <c r="B122" s="6" t="s">
        <v>128</v>
      </c>
      <c r="C122" s="6" t="n">
        <v>2150</v>
      </c>
      <c r="D122" s="6" t="n">
        <v>2009</v>
      </c>
      <c r="E122" s="6" t="n">
        <v>14</v>
      </c>
      <c r="F122" s="6" t="s">
        <v>261</v>
      </c>
      <c r="G122" s="6" t="s">
        <v>136</v>
      </c>
      <c r="H122" s="6" t="n">
        <v>0</v>
      </c>
      <c r="I122" s="23" t="n">
        <v>500000</v>
      </c>
      <c r="J122" s="23" t="n">
        <v>1000</v>
      </c>
      <c r="K122" s="6" t="n">
        <v>100</v>
      </c>
      <c r="L122" s="6" t="s">
        <v>72</v>
      </c>
      <c r="M122" s="6" t="n">
        <v>0</v>
      </c>
      <c r="N122" s="6" t="n">
        <v>1</v>
      </c>
      <c r="O122" s="6" t="n">
        <v>0</v>
      </c>
      <c r="P122" s="6" t="n">
        <v>0</v>
      </c>
      <c r="Q122" s="6" t="n">
        <v>0</v>
      </c>
      <c r="R122" s="6" t="s">
        <v>265</v>
      </c>
      <c r="S122" s="5"/>
      <c r="T122" s="32"/>
      <c r="U122" s="17"/>
      <c r="V122" s="33" t="n">
        <f aca="false">MATCH($B122,Home_Data!$B$5:$B$56,0)</f>
        <v>9</v>
      </c>
      <c r="W122" s="34" t="n">
        <f aca="false">MIN(MAX($I122,50000),3000000)</f>
        <v>500000</v>
      </c>
      <c r="X122" s="35" t="n">
        <f aca="false">IFERROR(MIN(3,MAX(1,MATCH(W122,Home_Data!$C$4:$F$4,1))),1)</f>
        <v>3</v>
      </c>
      <c r="Y122" s="36" t="n">
        <f aca="false">INDEX(Home_Data!$C$5:$F$56,V122,X122)</f>
        <v>11161</v>
      </c>
      <c r="Z122" s="36" t="n">
        <f aca="false">INDEX(Home_Data!$C$5:$F$56,V122,X122+1)</f>
        <v>16690</v>
      </c>
      <c r="AA122" s="36" t="n">
        <f aca="false">INDEX(Home_Data!$C$4:$F$4,X122)</f>
        <v>400000</v>
      </c>
      <c r="AB122" s="36" t="n">
        <f aca="false">INDEX(Home_Data!$C$4:$F$4,X122+1)</f>
        <v>600000</v>
      </c>
      <c r="AC122" s="36" t="n">
        <f aca="false">IF($I122&lt;200000,INDEX(Home_Data!$C$5:$F$56,V122,1)*(MAX($I122,Home_Data!$B$90)/200000)^Home_Data!$B$89,Y122*(W122/AA122)^(LN(Z122/Y122)/LN(AB122/AA122)))</f>
        <v>13927.6148944552</v>
      </c>
      <c r="AD122" s="37" t="n">
        <f aca="false">IF($K122=100,Home_Data!$B$67,IF($K122=500,Home_Data!$B$69,Home_Data!$B$68))</f>
        <v>0.991</v>
      </c>
      <c r="AE122" s="37" t="n">
        <f aca="false">IF($J122&lt;=Home_Data!$B$61,Home_Data!$B$64,IF($J122&gt;=Home_Data!$B$63,Home_Data!$B$66,IF($J122&lt;=Home_Data!$B$62,Home_Data!$B$64+(Home_Data!$B$65-Home_Data!$B$64)*(LN($J122)-LN(Home_Data!$B$61))/(LN(Home_Data!$B$62)-LN(Home_Data!$B$61)),Home_Data!$B$65+(Home_Data!$B$66-Home_Data!$B$65)*(LN($J122)-LN(Home_Data!$B$62))/(LN(Home_Data!$B$63)-LN(Home_Data!$B$62)))))</f>
        <v>1</v>
      </c>
      <c r="AF122" s="38" t="n">
        <f aca="false">IF($E122&gt;=20,Home_Data!$B$80,IF($E122&gt;=10,Home_Data!$B$79,1))</f>
        <v>1.1</v>
      </c>
      <c r="AG122" s="38" t="n">
        <f aca="false">IF($D122&lt;1960,Home_Data!$B$81,IF($D122&lt;1980,Home_Data!$B$82,IF($D122&gt;=2000,Home_Data!$B$83,1)))</f>
        <v>0.95</v>
      </c>
      <c r="AH122" s="38" t="n">
        <f aca="false">IF($F122="brick",Home_Data!$B$78,1)</f>
        <v>0.98</v>
      </c>
      <c r="AI122" s="38" t="n">
        <f aca="false">IF($G122="rental",Home_Data!$B$84,IF($G122="vacation",Home_Data!$B$85,1))</f>
        <v>1</v>
      </c>
      <c r="AJ122" s="38" t="n">
        <f aca="false">INDEX(Home_Data!$B$70:$B$73,MIN(3,MAX(0,$H122))+1)</f>
        <v>1</v>
      </c>
      <c r="AK122" s="38" t="n">
        <f aca="false">IF(INDEX(Home_Data!$H$5:$H$56,V122)="Yes",1,IF($L122="poor",Home_Data!$B$74,IF($L122="fair",Home_Data!$B$75,IF($L122="excellent",Home_Data!$B$77,Home_Data!$B$76))))</f>
        <v>1</v>
      </c>
      <c r="AL122" s="38" t="n">
        <f aca="false">IF(($N122=1),Home_Data!$B$86,1)*IF(($O122=1),Home_Data!$B$87,1)*IF(($P122=1),Home_Data!$B$88,1)</f>
        <v>1.15</v>
      </c>
      <c r="AM122" s="34" t="n">
        <f aca="false">AC122*AD122*AE122*AF122*AG122*AH122*AI122*AJ122*AK122*AL122</f>
        <v>16255.1361266445</v>
      </c>
      <c r="AN122" s="34" t="n">
        <f aca="false">AM122*EXP(-Car_Data!$B$123*Home_Data!$B$91)</f>
        <v>11838.9950175185</v>
      </c>
      <c r="AO122" s="34" t="n">
        <f aca="false">AM122*EXP(Car_Data!$B$123*Home_Data!$B$91)</f>
        <v>22318.57096863</v>
      </c>
      <c r="AP122" s="39" t="str">
        <f aca="false">IF($U122&gt;0,IF(AND($U122&gt;=AN122,$U122&lt;=AO122),1,0),"")</f>
        <v/>
      </c>
      <c r="AQ122" s="40" t="str">
        <f aca="false">IF($U122&gt;0,$U122/AM122-1,"")</f>
        <v/>
      </c>
    </row>
    <row r="123" customFormat="false" ht="15" hidden="false" customHeight="false" outlineLevel="0" collapsed="false">
      <c r="A123" s="6" t="s">
        <v>391</v>
      </c>
      <c r="B123" s="6" t="s">
        <v>128</v>
      </c>
      <c r="C123" s="6" t="n">
        <v>3050</v>
      </c>
      <c r="D123" s="6" t="n">
        <v>1974</v>
      </c>
      <c r="E123" s="6" t="n">
        <v>23</v>
      </c>
      <c r="F123" s="6" t="s">
        <v>133</v>
      </c>
      <c r="G123" s="6" t="s">
        <v>136</v>
      </c>
      <c r="H123" s="6" t="n">
        <v>0</v>
      </c>
      <c r="I123" s="23" t="n">
        <v>880000</v>
      </c>
      <c r="J123" s="23" t="n">
        <v>1000</v>
      </c>
      <c r="K123" s="6" t="n">
        <v>300</v>
      </c>
      <c r="L123" s="6" t="s">
        <v>72</v>
      </c>
      <c r="M123" s="6" t="n">
        <v>0</v>
      </c>
      <c r="N123" s="6" t="n">
        <v>1</v>
      </c>
      <c r="O123" s="6" t="n">
        <v>0</v>
      </c>
      <c r="P123" s="6" t="n">
        <v>1</v>
      </c>
      <c r="Q123" s="6" t="n">
        <v>0</v>
      </c>
      <c r="R123" s="6" t="s">
        <v>269</v>
      </c>
      <c r="S123" s="5"/>
      <c r="T123" s="32"/>
      <c r="U123" s="17"/>
      <c r="V123" s="33" t="n">
        <f aca="false">MATCH($B123,Home_Data!$B$5:$B$56,0)</f>
        <v>9</v>
      </c>
      <c r="W123" s="34" t="n">
        <f aca="false">MIN(MAX($I123,50000),3000000)</f>
        <v>880000</v>
      </c>
      <c r="X123" s="35" t="n">
        <f aca="false">IFERROR(MIN(3,MAX(1,MATCH(W123,Home_Data!$C$4:$F$4,1))),1)</f>
        <v>3</v>
      </c>
      <c r="Y123" s="36" t="n">
        <f aca="false">INDEX(Home_Data!$C$5:$F$56,V123,X123)</f>
        <v>11161</v>
      </c>
      <c r="Z123" s="36" t="n">
        <f aca="false">INDEX(Home_Data!$C$5:$F$56,V123,X123+1)</f>
        <v>16690</v>
      </c>
      <c r="AA123" s="36" t="n">
        <f aca="false">INDEX(Home_Data!$C$4:$F$4,X123)</f>
        <v>400000</v>
      </c>
      <c r="AB123" s="36" t="n">
        <f aca="false">INDEX(Home_Data!$C$4:$F$4,X123+1)</f>
        <v>600000</v>
      </c>
      <c r="AC123" s="36" t="n">
        <f aca="false">IF($I123&lt;200000,INDEX(Home_Data!$C$5:$F$56,V123,1)*(MAX($I123,Home_Data!$B$90)/200000)^Home_Data!$B$89,Y123*(W123/AA123)^(LN(Z123/Y123)/LN(AB123/AA123)))</f>
        <v>24407.5331658374</v>
      </c>
      <c r="AD123" s="37" t="n">
        <f aca="false">IF($K123=100,Home_Data!$B$67,IF($K123=500,Home_Data!$B$69,Home_Data!$B$68))</f>
        <v>1</v>
      </c>
      <c r="AE123" s="37" t="n">
        <f aca="false">IF($J123&lt;=Home_Data!$B$61,Home_Data!$B$64,IF($J123&gt;=Home_Data!$B$63,Home_Data!$B$66,IF($J123&lt;=Home_Data!$B$62,Home_Data!$B$64+(Home_Data!$B$65-Home_Data!$B$64)*(LN($J123)-LN(Home_Data!$B$61))/(LN(Home_Data!$B$62)-LN(Home_Data!$B$61)),Home_Data!$B$65+(Home_Data!$B$66-Home_Data!$B$65)*(LN($J123)-LN(Home_Data!$B$62))/(LN(Home_Data!$B$63)-LN(Home_Data!$B$62)))))</f>
        <v>1</v>
      </c>
      <c r="AF123" s="38" t="n">
        <f aca="false">IF($E123&gt;=20,Home_Data!$B$80,IF($E123&gt;=10,Home_Data!$B$79,1))</f>
        <v>1.3</v>
      </c>
      <c r="AG123" s="38" t="n">
        <f aca="false">IF($D123&lt;1960,Home_Data!$B$81,IF($D123&lt;1980,Home_Data!$B$82,IF($D123&gt;=2000,Home_Data!$B$83,1)))</f>
        <v>1.08</v>
      </c>
      <c r="AH123" s="38" t="n">
        <f aca="false">IF($F123="brick",Home_Data!$B$78,1)</f>
        <v>1</v>
      </c>
      <c r="AI123" s="38" t="n">
        <f aca="false">IF($G123="rental",Home_Data!$B$84,IF($G123="vacation",Home_Data!$B$85,1))</f>
        <v>1</v>
      </c>
      <c r="AJ123" s="38" t="n">
        <f aca="false">INDEX(Home_Data!$B$70:$B$73,MIN(3,MAX(0,$H123))+1)</f>
        <v>1</v>
      </c>
      <c r="AK123" s="38" t="n">
        <f aca="false">IF(INDEX(Home_Data!$H$5:$H$56,V123)="Yes",1,IF($L123="poor",Home_Data!$B$74,IF($L123="fair",Home_Data!$B$75,IF($L123="excellent",Home_Data!$B$77,Home_Data!$B$76))))</f>
        <v>1</v>
      </c>
      <c r="AL123" s="38" t="n">
        <f aca="false">IF(($N123=1),Home_Data!$B$86,1)*IF(($O123=1),Home_Data!$B$87,1)*IF(($P123=1),Home_Data!$B$88,1)</f>
        <v>1.242</v>
      </c>
      <c r="AM123" s="34" t="n">
        <f aca="false">AC123*AD123*AE123*AF123*AG123*AH123*AI123*AJ123*AK123*AL123</f>
        <v>42561.0752935259</v>
      </c>
      <c r="AN123" s="34" t="n">
        <f aca="false">AM123*EXP(-Car_Data!$B$123*Home_Data!$B$91)</f>
        <v>30998.2244636112</v>
      </c>
      <c r="AO123" s="34" t="n">
        <f aca="false">AM123*EXP(Car_Data!$B$123*Home_Data!$B$91)</f>
        <v>58437.0608796525</v>
      </c>
      <c r="AP123" s="39" t="str">
        <f aca="false">IF($U123&gt;0,IF(AND($U123&gt;=AN123,$U123&lt;=AO123),1,0),"")</f>
        <v/>
      </c>
      <c r="AQ123" s="40" t="str">
        <f aca="false">IF($U123&gt;0,$U123/AM123-1,"")</f>
        <v/>
      </c>
    </row>
    <row r="124" customFormat="false" ht="15" hidden="false" customHeight="false" outlineLevel="0" collapsed="false">
      <c r="A124" s="6" t="s">
        <v>392</v>
      </c>
      <c r="B124" s="6" t="s">
        <v>128</v>
      </c>
      <c r="C124" s="6" t="n">
        <v>1550</v>
      </c>
      <c r="D124" s="6" t="n">
        <v>1957</v>
      </c>
      <c r="E124" s="6" t="n">
        <v>16</v>
      </c>
      <c r="F124" s="6" t="s">
        <v>133</v>
      </c>
      <c r="G124" s="6" t="s">
        <v>136</v>
      </c>
      <c r="H124" s="6" t="n">
        <v>2</v>
      </c>
      <c r="I124" s="23" t="n">
        <v>370000</v>
      </c>
      <c r="J124" s="23" t="n">
        <v>1000</v>
      </c>
      <c r="K124" s="6" t="n">
        <v>300</v>
      </c>
      <c r="L124" s="6" t="s">
        <v>72</v>
      </c>
      <c r="M124" s="6" t="n">
        <v>0</v>
      </c>
      <c r="N124" s="6" t="n">
        <v>1</v>
      </c>
      <c r="O124" s="6" t="n">
        <v>0</v>
      </c>
      <c r="P124" s="6" t="n">
        <v>0</v>
      </c>
      <c r="Q124" s="6" t="n">
        <v>0</v>
      </c>
      <c r="R124" s="6" t="s">
        <v>265</v>
      </c>
      <c r="S124" s="5"/>
      <c r="T124" s="32"/>
      <c r="U124" s="17"/>
      <c r="V124" s="33" t="n">
        <f aca="false">MATCH($B124,Home_Data!$B$5:$B$56,0)</f>
        <v>9</v>
      </c>
      <c r="W124" s="34" t="n">
        <f aca="false">MIN(MAX($I124,50000),3000000)</f>
        <v>370000</v>
      </c>
      <c r="X124" s="35" t="n">
        <f aca="false">IFERROR(MIN(3,MAX(1,MATCH(W124,Home_Data!$C$4:$F$4,1))),1)</f>
        <v>2</v>
      </c>
      <c r="Y124" s="36" t="n">
        <f aca="false">INDEX(Home_Data!$C$5:$F$56,V124,X124)</f>
        <v>8471</v>
      </c>
      <c r="Z124" s="36" t="n">
        <f aca="false">INDEX(Home_Data!$C$5:$F$56,V124,X124+1)</f>
        <v>11161</v>
      </c>
      <c r="AA124" s="36" t="n">
        <f aca="false">INDEX(Home_Data!$C$4:$F$4,X124)</f>
        <v>300000</v>
      </c>
      <c r="AB124" s="36" t="n">
        <f aca="false">INDEX(Home_Data!$C$4:$F$4,X124+1)</f>
        <v>400000</v>
      </c>
      <c r="AC124" s="36" t="n">
        <f aca="false">IF($I124&lt;200000,INDEX(Home_Data!$C$5:$F$56,V124,1)*(MAX($I124,Home_Data!$B$90)/200000)^Home_Data!$B$89,Y124*(W124/AA124)^(LN(Z124/Y124)/LN(AB124/AA124)))</f>
        <v>10357.2864956318</v>
      </c>
      <c r="AD124" s="37" t="n">
        <f aca="false">IF($K124=100,Home_Data!$B$67,IF($K124=500,Home_Data!$B$69,Home_Data!$B$68))</f>
        <v>1</v>
      </c>
      <c r="AE124" s="37" t="n">
        <f aca="false">IF($J124&lt;=Home_Data!$B$61,Home_Data!$B$64,IF($J124&gt;=Home_Data!$B$63,Home_Data!$B$66,IF($J124&lt;=Home_Data!$B$62,Home_Data!$B$64+(Home_Data!$B$65-Home_Data!$B$64)*(LN($J124)-LN(Home_Data!$B$61))/(LN(Home_Data!$B$62)-LN(Home_Data!$B$61)),Home_Data!$B$65+(Home_Data!$B$66-Home_Data!$B$65)*(LN($J124)-LN(Home_Data!$B$62))/(LN(Home_Data!$B$63)-LN(Home_Data!$B$62)))))</f>
        <v>1</v>
      </c>
      <c r="AF124" s="38" t="n">
        <f aca="false">IF($E124&gt;=20,Home_Data!$B$80,IF($E124&gt;=10,Home_Data!$B$79,1))</f>
        <v>1.1</v>
      </c>
      <c r="AG124" s="38" t="n">
        <f aca="false">IF($D124&lt;1960,Home_Data!$B$81,IF($D124&lt;1980,Home_Data!$B$82,IF($D124&gt;=2000,Home_Data!$B$83,1)))</f>
        <v>1.18</v>
      </c>
      <c r="AH124" s="38" t="n">
        <f aca="false">IF($F124="brick",Home_Data!$B$78,1)</f>
        <v>1</v>
      </c>
      <c r="AI124" s="38" t="n">
        <f aca="false">IF($G124="rental",Home_Data!$B$84,IF($G124="vacation",Home_Data!$B$85,1))</f>
        <v>1</v>
      </c>
      <c r="AJ124" s="38" t="n">
        <f aca="false">INDEX(Home_Data!$B$70:$B$73,MIN(3,MAX(0,$H124))+1)</f>
        <v>1.29</v>
      </c>
      <c r="AK124" s="38" t="n">
        <f aca="false">IF(INDEX(Home_Data!$H$5:$H$56,V124)="Yes",1,IF($L124="poor",Home_Data!$B$74,IF($L124="fair",Home_Data!$B$75,IF($L124="excellent",Home_Data!$B$77,Home_Data!$B$76))))</f>
        <v>1</v>
      </c>
      <c r="AL124" s="38" t="n">
        <f aca="false">IF(($N124=1),Home_Data!$B$86,1)*IF(($O124=1),Home_Data!$B$87,1)*IF(($P124=1),Home_Data!$B$88,1)</f>
        <v>1.15</v>
      </c>
      <c r="AM124" s="34" t="n">
        <f aca="false">AC124*AD124*AE124*AF124*AG124*AH124*AI124*AJ124*AK124*AL124</f>
        <v>19943.8148021181</v>
      </c>
      <c r="AN124" s="34" t="n">
        <f aca="false">AM124*EXP(-Car_Data!$B$123*Home_Data!$B$91)</f>
        <v>14525.5457864521</v>
      </c>
      <c r="AO124" s="34" t="n">
        <f aca="false">AM124*EXP(Car_Data!$B$123*Home_Data!$B$91)</f>
        <v>27383.1878477274</v>
      </c>
      <c r="AP124" s="39" t="str">
        <f aca="false">IF($U124&gt;0,IF(AND($U124&gt;=AN124,$U124&lt;=AO124),1,0),"")</f>
        <v/>
      </c>
      <c r="AQ124" s="40" t="str">
        <f aca="false">IF($U124&gt;0,$U124/AM124-1,"")</f>
        <v/>
      </c>
    </row>
    <row r="125" customFormat="false" ht="15" hidden="false" customHeight="false" outlineLevel="0" collapsed="false">
      <c r="A125" s="6" t="s">
        <v>393</v>
      </c>
      <c r="B125" s="6" t="s">
        <v>128</v>
      </c>
      <c r="C125" s="6" t="n">
        <v>3250</v>
      </c>
      <c r="D125" s="6" t="n">
        <v>1961</v>
      </c>
      <c r="E125" s="6" t="n">
        <v>24</v>
      </c>
      <c r="F125" s="6" t="s">
        <v>133</v>
      </c>
      <c r="G125" s="6" t="s">
        <v>136</v>
      </c>
      <c r="H125" s="6" t="n">
        <v>1</v>
      </c>
      <c r="I125" s="23" t="n">
        <v>970000</v>
      </c>
      <c r="J125" s="23" t="n">
        <v>1000</v>
      </c>
      <c r="K125" s="6" t="n">
        <v>300</v>
      </c>
      <c r="L125" s="6" t="s">
        <v>72</v>
      </c>
      <c r="M125" s="6" t="n">
        <v>0</v>
      </c>
      <c r="N125" s="6" t="n">
        <v>1</v>
      </c>
      <c r="O125" s="6" t="n">
        <v>0</v>
      </c>
      <c r="P125" s="6" t="n">
        <v>0</v>
      </c>
      <c r="Q125" s="6" t="n">
        <v>0</v>
      </c>
      <c r="R125" s="6" t="s">
        <v>265</v>
      </c>
      <c r="S125" s="5"/>
      <c r="T125" s="32"/>
      <c r="U125" s="17"/>
      <c r="V125" s="33" t="n">
        <f aca="false">MATCH($B125,Home_Data!$B$5:$B$56,0)</f>
        <v>9</v>
      </c>
      <c r="W125" s="34" t="n">
        <f aca="false">MIN(MAX($I125,50000),3000000)</f>
        <v>970000</v>
      </c>
      <c r="X125" s="35" t="n">
        <f aca="false">IFERROR(MIN(3,MAX(1,MATCH(W125,Home_Data!$C$4:$F$4,1))),1)</f>
        <v>3</v>
      </c>
      <c r="Y125" s="36" t="n">
        <f aca="false">INDEX(Home_Data!$C$5:$F$56,V125,X125)</f>
        <v>11161</v>
      </c>
      <c r="Z125" s="36" t="n">
        <f aca="false">INDEX(Home_Data!$C$5:$F$56,V125,X125+1)</f>
        <v>16690</v>
      </c>
      <c r="AA125" s="36" t="n">
        <f aca="false">INDEX(Home_Data!$C$4:$F$4,X125)</f>
        <v>400000</v>
      </c>
      <c r="AB125" s="36" t="n">
        <f aca="false">INDEX(Home_Data!$C$4:$F$4,X125+1)</f>
        <v>600000</v>
      </c>
      <c r="AC125" s="36" t="n">
        <f aca="false">IF($I125&lt;200000,INDEX(Home_Data!$C$5:$F$56,V125,1)*(MAX($I125,Home_Data!$B$90)/200000)^Home_Data!$B$89,Y125*(W125/AA125)^(LN(Z125/Y125)/LN(AB125/AA125)))</f>
        <v>26883.8594693728</v>
      </c>
      <c r="AD125" s="37" t="n">
        <f aca="false">IF($K125=100,Home_Data!$B$67,IF($K125=500,Home_Data!$B$69,Home_Data!$B$68))</f>
        <v>1</v>
      </c>
      <c r="AE125" s="37" t="n">
        <f aca="false">IF($J125&lt;=Home_Data!$B$61,Home_Data!$B$64,IF($J125&gt;=Home_Data!$B$63,Home_Data!$B$66,IF($J125&lt;=Home_Data!$B$62,Home_Data!$B$64+(Home_Data!$B$65-Home_Data!$B$64)*(LN($J125)-LN(Home_Data!$B$61))/(LN(Home_Data!$B$62)-LN(Home_Data!$B$61)),Home_Data!$B$65+(Home_Data!$B$66-Home_Data!$B$65)*(LN($J125)-LN(Home_Data!$B$62))/(LN(Home_Data!$B$63)-LN(Home_Data!$B$62)))))</f>
        <v>1</v>
      </c>
      <c r="AF125" s="38" t="n">
        <f aca="false">IF($E125&gt;=20,Home_Data!$B$80,IF($E125&gt;=10,Home_Data!$B$79,1))</f>
        <v>1.3</v>
      </c>
      <c r="AG125" s="38" t="n">
        <f aca="false">IF($D125&lt;1960,Home_Data!$B$81,IF($D125&lt;1980,Home_Data!$B$82,IF($D125&gt;=2000,Home_Data!$B$83,1)))</f>
        <v>1.08</v>
      </c>
      <c r="AH125" s="38" t="n">
        <f aca="false">IF($F125="brick",Home_Data!$B$78,1)</f>
        <v>1</v>
      </c>
      <c r="AI125" s="38" t="n">
        <f aca="false">IF($G125="rental",Home_Data!$B$84,IF($G125="vacation",Home_Data!$B$85,1))</f>
        <v>1</v>
      </c>
      <c r="AJ125" s="38" t="n">
        <f aca="false">INDEX(Home_Data!$B$70:$B$73,MIN(3,MAX(0,$H125))+1)</f>
        <v>1.16</v>
      </c>
      <c r="AK125" s="38" t="n">
        <f aca="false">IF(INDEX(Home_Data!$H$5:$H$56,V125)="Yes",1,IF($L125="poor",Home_Data!$B$74,IF($L125="fair",Home_Data!$B$75,IF($L125="excellent",Home_Data!$B$77,Home_Data!$B$76))))</f>
        <v>1</v>
      </c>
      <c r="AL125" s="38" t="n">
        <f aca="false">IF(($N125=1),Home_Data!$B$86,1)*IF(($O125=1),Home_Data!$B$87,1)*IF(($P125=1),Home_Data!$B$88,1)</f>
        <v>1.15</v>
      </c>
      <c r="AM125" s="34" t="n">
        <f aca="false">AC125*AD125*AE125*AF125*AG125*AH125*AI125*AJ125*AK125*AL125</f>
        <v>50351.7482191292</v>
      </c>
      <c r="AN125" s="34" t="n">
        <f aca="false">AM125*EXP(-Car_Data!$B$123*Home_Data!$B$91)</f>
        <v>36672.3533808184</v>
      </c>
      <c r="AO125" s="34" t="n">
        <f aca="false">AM125*EXP(Car_Data!$B$123*Home_Data!$B$91)</f>
        <v>69133.7837633479</v>
      </c>
      <c r="AP125" s="39" t="str">
        <f aca="false">IF($U125&gt;0,IF(AND($U125&gt;=AN125,$U125&lt;=AO125),1,0),"")</f>
        <v/>
      </c>
      <c r="AQ125" s="40" t="str">
        <f aca="false">IF($U125&gt;0,$U125/AM125-1,"")</f>
        <v/>
      </c>
    </row>
    <row r="126" customFormat="false" ht="15" hidden="false" customHeight="false" outlineLevel="0" collapsed="false">
      <c r="A126" s="6" t="s">
        <v>394</v>
      </c>
      <c r="B126" s="6" t="s">
        <v>128</v>
      </c>
      <c r="C126" s="6" t="n">
        <v>1200</v>
      </c>
      <c r="D126" s="6" t="n">
        <v>2018</v>
      </c>
      <c r="E126" s="6" t="n">
        <v>6</v>
      </c>
      <c r="F126" s="6" t="s">
        <v>133</v>
      </c>
      <c r="G126" s="6" t="s">
        <v>136</v>
      </c>
      <c r="H126" s="6" t="n">
        <v>1</v>
      </c>
      <c r="I126" s="23" t="n">
        <v>290000</v>
      </c>
      <c r="J126" s="23" t="n">
        <v>1000</v>
      </c>
      <c r="K126" s="6" t="n">
        <v>300</v>
      </c>
      <c r="L126" s="6" t="s">
        <v>284</v>
      </c>
      <c r="M126" s="6" t="n">
        <v>0</v>
      </c>
      <c r="N126" s="6" t="n">
        <v>1</v>
      </c>
      <c r="O126" s="6" t="n">
        <v>0</v>
      </c>
      <c r="P126" s="6" t="n">
        <v>0</v>
      </c>
      <c r="Q126" s="6" t="n">
        <v>0</v>
      </c>
      <c r="R126" s="6" t="s">
        <v>265</v>
      </c>
      <c r="S126" s="5"/>
      <c r="T126" s="32"/>
      <c r="U126" s="17"/>
      <c r="V126" s="33" t="n">
        <f aca="false">MATCH($B126,Home_Data!$B$5:$B$56,0)</f>
        <v>9</v>
      </c>
      <c r="W126" s="34" t="n">
        <f aca="false">MIN(MAX($I126,50000),3000000)</f>
        <v>290000</v>
      </c>
      <c r="X126" s="35" t="n">
        <f aca="false">IFERROR(MIN(3,MAX(1,MATCH(W126,Home_Data!$C$4:$F$4,1))),1)</f>
        <v>1</v>
      </c>
      <c r="Y126" s="36" t="n">
        <f aca="false">INDEX(Home_Data!$C$5:$F$56,V126,X126)</f>
        <v>6203</v>
      </c>
      <c r="Z126" s="36" t="n">
        <f aca="false">INDEX(Home_Data!$C$5:$F$56,V126,X126+1)</f>
        <v>8471</v>
      </c>
      <c r="AA126" s="36" t="n">
        <f aca="false">INDEX(Home_Data!$C$4:$F$4,X126)</f>
        <v>200000</v>
      </c>
      <c r="AB126" s="36" t="n">
        <f aca="false">INDEX(Home_Data!$C$4:$F$4,X126+1)</f>
        <v>300000</v>
      </c>
      <c r="AC126" s="36" t="n">
        <f aca="false">IF($I126&lt;200000,INDEX(Home_Data!$C$5:$F$56,V126,1)*(MAX($I126,Home_Data!$B$90)/200000)^Home_Data!$B$89,Y126*(W126/AA126)^(LN(Z126/Y126)/LN(AB126/AA126)))</f>
        <v>8253.1415350841</v>
      </c>
      <c r="AD126" s="37" t="n">
        <f aca="false">IF($K126=100,Home_Data!$B$67,IF($K126=500,Home_Data!$B$69,Home_Data!$B$68))</f>
        <v>1</v>
      </c>
      <c r="AE126" s="37" t="n">
        <f aca="false">IF($J126&lt;=Home_Data!$B$61,Home_Data!$B$64,IF($J126&gt;=Home_Data!$B$63,Home_Data!$B$66,IF($J126&lt;=Home_Data!$B$62,Home_Data!$B$64+(Home_Data!$B$65-Home_Data!$B$64)*(LN($J126)-LN(Home_Data!$B$61))/(LN(Home_Data!$B$62)-LN(Home_Data!$B$61)),Home_Data!$B$65+(Home_Data!$B$66-Home_Data!$B$65)*(LN($J126)-LN(Home_Data!$B$62))/(LN(Home_Data!$B$63)-LN(Home_Data!$B$62)))))</f>
        <v>1</v>
      </c>
      <c r="AF126" s="38" t="n">
        <f aca="false">IF($E126&gt;=20,Home_Data!$B$80,IF($E126&gt;=10,Home_Data!$B$79,1))</f>
        <v>1</v>
      </c>
      <c r="AG126" s="38" t="n">
        <f aca="false">IF($D126&lt;1960,Home_Data!$B$81,IF($D126&lt;1980,Home_Data!$B$82,IF($D126&gt;=2000,Home_Data!$B$83,1)))</f>
        <v>0.95</v>
      </c>
      <c r="AH126" s="38" t="n">
        <f aca="false">IF($F126="brick",Home_Data!$B$78,1)</f>
        <v>1</v>
      </c>
      <c r="AI126" s="38" t="n">
        <f aca="false">IF($G126="rental",Home_Data!$B$84,IF($G126="vacation",Home_Data!$B$85,1))</f>
        <v>1</v>
      </c>
      <c r="AJ126" s="38" t="n">
        <f aca="false">INDEX(Home_Data!$B$70:$B$73,MIN(3,MAX(0,$H126))+1)</f>
        <v>1.16</v>
      </c>
      <c r="AK126" s="38" t="n">
        <f aca="false">IF(INDEX(Home_Data!$H$5:$H$56,V126)="Yes",1,IF($L126="poor",Home_Data!$B$74,IF($L126="fair",Home_Data!$B$75,IF($L126="excellent",Home_Data!$B$77,Home_Data!$B$76))))</f>
        <v>2.11</v>
      </c>
      <c r="AL126" s="38" t="n">
        <f aca="false">IF(($N126=1),Home_Data!$B$86,1)*IF(($O126=1),Home_Data!$B$87,1)*IF(($P126=1),Home_Data!$B$88,1)</f>
        <v>1.15</v>
      </c>
      <c r="AM126" s="34" t="n">
        <f aca="false">AC126*AD126*AE126*AF126*AG126*AH126*AI126*AJ126*AK126*AL126</f>
        <v>22068.9252242395</v>
      </c>
      <c r="AN126" s="34" t="n">
        <f aca="false">AM126*EXP(-Car_Data!$B$123*Home_Data!$B$91)</f>
        <v>16073.3133045557</v>
      </c>
      <c r="AO126" s="34" t="n">
        <f aca="false">AM126*EXP(Car_Data!$B$123*Home_Data!$B$91)</f>
        <v>30300.9996336618</v>
      </c>
      <c r="AP126" s="39" t="str">
        <f aca="false">IF($U126&gt;0,IF(AND($U126&gt;=AN126,$U126&lt;=AO126),1,0),"")</f>
        <v/>
      </c>
      <c r="AQ126" s="40" t="str">
        <f aca="false">IF($U126&gt;0,$U126/AM126-1,"")</f>
        <v/>
      </c>
    </row>
    <row r="127" customFormat="false" ht="15" hidden="false" customHeight="false" outlineLevel="0" collapsed="false">
      <c r="A127" s="6" t="s">
        <v>395</v>
      </c>
      <c r="B127" s="6" t="s">
        <v>128</v>
      </c>
      <c r="C127" s="6" t="n">
        <v>1800</v>
      </c>
      <c r="D127" s="6" t="n">
        <v>1984</v>
      </c>
      <c r="E127" s="6" t="n">
        <v>22</v>
      </c>
      <c r="F127" s="6" t="s">
        <v>133</v>
      </c>
      <c r="G127" s="6" t="s">
        <v>136</v>
      </c>
      <c r="H127" s="6" t="n">
        <v>0</v>
      </c>
      <c r="I127" s="23" t="n">
        <v>425000</v>
      </c>
      <c r="J127" s="23" t="n">
        <v>1000</v>
      </c>
      <c r="K127" s="6" t="n">
        <v>300</v>
      </c>
      <c r="L127" s="6" t="s">
        <v>264</v>
      </c>
      <c r="M127" s="6" t="n">
        <v>0</v>
      </c>
      <c r="N127" s="6" t="n">
        <v>0</v>
      </c>
      <c r="O127" s="6" t="n">
        <v>0</v>
      </c>
      <c r="P127" s="6" t="n">
        <v>0</v>
      </c>
      <c r="Q127" s="6" t="n">
        <v>0</v>
      </c>
      <c r="R127" s="6" t="s">
        <v>267</v>
      </c>
      <c r="S127" s="5"/>
      <c r="T127" s="32"/>
      <c r="U127" s="17"/>
      <c r="V127" s="33" t="n">
        <f aca="false">MATCH($B127,Home_Data!$B$5:$B$56,0)</f>
        <v>9</v>
      </c>
      <c r="W127" s="34" t="n">
        <f aca="false">MIN(MAX($I127,50000),3000000)</f>
        <v>425000</v>
      </c>
      <c r="X127" s="35" t="n">
        <f aca="false">IFERROR(MIN(3,MAX(1,MATCH(W127,Home_Data!$C$4:$F$4,1))),1)</f>
        <v>3</v>
      </c>
      <c r="Y127" s="36" t="n">
        <f aca="false">INDEX(Home_Data!$C$5:$F$56,V127,X127)</f>
        <v>11161</v>
      </c>
      <c r="Z127" s="36" t="n">
        <f aca="false">INDEX(Home_Data!$C$5:$F$56,V127,X127+1)</f>
        <v>16690</v>
      </c>
      <c r="AA127" s="36" t="n">
        <f aca="false">INDEX(Home_Data!$C$4:$F$4,X127)</f>
        <v>400000</v>
      </c>
      <c r="AB127" s="36" t="n">
        <f aca="false">INDEX(Home_Data!$C$4:$F$4,X127+1)</f>
        <v>600000</v>
      </c>
      <c r="AC127" s="36" t="n">
        <f aca="false">IF($I127&lt;200000,INDEX(Home_Data!$C$5:$F$56,V127,1)*(MAX($I127,Home_Data!$B$90)/200000)^Home_Data!$B$89,Y127*(W127/AA127)^(LN(Z127/Y127)/LN(AB127/AA127)))</f>
        <v>11853.1010334156</v>
      </c>
      <c r="AD127" s="37" t="n">
        <f aca="false">IF($K127=100,Home_Data!$B$67,IF($K127=500,Home_Data!$B$69,Home_Data!$B$68))</f>
        <v>1</v>
      </c>
      <c r="AE127" s="37" t="n">
        <f aca="false">IF($J127&lt;=Home_Data!$B$61,Home_Data!$B$64,IF($J127&gt;=Home_Data!$B$63,Home_Data!$B$66,IF($J127&lt;=Home_Data!$B$62,Home_Data!$B$64+(Home_Data!$B$65-Home_Data!$B$64)*(LN($J127)-LN(Home_Data!$B$61))/(LN(Home_Data!$B$62)-LN(Home_Data!$B$61)),Home_Data!$B$65+(Home_Data!$B$66-Home_Data!$B$65)*(LN($J127)-LN(Home_Data!$B$62))/(LN(Home_Data!$B$63)-LN(Home_Data!$B$62)))))</f>
        <v>1</v>
      </c>
      <c r="AF127" s="38" t="n">
        <f aca="false">IF($E127&gt;=20,Home_Data!$B$80,IF($E127&gt;=10,Home_Data!$B$79,1))</f>
        <v>1.3</v>
      </c>
      <c r="AG127" s="38" t="n">
        <f aca="false">IF($D127&lt;1960,Home_Data!$B$81,IF($D127&lt;1980,Home_Data!$B$82,IF($D127&gt;=2000,Home_Data!$B$83,1)))</f>
        <v>1</v>
      </c>
      <c r="AH127" s="38" t="n">
        <f aca="false">IF($F127="brick",Home_Data!$B$78,1)</f>
        <v>1</v>
      </c>
      <c r="AI127" s="38" t="n">
        <f aca="false">IF($G127="rental",Home_Data!$B$84,IF($G127="vacation",Home_Data!$B$85,1))</f>
        <v>1</v>
      </c>
      <c r="AJ127" s="38" t="n">
        <f aca="false">INDEX(Home_Data!$B$70:$B$73,MIN(3,MAX(0,$H127))+1)</f>
        <v>1</v>
      </c>
      <c r="AK127" s="38" t="n">
        <f aca="false">IF(INDEX(Home_Data!$H$5:$H$56,V127)="Yes",1,IF($L127="poor",Home_Data!$B$74,IF($L127="fair",Home_Data!$B$75,IF($L127="excellent",Home_Data!$B$77,Home_Data!$B$76))))</f>
        <v>0.89</v>
      </c>
      <c r="AL127" s="38" t="n">
        <f aca="false">IF(($N127=1),Home_Data!$B$86,1)*IF(($O127=1),Home_Data!$B$87,1)*IF(($P127=1),Home_Data!$B$88,1)</f>
        <v>1</v>
      </c>
      <c r="AM127" s="34" t="n">
        <f aca="false">AC127*AD127*AE127*AF127*AG127*AH127*AI127*AJ127*AK127*AL127</f>
        <v>13714.0378956619</v>
      </c>
      <c r="AN127" s="34" t="n">
        <f aca="false">AM127*EXP(-Car_Data!$B$123*Home_Data!$B$91)</f>
        <v>9988.25386953657</v>
      </c>
      <c r="AO127" s="34" t="n">
        <f aca="false">AM127*EXP(Car_Data!$B$123*Home_Data!$B$91)</f>
        <v>18829.6010353987</v>
      </c>
      <c r="AP127" s="39" t="str">
        <f aca="false">IF($U127&gt;0,IF(AND($U127&gt;=AN127,$U127&lt;=AO127),1,0),"")</f>
        <v/>
      </c>
      <c r="AQ127" s="40" t="str">
        <f aca="false">IF($U127&gt;0,$U127/AM127-1,"")</f>
        <v/>
      </c>
    </row>
    <row r="128" customFormat="false" ht="15" hidden="false" customHeight="false" outlineLevel="0" collapsed="false">
      <c r="A128" s="6" t="s">
        <v>396</v>
      </c>
      <c r="B128" s="6" t="s">
        <v>397</v>
      </c>
      <c r="C128" s="6" t="n">
        <v>2400</v>
      </c>
      <c r="D128" s="6" t="n">
        <v>1991</v>
      </c>
      <c r="E128" s="6" t="n">
        <v>0</v>
      </c>
      <c r="F128" s="6" t="s">
        <v>261</v>
      </c>
      <c r="G128" s="6" t="s">
        <v>136</v>
      </c>
      <c r="H128" s="6" t="n">
        <v>0</v>
      </c>
      <c r="I128" s="23" t="n">
        <v>490000</v>
      </c>
      <c r="J128" s="23" t="n">
        <v>1000</v>
      </c>
      <c r="K128" s="6" t="n">
        <v>300</v>
      </c>
      <c r="L128" s="6"/>
      <c r="M128" s="6" t="n">
        <v>0</v>
      </c>
      <c r="N128" s="6" t="n">
        <v>0</v>
      </c>
      <c r="O128" s="6" t="n">
        <v>1</v>
      </c>
      <c r="P128" s="6" t="n">
        <v>0</v>
      </c>
      <c r="Q128" s="6" t="n">
        <v>1</v>
      </c>
      <c r="R128" s="6" t="s">
        <v>398</v>
      </c>
      <c r="S128" s="5"/>
      <c r="T128" s="32"/>
      <c r="U128" s="17"/>
      <c r="V128" s="33" t="n">
        <f aca="false">MATCH($B128,Home_Data!$B$5:$B$56,0)</f>
        <v>5</v>
      </c>
      <c r="W128" s="34" t="n">
        <f aca="false">MIN(MAX($I128,50000),3000000)</f>
        <v>490000</v>
      </c>
      <c r="X128" s="35" t="n">
        <f aca="false">IFERROR(MIN(3,MAX(1,MATCH(W128,Home_Data!$C$4:$F$4,1))),1)</f>
        <v>3</v>
      </c>
      <c r="Y128" s="36" t="n">
        <f aca="false">INDEX(Home_Data!$C$5:$F$56,V128,X128)</f>
        <v>2090</v>
      </c>
      <c r="Z128" s="36" t="n">
        <f aca="false">INDEX(Home_Data!$C$5:$F$56,V128,X128+1)</f>
        <v>3092</v>
      </c>
      <c r="AA128" s="36" t="n">
        <f aca="false">INDEX(Home_Data!$C$4:$F$4,X128)</f>
        <v>400000</v>
      </c>
      <c r="AB128" s="36" t="n">
        <f aca="false">INDEX(Home_Data!$C$4:$F$4,X128+1)</f>
        <v>600000</v>
      </c>
      <c r="AC128" s="36" t="n">
        <f aca="false">IF($I128&lt;200000,INDEX(Home_Data!$C$5:$F$56,V128,1)*(MAX($I128,Home_Data!$B$90)/200000)^Home_Data!$B$89,Y128*(W128/AA128)^(LN(Z128/Y128)/LN(AB128/AA128)))</f>
        <v>2542.61300273958</v>
      </c>
      <c r="AD128" s="37" t="n">
        <f aca="false">IF($K128=100,Home_Data!$B$67,IF($K128=500,Home_Data!$B$69,Home_Data!$B$68))</f>
        <v>1</v>
      </c>
      <c r="AE128" s="37" t="n">
        <f aca="false">IF($J128&lt;=Home_Data!$B$61,Home_Data!$B$64,IF($J128&gt;=Home_Data!$B$63,Home_Data!$B$66,IF($J128&lt;=Home_Data!$B$62,Home_Data!$B$64+(Home_Data!$B$65-Home_Data!$B$64)*(LN($J128)-LN(Home_Data!$B$61))/(LN(Home_Data!$B$62)-LN(Home_Data!$B$61)),Home_Data!$B$65+(Home_Data!$B$66-Home_Data!$B$65)*(LN($J128)-LN(Home_Data!$B$62))/(LN(Home_Data!$B$63)-LN(Home_Data!$B$62)))))</f>
        <v>1</v>
      </c>
      <c r="AF128" s="38" t="n">
        <f aca="false">IF($E128&gt;=20,Home_Data!$B$80,IF($E128&gt;=10,Home_Data!$B$79,1))</f>
        <v>1</v>
      </c>
      <c r="AG128" s="38" t="n">
        <f aca="false">IF($D128&lt;1960,Home_Data!$B$81,IF($D128&lt;1980,Home_Data!$B$82,IF($D128&gt;=2000,Home_Data!$B$83,1)))</f>
        <v>1</v>
      </c>
      <c r="AH128" s="38" t="n">
        <f aca="false">IF($F128="brick",Home_Data!$B$78,1)</f>
        <v>0.98</v>
      </c>
      <c r="AI128" s="38" t="n">
        <f aca="false">IF($G128="rental",Home_Data!$B$84,IF($G128="vacation",Home_Data!$B$85,1))</f>
        <v>1</v>
      </c>
      <c r="AJ128" s="38" t="n">
        <f aca="false">INDEX(Home_Data!$B$70:$B$73,MIN(3,MAX(0,$H128))+1)</f>
        <v>1</v>
      </c>
      <c r="AK128" s="38" t="n">
        <f aca="false">IF(INDEX(Home_Data!$H$5:$H$56,V128)="Yes",1,IF($L128="poor",Home_Data!$B$74,IF($L128="fair",Home_Data!$B$75,IF($L128="excellent",Home_Data!$B$77,Home_Data!$B$76))))</f>
        <v>1</v>
      </c>
      <c r="AL128" s="38" t="n">
        <f aca="false">IF(($N128=1),Home_Data!$B$86,1)*IF(($O128=1),Home_Data!$B$87,1)*IF(($P128=1),Home_Data!$B$88,1)</f>
        <v>1.15</v>
      </c>
      <c r="AM128" s="34" t="n">
        <f aca="false">AC128*AD128*AE128*AF128*AG128*AH128*AI128*AJ128*AK128*AL128</f>
        <v>2865.5248540875</v>
      </c>
      <c r="AN128" s="34" t="n">
        <f aca="false">AM128*EXP(-Car_Data!$B$123*Home_Data!$B$91)</f>
        <v>2087.02862933946</v>
      </c>
      <c r="AO128" s="34" t="n">
        <f aca="false">AM128*EXP(Car_Data!$B$123*Home_Data!$B$91)</f>
        <v>3934.41305689804</v>
      </c>
      <c r="AP128" s="39" t="str">
        <f aca="false">IF($U128&gt;0,IF(AND($U128&gt;=AN128,$U128&lt;=AO128),1,0),"")</f>
        <v/>
      </c>
      <c r="AQ128" s="40" t="str">
        <f aca="false">IF($U128&gt;0,$U128/AM128-1,"")</f>
        <v/>
      </c>
    </row>
    <row r="129" customFormat="false" ht="15" hidden="false" customHeight="false" outlineLevel="0" collapsed="false">
      <c r="A129" s="6" t="s">
        <v>399</v>
      </c>
      <c r="B129" s="6" t="s">
        <v>397</v>
      </c>
      <c r="C129" s="6" t="n">
        <v>3400</v>
      </c>
      <c r="D129" s="6" t="n">
        <v>1969</v>
      </c>
      <c r="E129" s="6" t="n">
        <v>19</v>
      </c>
      <c r="F129" s="6" t="s">
        <v>133</v>
      </c>
      <c r="G129" s="6" t="s">
        <v>136</v>
      </c>
      <c r="H129" s="6" t="n">
        <v>0</v>
      </c>
      <c r="I129" s="23" t="n">
        <v>845000</v>
      </c>
      <c r="J129" s="23" t="n">
        <v>1000</v>
      </c>
      <c r="K129" s="6" t="n">
        <v>300</v>
      </c>
      <c r="L129" s="6"/>
      <c r="M129" s="6" t="n">
        <v>0</v>
      </c>
      <c r="N129" s="6" t="n">
        <v>0</v>
      </c>
      <c r="O129" s="6" t="n">
        <v>1</v>
      </c>
      <c r="P129" s="6" t="n">
        <v>0</v>
      </c>
      <c r="Q129" s="6" t="n">
        <v>1</v>
      </c>
      <c r="R129" s="6" t="s">
        <v>398</v>
      </c>
      <c r="S129" s="5"/>
      <c r="T129" s="32"/>
      <c r="U129" s="17"/>
      <c r="V129" s="33" t="n">
        <f aca="false">MATCH($B129,Home_Data!$B$5:$B$56,0)</f>
        <v>5</v>
      </c>
      <c r="W129" s="34" t="n">
        <f aca="false">MIN(MAX($I129,50000),3000000)</f>
        <v>845000</v>
      </c>
      <c r="X129" s="35" t="n">
        <f aca="false">IFERROR(MIN(3,MAX(1,MATCH(W129,Home_Data!$C$4:$F$4,1))),1)</f>
        <v>3</v>
      </c>
      <c r="Y129" s="36" t="n">
        <f aca="false">INDEX(Home_Data!$C$5:$F$56,V129,X129)</f>
        <v>2090</v>
      </c>
      <c r="Z129" s="36" t="n">
        <f aca="false">INDEX(Home_Data!$C$5:$F$56,V129,X129+1)</f>
        <v>3092</v>
      </c>
      <c r="AA129" s="36" t="n">
        <f aca="false">INDEX(Home_Data!$C$4:$F$4,X129)</f>
        <v>400000</v>
      </c>
      <c r="AB129" s="36" t="n">
        <f aca="false">INDEX(Home_Data!$C$4:$F$4,X129+1)</f>
        <v>600000</v>
      </c>
      <c r="AC129" s="36" t="n">
        <f aca="false">IF($I129&lt;200000,INDEX(Home_Data!$C$5:$F$56,V129,1)*(MAX($I129,Home_Data!$B$90)/200000)^Home_Data!$B$89,Y129*(W129/AA129)^(LN(Z129/Y129)/LN(AB129/AA129)))</f>
        <v>4304.07375829267</v>
      </c>
      <c r="AD129" s="37" t="n">
        <f aca="false">IF($K129=100,Home_Data!$B$67,IF($K129=500,Home_Data!$B$69,Home_Data!$B$68))</f>
        <v>1</v>
      </c>
      <c r="AE129" s="37" t="n">
        <f aca="false">IF($J129&lt;=Home_Data!$B$61,Home_Data!$B$64,IF($J129&gt;=Home_Data!$B$63,Home_Data!$B$66,IF($J129&lt;=Home_Data!$B$62,Home_Data!$B$64+(Home_Data!$B$65-Home_Data!$B$64)*(LN($J129)-LN(Home_Data!$B$61))/(LN(Home_Data!$B$62)-LN(Home_Data!$B$61)),Home_Data!$B$65+(Home_Data!$B$66-Home_Data!$B$65)*(LN($J129)-LN(Home_Data!$B$62))/(LN(Home_Data!$B$63)-LN(Home_Data!$B$62)))))</f>
        <v>1</v>
      </c>
      <c r="AF129" s="38" t="n">
        <f aca="false">IF($E129&gt;=20,Home_Data!$B$80,IF($E129&gt;=10,Home_Data!$B$79,1))</f>
        <v>1.1</v>
      </c>
      <c r="AG129" s="38" t="n">
        <f aca="false">IF($D129&lt;1960,Home_Data!$B$81,IF($D129&lt;1980,Home_Data!$B$82,IF($D129&gt;=2000,Home_Data!$B$83,1)))</f>
        <v>1.08</v>
      </c>
      <c r="AH129" s="38" t="n">
        <f aca="false">IF($F129="brick",Home_Data!$B$78,1)</f>
        <v>1</v>
      </c>
      <c r="AI129" s="38" t="n">
        <f aca="false">IF($G129="rental",Home_Data!$B$84,IF($G129="vacation",Home_Data!$B$85,1))</f>
        <v>1</v>
      </c>
      <c r="AJ129" s="38" t="n">
        <f aca="false">INDEX(Home_Data!$B$70:$B$73,MIN(3,MAX(0,$H129))+1)</f>
        <v>1</v>
      </c>
      <c r="AK129" s="38" t="n">
        <f aca="false">IF(INDEX(Home_Data!$H$5:$H$56,V129)="Yes",1,IF($L129="poor",Home_Data!$B$74,IF($L129="fair",Home_Data!$B$75,IF($L129="excellent",Home_Data!$B$77,Home_Data!$B$76))))</f>
        <v>1</v>
      </c>
      <c r="AL129" s="38" t="n">
        <f aca="false">IF(($N129=1),Home_Data!$B$86,1)*IF(($O129=1),Home_Data!$B$87,1)*IF(($P129=1),Home_Data!$B$88,1)</f>
        <v>1.15</v>
      </c>
      <c r="AM129" s="34" t="n">
        <f aca="false">AC129*AD129*AE129*AF129*AG129*AH129*AI129*AJ129*AK129*AL129</f>
        <v>5880.22556857945</v>
      </c>
      <c r="AN129" s="34" t="n">
        <f aca="false">AM129*EXP(-Car_Data!$B$123*Home_Data!$B$91)</f>
        <v>4282.70551940727</v>
      </c>
      <c r="AO129" s="34" t="n">
        <f aca="false">AM129*EXP(Car_Data!$B$123*Home_Data!$B$91)</f>
        <v>8073.64703939791</v>
      </c>
      <c r="AP129" s="39" t="str">
        <f aca="false">IF($U129&gt;0,IF(AND($U129&gt;=AN129,$U129&lt;=AO129),1,0),"")</f>
        <v/>
      </c>
      <c r="AQ129" s="40" t="str">
        <f aca="false">IF($U129&gt;0,$U129/AM129-1,"")</f>
        <v/>
      </c>
    </row>
    <row r="130" customFormat="false" ht="15" hidden="false" customHeight="false" outlineLevel="0" collapsed="false">
      <c r="A130" s="6" t="s">
        <v>400</v>
      </c>
      <c r="B130" s="6" t="s">
        <v>397</v>
      </c>
      <c r="C130" s="6" t="n">
        <v>1300</v>
      </c>
      <c r="D130" s="6" t="n">
        <v>2018</v>
      </c>
      <c r="E130" s="6" t="n">
        <v>1</v>
      </c>
      <c r="F130" s="6" t="s">
        <v>133</v>
      </c>
      <c r="G130" s="6" t="s">
        <v>136</v>
      </c>
      <c r="H130" s="6" t="n">
        <v>0</v>
      </c>
      <c r="I130" s="23" t="n">
        <v>270000</v>
      </c>
      <c r="J130" s="23" t="n">
        <v>1000</v>
      </c>
      <c r="K130" s="6" t="n">
        <v>500</v>
      </c>
      <c r="L130" s="6"/>
      <c r="M130" s="6" t="n">
        <v>0</v>
      </c>
      <c r="N130" s="6" t="n">
        <v>0</v>
      </c>
      <c r="O130" s="6" t="n">
        <v>1</v>
      </c>
      <c r="P130" s="6" t="n">
        <v>0</v>
      </c>
      <c r="Q130" s="6" t="n">
        <v>1</v>
      </c>
      <c r="R130" s="6" t="s">
        <v>398</v>
      </c>
      <c r="S130" s="5"/>
      <c r="T130" s="32"/>
      <c r="U130" s="17"/>
      <c r="V130" s="33" t="n">
        <f aca="false">MATCH($B130,Home_Data!$B$5:$B$56,0)</f>
        <v>5</v>
      </c>
      <c r="W130" s="34" t="n">
        <f aca="false">MIN(MAX($I130,50000),3000000)</f>
        <v>270000</v>
      </c>
      <c r="X130" s="35" t="n">
        <f aca="false">IFERROR(MIN(3,MAX(1,MATCH(W130,Home_Data!$C$4:$F$4,1))),1)</f>
        <v>1</v>
      </c>
      <c r="Y130" s="36" t="n">
        <f aca="false">INDEX(Home_Data!$C$5:$F$56,V130,X130)</f>
        <v>1244</v>
      </c>
      <c r="Z130" s="36" t="n">
        <f aca="false">INDEX(Home_Data!$C$5:$F$56,V130,X130+1)</f>
        <v>1653</v>
      </c>
      <c r="AA130" s="36" t="n">
        <f aca="false">INDEX(Home_Data!$C$4:$F$4,X130)</f>
        <v>200000</v>
      </c>
      <c r="AB130" s="36" t="n">
        <f aca="false">INDEX(Home_Data!$C$4:$F$4,X130+1)</f>
        <v>300000</v>
      </c>
      <c r="AC130" s="36" t="n">
        <f aca="false">IF($I130&lt;200000,INDEX(Home_Data!$C$5:$F$56,V130,1)*(MAX($I130,Home_Data!$B$90)/200000)^Home_Data!$B$89,Y130*(W130/AA130)^(LN(Z130/Y130)/LN(AB130/AA130)))</f>
        <v>1535.30125310743</v>
      </c>
      <c r="AD130" s="37" t="n">
        <f aca="false">IF($K130=100,Home_Data!$B$67,IF($K130=500,Home_Data!$B$69,Home_Data!$B$68))</f>
        <v>1.005</v>
      </c>
      <c r="AE130" s="37" t="n">
        <f aca="false">IF($J130&lt;=Home_Data!$B$61,Home_Data!$B$64,IF($J130&gt;=Home_Data!$B$63,Home_Data!$B$66,IF($J130&lt;=Home_Data!$B$62,Home_Data!$B$64+(Home_Data!$B$65-Home_Data!$B$64)*(LN($J130)-LN(Home_Data!$B$61))/(LN(Home_Data!$B$62)-LN(Home_Data!$B$61)),Home_Data!$B$65+(Home_Data!$B$66-Home_Data!$B$65)*(LN($J130)-LN(Home_Data!$B$62))/(LN(Home_Data!$B$63)-LN(Home_Data!$B$62)))))</f>
        <v>1</v>
      </c>
      <c r="AF130" s="38" t="n">
        <f aca="false">IF($E130&gt;=20,Home_Data!$B$80,IF($E130&gt;=10,Home_Data!$B$79,1))</f>
        <v>1</v>
      </c>
      <c r="AG130" s="38" t="n">
        <f aca="false">IF($D130&lt;1960,Home_Data!$B$81,IF($D130&lt;1980,Home_Data!$B$82,IF($D130&gt;=2000,Home_Data!$B$83,1)))</f>
        <v>0.95</v>
      </c>
      <c r="AH130" s="38" t="n">
        <f aca="false">IF($F130="brick",Home_Data!$B$78,1)</f>
        <v>1</v>
      </c>
      <c r="AI130" s="38" t="n">
        <f aca="false">IF($G130="rental",Home_Data!$B$84,IF($G130="vacation",Home_Data!$B$85,1))</f>
        <v>1</v>
      </c>
      <c r="AJ130" s="38" t="n">
        <f aca="false">INDEX(Home_Data!$B$70:$B$73,MIN(3,MAX(0,$H130))+1)</f>
        <v>1</v>
      </c>
      <c r="AK130" s="38" t="n">
        <f aca="false">IF(INDEX(Home_Data!$H$5:$H$56,V130)="Yes",1,IF($L130="poor",Home_Data!$B$74,IF($L130="fair",Home_Data!$B$75,IF($L130="excellent",Home_Data!$B$77,Home_Data!$B$76))))</f>
        <v>1</v>
      </c>
      <c r="AL130" s="38" t="n">
        <f aca="false">IF(($N130=1),Home_Data!$B$86,1)*IF(($O130=1),Home_Data!$B$87,1)*IF(($P130=1),Home_Data!$B$88,1)</f>
        <v>1.15</v>
      </c>
      <c r="AM130" s="34" t="n">
        <f aca="false">AC130*AD130*AE130*AF130*AG130*AH130*AI130*AJ130*AK130*AL130</f>
        <v>1685.70320211496</v>
      </c>
      <c r="AN130" s="34" t="n">
        <f aca="false">AM130*EXP(-Car_Data!$B$123*Home_Data!$B$91)</f>
        <v>1227.73698450557</v>
      </c>
      <c r="AO130" s="34" t="n">
        <f aca="false">AM130*EXP(Car_Data!$B$123*Home_Data!$B$91)</f>
        <v>2314.49839948009</v>
      </c>
      <c r="AP130" s="39" t="str">
        <f aca="false">IF($U130&gt;0,IF(AND($U130&gt;=AN130,$U130&lt;=AO130),1,0),"")</f>
        <v/>
      </c>
      <c r="AQ130" s="40" t="str">
        <f aca="false">IF($U130&gt;0,$U130/AM130-1,"")</f>
        <v/>
      </c>
    </row>
    <row r="131" customFormat="false" ht="15" hidden="false" customHeight="false" outlineLevel="0" collapsed="false">
      <c r="A131" s="6" t="s">
        <v>401</v>
      </c>
      <c r="B131" s="6" t="s">
        <v>397</v>
      </c>
      <c r="C131" s="6" t="n">
        <v>2950</v>
      </c>
      <c r="D131" s="6" t="n">
        <v>1971</v>
      </c>
      <c r="E131" s="6" t="n">
        <v>20</v>
      </c>
      <c r="F131" s="6" t="s">
        <v>133</v>
      </c>
      <c r="G131" s="6" t="s">
        <v>136</v>
      </c>
      <c r="H131" s="6" t="n">
        <v>0</v>
      </c>
      <c r="I131" s="23" t="n">
        <v>850000</v>
      </c>
      <c r="J131" s="23" t="n">
        <v>2500</v>
      </c>
      <c r="K131" s="6" t="n">
        <v>100</v>
      </c>
      <c r="L131" s="6"/>
      <c r="M131" s="6" t="n">
        <v>0</v>
      </c>
      <c r="N131" s="6" t="n">
        <v>0</v>
      </c>
      <c r="O131" s="6" t="n">
        <v>0</v>
      </c>
      <c r="P131" s="6" t="n">
        <v>0</v>
      </c>
      <c r="Q131" s="6" t="n">
        <v>0</v>
      </c>
      <c r="R131" s="6" t="s">
        <v>267</v>
      </c>
      <c r="S131" s="5"/>
      <c r="T131" s="32"/>
      <c r="U131" s="17"/>
      <c r="V131" s="33" t="n">
        <f aca="false">MATCH($B131,Home_Data!$B$5:$B$56,0)</f>
        <v>5</v>
      </c>
      <c r="W131" s="34" t="n">
        <f aca="false">MIN(MAX($I131,50000),3000000)</f>
        <v>850000</v>
      </c>
      <c r="X131" s="35" t="n">
        <f aca="false">IFERROR(MIN(3,MAX(1,MATCH(W131,Home_Data!$C$4:$F$4,1))),1)</f>
        <v>3</v>
      </c>
      <c r="Y131" s="36" t="n">
        <f aca="false">INDEX(Home_Data!$C$5:$F$56,V131,X131)</f>
        <v>2090</v>
      </c>
      <c r="Z131" s="36" t="n">
        <f aca="false">INDEX(Home_Data!$C$5:$F$56,V131,X131+1)</f>
        <v>3092</v>
      </c>
      <c r="AA131" s="36" t="n">
        <f aca="false">INDEX(Home_Data!$C$4:$F$4,X131)</f>
        <v>400000</v>
      </c>
      <c r="AB131" s="36" t="n">
        <f aca="false">INDEX(Home_Data!$C$4:$F$4,X131+1)</f>
        <v>600000</v>
      </c>
      <c r="AC131" s="36" t="n">
        <f aca="false">IF($I131&lt;200000,INDEX(Home_Data!$C$5:$F$56,V131,1)*(MAX($I131,Home_Data!$B$90)/200000)^Home_Data!$B$89,Y131*(W131/AA131)^(LN(Z131/Y131)/LN(AB131/AA131)))</f>
        <v>4328.67168322397</v>
      </c>
      <c r="AD131" s="37" t="n">
        <f aca="false">IF($K131=100,Home_Data!$B$67,IF($K131=500,Home_Data!$B$69,Home_Data!$B$68))</f>
        <v>0.991</v>
      </c>
      <c r="AE131" s="37" t="n">
        <f aca="false">IF($J131&lt;=Home_Data!$B$61,Home_Data!$B$64,IF($J131&gt;=Home_Data!$B$63,Home_Data!$B$66,IF($J131&lt;=Home_Data!$B$62,Home_Data!$B$64+(Home_Data!$B$65-Home_Data!$B$64)*(LN($J131)-LN(Home_Data!$B$61))/(LN(Home_Data!$B$62)-LN(Home_Data!$B$61)),Home_Data!$B$65+(Home_Data!$B$66-Home_Data!$B$65)*(LN($J131)-LN(Home_Data!$B$62))/(LN(Home_Data!$B$63)-LN(Home_Data!$B$62)))))</f>
        <v>0.91</v>
      </c>
      <c r="AF131" s="38" t="n">
        <f aca="false">IF($E131&gt;=20,Home_Data!$B$80,IF($E131&gt;=10,Home_Data!$B$79,1))</f>
        <v>1.3</v>
      </c>
      <c r="AG131" s="38" t="n">
        <f aca="false">IF($D131&lt;1960,Home_Data!$B$81,IF($D131&lt;1980,Home_Data!$B$82,IF($D131&gt;=2000,Home_Data!$B$83,1)))</f>
        <v>1.08</v>
      </c>
      <c r="AH131" s="38" t="n">
        <f aca="false">IF($F131="brick",Home_Data!$B$78,1)</f>
        <v>1</v>
      </c>
      <c r="AI131" s="38" t="n">
        <f aca="false">IF($G131="rental",Home_Data!$B$84,IF($G131="vacation",Home_Data!$B$85,1))</f>
        <v>1</v>
      </c>
      <c r="AJ131" s="38" t="n">
        <f aca="false">INDEX(Home_Data!$B$70:$B$73,MIN(3,MAX(0,$H131))+1)</f>
        <v>1</v>
      </c>
      <c r="AK131" s="38" t="n">
        <f aca="false">IF(INDEX(Home_Data!$H$5:$H$56,V131)="Yes",1,IF($L131="poor",Home_Data!$B$74,IF($L131="fair",Home_Data!$B$75,IF($L131="excellent",Home_Data!$B$77,Home_Data!$B$76))))</f>
        <v>1</v>
      </c>
      <c r="AL131" s="38" t="n">
        <f aca="false">IF(($N131=1),Home_Data!$B$86,1)*IF(($O131=1),Home_Data!$B$87,1)*IF(($P131=1),Home_Data!$B$88,1)</f>
        <v>1</v>
      </c>
      <c r="AM131" s="34" t="n">
        <f aca="false">AC131*AD131*AE131*AF131*AG131*AH131*AI131*AJ131*AK131*AL131</f>
        <v>5480.70973255009</v>
      </c>
      <c r="AN131" s="34" t="n">
        <f aca="false">AM131*EXP(-Car_Data!$B$123*Home_Data!$B$91)</f>
        <v>3991.72881177955</v>
      </c>
      <c r="AO131" s="34" t="n">
        <f aca="false">AM131*EXP(Car_Data!$B$123*Home_Data!$B$91)</f>
        <v>7525.10518345508</v>
      </c>
      <c r="AP131" s="39" t="str">
        <f aca="false">IF($U131&gt;0,IF(AND($U131&gt;=AN131,$U131&lt;=AO131),1,0),"")</f>
        <v/>
      </c>
      <c r="AQ131" s="40" t="str">
        <f aca="false">IF($U131&gt;0,$U131/AM131-1,"")</f>
        <v/>
      </c>
    </row>
    <row r="132" customFormat="false" ht="15" hidden="false" customHeight="false" outlineLevel="0" collapsed="false">
      <c r="A132" s="6" t="s">
        <v>402</v>
      </c>
      <c r="B132" s="6" t="s">
        <v>397</v>
      </c>
      <c r="C132" s="6" t="n">
        <v>1550</v>
      </c>
      <c r="D132" s="6" t="n">
        <v>2005</v>
      </c>
      <c r="E132" s="6" t="n">
        <v>5</v>
      </c>
      <c r="F132" s="6" t="s">
        <v>133</v>
      </c>
      <c r="G132" s="6" t="s">
        <v>136</v>
      </c>
      <c r="H132" s="6" t="n">
        <v>0</v>
      </c>
      <c r="I132" s="23" t="n">
        <v>395000</v>
      </c>
      <c r="J132" s="23" t="n">
        <v>1000</v>
      </c>
      <c r="K132" s="6" t="n">
        <v>300</v>
      </c>
      <c r="L132" s="6"/>
      <c r="M132" s="6" t="n">
        <v>0</v>
      </c>
      <c r="N132" s="6" t="n">
        <v>0</v>
      </c>
      <c r="O132" s="6" t="n">
        <v>0</v>
      </c>
      <c r="P132" s="6" t="n">
        <v>0</v>
      </c>
      <c r="Q132" s="6" t="n">
        <v>1</v>
      </c>
      <c r="R132" s="6" t="s">
        <v>403</v>
      </c>
      <c r="S132" s="5"/>
      <c r="T132" s="32"/>
      <c r="U132" s="17"/>
      <c r="V132" s="33" t="n">
        <f aca="false">MATCH($B132,Home_Data!$B$5:$B$56,0)</f>
        <v>5</v>
      </c>
      <c r="W132" s="34" t="n">
        <f aca="false">MIN(MAX($I132,50000),3000000)</f>
        <v>395000</v>
      </c>
      <c r="X132" s="35" t="n">
        <f aca="false">IFERROR(MIN(3,MAX(1,MATCH(W132,Home_Data!$C$4:$F$4,1))),1)</f>
        <v>2</v>
      </c>
      <c r="Y132" s="36" t="n">
        <f aca="false">INDEX(Home_Data!$C$5:$F$56,V132,X132)</f>
        <v>1653</v>
      </c>
      <c r="Z132" s="36" t="n">
        <f aca="false">INDEX(Home_Data!$C$5:$F$56,V132,X132+1)</f>
        <v>2090</v>
      </c>
      <c r="AA132" s="36" t="n">
        <f aca="false">INDEX(Home_Data!$C$4:$F$4,X132)</f>
        <v>300000</v>
      </c>
      <c r="AB132" s="36" t="n">
        <f aca="false">INDEX(Home_Data!$C$4:$F$4,X132+1)</f>
        <v>400000</v>
      </c>
      <c r="AC132" s="36" t="n">
        <f aca="false">IF($I132&lt;200000,INDEX(Home_Data!$C$5:$F$56,V132,1)*(MAX($I132,Home_Data!$B$90)/200000)^Home_Data!$B$89,Y132*(W132/AA132)^(LN(Z132/Y132)/LN(AB132/AA132)))</f>
        <v>2068.6733113022</v>
      </c>
      <c r="AD132" s="37" t="n">
        <f aca="false">IF($K132=100,Home_Data!$B$67,IF($K132=500,Home_Data!$B$69,Home_Data!$B$68))</f>
        <v>1</v>
      </c>
      <c r="AE132" s="37" t="n">
        <f aca="false">IF($J132&lt;=Home_Data!$B$61,Home_Data!$B$64,IF($J132&gt;=Home_Data!$B$63,Home_Data!$B$66,IF($J132&lt;=Home_Data!$B$62,Home_Data!$B$64+(Home_Data!$B$65-Home_Data!$B$64)*(LN($J132)-LN(Home_Data!$B$61))/(LN(Home_Data!$B$62)-LN(Home_Data!$B$61)),Home_Data!$B$65+(Home_Data!$B$66-Home_Data!$B$65)*(LN($J132)-LN(Home_Data!$B$62))/(LN(Home_Data!$B$63)-LN(Home_Data!$B$62)))))</f>
        <v>1</v>
      </c>
      <c r="AF132" s="38" t="n">
        <f aca="false">IF($E132&gt;=20,Home_Data!$B$80,IF($E132&gt;=10,Home_Data!$B$79,1))</f>
        <v>1</v>
      </c>
      <c r="AG132" s="38" t="n">
        <f aca="false">IF($D132&lt;1960,Home_Data!$B$81,IF($D132&lt;1980,Home_Data!$B$82,IF($D132&gt;=2000,Home_Data!$B$83,1)))</f>
        <v>0.95</v>
      </c>
      <c r="AH132" s="38" t="n">
        <f aca="false">IF($F132="brick",Home_Data!$B$78,1)</f>
        <v>1</v>
      </c>
      <c r="AI132" s="38" t="n">
        <f aca="false">IF($G132="rental",Home_Data!$B$84,IF($G132="vacation",Home_Data!$B$85,1))</f>
        <v>1</v>
      </c>
      <c r="AJ132" s="38" t="n">
        <f aca="false">INDEX(Home_Data!$B$70:$B$73,MIN(3,MAX(0,$H132))+1)</f>
        <v>1</v>
      </c>
      <c r="AK132" s="38" t="n">
        <f aca="false">IF(INDEX(Home_Data!$H$5:$H$56,V132)="Yes",1,IF($L132="poor",Home_Data!$B$74,IF($L132="fair",Home_Data!$B$75,IF($L132="excellent",Home_Data!$B$77,Home_Data!$B$76))))</f>
        <v>1</v>
      </c>
      <c r="AL132" s="38" t="n">
        <f aca="false">IF(($N132=1),Home_Data!$B$86,1)*IF(($O132=1),Home_Data!$B$87,1)*IF(($P132=1),Home_Data!$B$88,1)</f>
        <v>1</v>
      </c>
      <c r="AM132" s="34" t="n">
        <f aca="false">AC132*AD132*AE132*AF132*AG132*AH132*AI132*AJ132*AK132*AL132</f>
        <v>1965.23964573709</v>
      </c>
      <c r="AN132" s="34" t="n">
        <f aca="false">AM132*EXP(-Car_Data!$B$123*Home_Data!$B$91)</f>
        <v>1431.32990045983</v>
      </c>
      <c r="AO132" s="34" t="n">
        <f aca="false">AM132*EXP(Car_Data!$B$123*Home_Data!$B$91)</f>
        <v>2698.30656366227</v>
      </c>
      <c r="AP132" s="39" t="str">
        <f aca="false">IF($U132&gt;0,IF(AND($U132&gt;=AN132,$U132&lt;=AO132),1,0),"")</f>
        <v/>
      </c>
      <c r="AQ132" s="40" t="str">
        <f aca="false">IF($U132&gt;0,$U132/AM132-1,"")</f>
        <v/>
      </c>
    </row>
    <row r="133" customFormat="false" ht="15" hidden="false" customHeight="false" outlineLevel="0" collapsed="false">
      <c r="A133" s="6" t="s">
        <v>404</v>
      </c>
      <c r="B133" s="6" t="s">
        <v>397</v>
      </c>
      <c r="C133" s="6" t="n">
        <v>3600</v>
      </c>
      <c r="D133" s="6" t="n">
        <v>1974</v>
      </c>
      <c r="E133" s="6" t="n">
        <v>5</v>
      </c>
      <c r="F133" s="6" t="s">
        <v>133</v>
      </c>
      <c r="G133" s="6" t="s">
        <v>136</v>
      </c>
      <c r="H133" s="6" t="n">
        <v>0</v>
      </c>
      <c r="I133" s="23" t="n">
        <v>930000</v>
      </c>
      <c r="J133" s="23" t="n">
        <v>5000</v>
      </c>
      <c r="K133" s="6" t="n">
        <v>300</v>
      </c>
      <c r="L133" s="6"/>
      <c r="M133" s="6" t="n">
        <v>0</v>
      </c>
      <c r="N133" s="6" t="n">
        <v>0</v>
      </c>
      <c r="O133" s="6" t="n">
        <v>0</v>
      </c>
      <c r="P133" s="6" t="n">
        <v>0</v>
      </c>
      <c r="Q133" s="6" t="n">
        <v>1</v>
      </c>
      <c r="R133" s="6" t="s">
        <v>403</v>
      </c>
      <c r="S133" s="5"/>
      <c r="T133" s="32"/>
      <c r="U133" s="17"/>
      <c r="V133" s="33" t="n">
        <f aca="false">MATCH($B133,Home_Data!$B$5:$B$56,0)</f>
        <v>5</v>
      </c>
      <c r="W133" s="34" t="n">
        <f aca="false">MIN(MAX($I133,50000),3000000)</f>
        <v>930000</v>
      </c>
      <c r="X133" s="35" t="n">
        <f aca="false">IFERROR(MIN(3,MAX(1,MATCH(W133,Home_Data!$C$4:$F$4,1))),1)</f>
        <v>3</v>
      </c>
      <c r="Y133" s="36" t="n">
        <f aca="false">INDEX(Home_Data!$C$5:$F$56,V133,X133)</f>
        <v>2090</v>
      </c>
      <c r="Z133" s="36" t="n">
        <f aca="false">INDEX(Home_Data!$C$5:$F$56,V133,X133+1)</f>
        <v>3092</v>
      </c>
      <c r="AA133" s="36" t="n">
        <f aca="false">INDEX(Home_Data!$C$4:$F$4,X133)</f>
        <v>400000</v>
      </c>
      <c r="AB133" s="36" t="n">
        <f aca="false">INDEX(Home_Data!$C$4:$F$4,X133+1)</f>
        <v>600000</v>
      </c>
      <c r="AC133" s="36" t="n">
        <f aca="false">IF($I133&lt;200000,INDEX(Home_Data!$C$5:$F$56,V133,1)*(MAX($I133,Home_Data!$B$90)/200000)^Home_Data!$B$89,Y133*(W133/AA133)^(LN(Z133/Y133)/LN(AB133/AA133)))</f>
        <v>4721.58771818201</v>
      </c>
      <c r="AD133" s="37" t="n">
        <f aca="false">IF($K133=100,Home_Data!$B$67,IF($K133=500,Home_Data!$B$69,Home_Data!$B$68))</f>
        <v>1</v>
      </c>
      <c r="AE133" s="37" t="n">
        <f aca="false">IF($J133&lt;=Home_Data!$B$61,Home_Data!$B$64,IF($J133&gt;=Home_Data!$B$63,Home_Data!$B$66,IF($J133&lt;=Home_Data!$B$62,Home_Data!$B$64+(Home_Data!$B$65-Home_Data!$B$64)*(LN($J133)-LN(Home_Data!$B$61))/(LN(Home_Data!$B$62)-LN(Home_Data!$B$61)),Home_Data!$B$65+(Home_Data!$B$66-Home_Data!$B$65)*(LN($J133)-LN(Home_Data!$B$62))/(LN(Home_Data!$B$63)-LN(Home_Data!$B$62)))))</f>
        <v>0.84</v>
      </c>
      <c r="AF133" s="38" t="n">
        <f aca="false">IF($E133&gt;=20,Home_Data!$B$80,IF($E133&gt;=10,Home_Data!$B$79,1))</f>
        <v>1</v>
      </c>
      <c r="AG133" s="38" t="n">
        <f aca="false">IF($D133&lt;1960,Home_Data!$B$81,IF($D133&lt;1980,Home_Data!$B$82,IF($D133&gt;=2000,Home_Data!$B$83,1)))</f>
        <v>1.08</v>
      </c>
      <c r="AH133" s="38" t="n">
        <f aca="false">IF($F133="brick",Home_Data!$B$78,1)</f>
        <v>1</v>
      </c>
      <c r="AI133" s="38" t="n">
        <f aca="false">IF($G133="rental",Home_Data!$B$84,IF($G133="vacation",Home_Data!$B$85,1))</f>
        <v>1</v>
      </c>
      <c r="AJ133" s="38" t="n">
        <f aca="false">INDEX(Home_Data!$B$70:$B$73,MIN(3,MAX(0,$H133))+1)</f>
        <v>1</v>
      </c>
      <c r="AK133" s="38" t="n">
        <f aca="false">IF(INDEX(Home_Data!$H$5:$H$56,V133)="Yes",1,IF($L133="poor",Home_Data!$B$74,IF($L133="fair",Home_Data!$B$75,IF($L133="excellent",Home_Data!$B$77,Home_Data!$B$76))))</f>
        <v>1</v>
      </c>
      <c r="AL133" s="38" t="n">
        <f aca="false">IF(($N133=1),Home_Data!$B$86,1)*IF(($O133=1),Home_Data!$B$87,1)*IF(($P133=1),Home_Data!$B$88,1)</f>
        <v>1</v>
      </c>
      <c r="AM133" s="34" t="n">
        <f aca="false">AC133*AD133*AE133*AF133*AG133*AH133*AI133*AJ133*AK133*AL133</f>
        <v>4283.42437793472</v>
      </c>
      <c r="AN133" s="34" t="n">
        <f aca="false">AM133*EXP(-Car_Data!$B$123*Home_Data!$B$91)</f>
        <v>3119.71794472782</v>
      </c>
      <c r="AO133" s="34" t="n">
        <f aca="false">AM133*EXP(Car_Data!$B$123*Home_Data!$B$91)</f>
        <v>5881.21257323671</v>
      </c>
      <c r="AP133" s="39" t="str">
        <f aca="false">IF($U133&gt;0,IF(AND($U133&gt;=AN133,$U133&lt;=AO133),1,0),"")</f>
        <v/>
      </c>
      <c r="AQ133" s="40" t="str">
        <f aca="false">IF($U133&gt;0,$U133/AM133-1,"")</f>
        <v/>
      </c>
    </row>
    <row r="134" customFormat="false" ht="15" hidden="false" customHeight="false" outlineLevel="0" collapsed="false">
      <c r="A134" s="6" t="s">
        <v>405</v>
      </c>
      <c r="B134" s="6" t="s">
        <v>397</v>
      </c>
      <c r="C134" s="6" t="n">
        <v>2350</v>
      </c>
      <c r="D134" s="6" t="n">
        <v>2002</v>
      </c>
      <c r="E134" s="6" t="n">
        <v>9</v>
      </c>
      <c r="F134" s="6" t="s">
        <v>261</v>
      </c>
      <c r="G134" s="6" t="s">
        <v>136</v>
      </c>
      <c r="H134" s="6" t="n">
        <v>1</v>
      </c>
      <c r="I134" s="23" t="n">
        <v>475000</v>
      </c>
      <c r="J134" s="23" t="n">
        <v>1000</v>
      </c>
      <c r="K134" s="6" t="n">
        <v>300</v>
      </c>
      <c r="L134" s="6"/>
      <c r="M134" s="6" t="n">
        <v>0</v>
      </c>
      <c r="N134" s="6" t="n">
        <v>0</v>
      </c>
      <c r="O134" s="6" t="n">
        <v>0</v>
      </c>
      <c r="P134" s="6" t="n">
        <v>0</v>
      </c>
      <c r="Q134" s="6" t="n">
        <v>1</v>
      </c>
      <c r="R134" s="6" t="s">
        <v>403</v>
      </c>
      <c r="S134" s="5"/>
      <c r="T134" s="32"/>
      <c r="U134" s="17"/>
      <c r="V134" s="33" t="n">
        <f aca="false">MATCH($B134,Home_Data!$B$5:$B$56,0)</f>
        <v>5</v>
      </c>
      <c r="W134" s="34" t="n">
        <f aca="false">MIN(MAX($I134,50000),3000000)</f>
        <v>475000</v>
      </c>
      <c r="X134" s="35" t="n">
        <f aca="false">IFERROR(MIN(3,MAX(1,MATCH(W134,Home_Data!$C$4:$F$4,1))),1)</f>
        <v>3</v>
      </c>
      <c r="Y134" s="36" t="n">
        <f aca="false">INDEX(Home_Data!$C$5:$F$56,V134,X134)</f>
        <v>2090</v>
      </c>
      <c r="Z134" s="36" t="n">
        <f aca="false">INDEX(Home_Data!$C$5:$F$56,V134,X134+1)</f>
        <v>3092</v>
      </c>
      <c r="AA134" s="36" t="n">
        <f aca="false">INDEX(Home_Data!$C$4:$F$4,X134)</f>
        <v>400000</v>
      </c>
      <c r="AB134" s="36" t="n">
        <f aca="false">INDEX(Home_Data!$C$4:$F$4,X134+1)</f>
        <v>600000</v>
      </c>
      <c r="AC134" s="36" t="n">
        <f aca="false">IF($I134&lt;200000,INDEX(Home_Data!$C$5:$F$56,V134,1)*(MAX($I134,Home_Data!$B$90)/200000)^Home_Data!$B$89,Y134*(W134/AA134)^(LN(Z134/Y134)/LN(AB134/AA134)))</f>
        <v>2467.38952909821</v>
      </c>
      <c r="AD134" s="37" t="n">
        <f aca="false">IF($K134=100,Home_Data!$B$67,IF($K134=500,Home_Data!$B$69,Home_Data!$B$68))</f>
        <v>1</v>
      </c>
      <c r="AE134" s="37" t="n">
        <f aca="false">IF($J134&lt;=Home_Data!$B$61,Home_Data!$B$64,IF($J134&gt;=Home_Data!$B$63,Home_Data!$B$66,IF($J134&lt;=Home_Data!$B$62,Home_Data!$B$64+(Home_Data!$B$65-Home_Data!$B$64)*(LN($J134)-LN(Home_Data!$B$61))/(LN(Home_Data!$B$62)-LN(Home_Data!$B$61)),Home_Data!$B$65+(Home_Data!$B$66-Home_Data!$B$65)*(LN($J134)-LN(Home_Data!$B$62))/(LN(Home_Data!$B$63)-LN(Home_Data!$B$62)))))</f>
        <v>1</v>
      </c>
      <c r="AF134" s="38" t="n">
        <f aca="false">IF($E134&gt;=20,Home_Data!$B$80,IF($E134&gt;=10,Home_Data!$B$79,1))</f>
        <v>1</v>
      </c>
      <c r="AG134" s="38" t="n">
        <f aca="false">IF($D134&lt;1960,Home_Data!$B$81,IF($D134&lt;1980,Home_Data!$B$82,IF($D134&gt;=2000,Home_Data!$B$83,1)))</f>
        <v>0.95</v>
      </c>
      <c r="AH134" s="38" t="n">
        <f aca="false">IF($F134="brick",Home_Data!$B$78,1)</f>
        <v>0.98</v>
      </c>
      <c r="AI134" s="38" t="n">
        <f aca="false">IF($G134="rental",Home_Data!$B$84,IF($G134="vacation",Home_Data!$B$85,1))</f>
        <v>1</v>
      </c>
      <c r="AJ134" s="38" t="n">
        <f aca="false">INDEX(Home_Data!$B$70:$B$73,MIN(3,MAX(0,$H134))+1)</f>
        <v>1.16</v>
      </c>
      <c r="AK134" s="38" t="n">
        <f aca="false">IF(INDEX(Home_Data!$H$5:$H$56,V134)="Yes",1,IF($L134="poor",Home_Data!$B$74,IF($L134="fair",Home_Data!$B$75,IF($L134="excellent",Home_Data!$B$77,Home_Data!$B$76))))</f>
        <v>1</v>
      </c>
      <c r="AL134" s="38" t="n">
        <f aca="false">IF(($N134=1),Home_Data!$B$86,1)*IF(($O134=1),Home_Data!$B$87,1)*IF(($P134=1),Home_Data!$B$88,1)</f>
        <v>1</v>
      </c>
      <c r="AM134" s="34" t="n">
        <f aca="false">AC134*AD134*AE134*AF134*AG134*AH134*AI134*AJ134*AK134*AL134</f>
        <v>2664.6819958449</v>
      </c>
      <c r="AN134" s="34" t="n">
        <f aca="false">AM134*EXP(-Car_Data!$B$123*Home_Data!$B$91)</f>
        <v>1940.75008823633</v>
      </c>
      <c r="AO134" s="34" t="n">
        <f aca="false">AM134*EXP(Car_Data!$B$123*Home_Data!$B$91)</f>
        <v>3658.65248803497</v>
      </c>
      <c r="AP134" s="39" t="str">
        <f aca="false">IF($U134&gt;0,IF(AND($U134&gt;=AN134,$U134&lt;=AO134),1,0),"")</f>
        <v/>
      </c>
      <c r="AQ134" s="40" t="str">
        <f aca="false">IF($U134&gt;0,$U134/AM134-1,"")</f>
        <v/>
      </c>
    </row>
    <row r="135" customFormat="false" ht="15" hidden="false" customHeight="false" outlineLevel="0" collapsed="false">
      <c r="A135" s="6" t="s">
        <v>406</v>
      </c>
      <c r="B135" s="6" t="s">
        <v>397</v>
      </c>
      <c r="C135" s="6" t="n">
        <v>3800</v>
      </c>
      <c r="D135" s="6" t="n">
        <v>1975</v>
      </c>
      <c r="E135" s="6" t="n">
        <v>2</v>
      </c>
      <c r="F135" s="6" t="s">
        <v>261</v>
      </c>
      <c r="G135" s="6" t="s">
        <v>136</v>
      </c>
      <c r="H135" s="6" t="n">
        <v>0</v>
      </c>
      <c r="I135" s="23" t="n">
        <v>1105000</v>
      </c>
      <c r="J135" s="23" t="n">
        <v>1000</v>
      </c>
      <c r="K135" s="6" t="n">
        <v>100</v>
      </c>
      <c r="L135" s="6"/>
      <c r="M135" s="6" t="n">
        <v>0</v>
      </c>
      <c r="N135" s="6" t="n">
        <v>0</v>
      </c>
      <c r="O135" s="6" t="n">
        <v>0</v>
      </c>
      <c r="P135" s="6" t="n">
        <v>0</v>
      </c>
      <c r="Q135" s="6" t="n">
        <v>0</v>
      </c>
      <c r="R135" s="6" t="s">
        <v>267</v>
      </c>
      <c r="S135" s="5"/>
      <c r="T135" s="32"/>
      <c r="U135" s="17"/>
      <c r="V135" s="33" t="n">
        <f aca="false">MATCH($B135,Home_Data!$B$5:$B$56,0)</f>
        <v>5</v>
      </c>
      <c r="W135" s="34" t="n">
        <f aca="false">MIN(MAX($I135,50000),3000000)</f>
        <v>1105000</v>
      </c>
      <c r="X135" s="35" t="n">
        <f aca="false">IFERROR(MIN(3,MAX(1,MATCH(W135,Home_Data!$C$4:$F$4,1))),1)</f>
        <v>3</v>
      </c>
      <c r="Y135" s="36" t="n">
        <f aca="false">INDEX(Home_Data!$C$5:$F$56,V135,X135)</f>
        <v>2090</v>
      </c>
      <c r="Z135" s="36" t="n">
        <f aca="false">INDEX(Home_Data!$C$5:$F$56,V135,X135+1)</f>
        <v>3092</v>
      </c>
      <c r="AA135" s="36" t="n">
        <f aca="false">INDEX(Home_Data!$C$4:$F$4,X135)</f>
        <v>400000</v>
      </c>
      <c r="AB135" s="36" t="n">
        <f aca="false">INDEX(Home_Data!$C$4:$F$4,X135+1)</f>
        <v>600000</v>
      </c>
      <c r="AC135" s="36" t="n">
        <f aca="false">IF($I135&lt;200000,INDEX(Home_Data!$C$5:$F$56,V135,1)*(MAX($I135,Home_Data!$B$90)/200000)^Home_Data!$B$89,Y135*(W135/AA135)^(LN(Z135/Y135)/LN(AB135/AA135)))</f>
        <v>5577.20792019039</v>
      </c>
      <c r="AD135" s="37" t="n">
        <f aca="false">IF($K135=100,Home_Data!$B$67,IF($K135=500,Home_Data!$B$69,Home_Data!$B$68))</f>
        <v>0.991</v>
      </c>
      <c r="AE135" s="37" t="n">
        <f aca="false">IF($J135&lt;=Home_Data!$B$61,Home_Data!$B$64,IF($J135&gt;=Home_Data!$B$63,Home_Data!$B$66,IF($J135&lt;=Home_Data!$B$62,Home_Data!$B$64+(Home_Data!$B$65-Home_Data!$B$64)*(LN($J135)-LN(Home_Data!$B$61))/(LN(Home_Data!$B$62)-LN(Home_Data!$B$61)),Home_Data!$B$65+(Home_Data!$B$66-Home_Data!$B$65)*(LN($J135)-LN(Home_Data!$B$62))/(LN(Home_Data!$B$63)-LN(Home_Data!$B$62)))))</f>
        <v>1</v>
      </c>
      <c r="AF135" s="38" t="n">
        <f aca="false">IF($E135&gt;=20,Home_Data!$B$80,IF($E135&gt;=10,Home_Data!$B$79,1))</f>
        <v>1</v>
      </c>
      <c r="AG135" s="38" t="n">
        <f aca="false">IF($D135&lt;1960,Home_Data!$B$81,IF($D135&lt;1980,Home_Data!$B$82,IF($D135&gt;=2000,Home_Data!$B$83,1)))</f>
        <v>1.08</v>
      </c>
      <c r="AH135" s="38" t="n">
        <f aca="false">IF($F135="brick",Home_Data!$B$78,1)</f>
        <v>0.98</v>
      </c>
      <c r="AI135" s="38" t="n">
        <f aca="false">IF($G135="rental",Home_Data!$B$84,IF($G135="vacation",Home_Data!$B$85,1))</f>
        <v>1</v>
      </c>
      <c r="AJ135" s="38" t="n">
        <f aca="false">INDEX(Home_Data!$B$70:$B$73,MIN(3,MAX(0,$H135))+1)</f>
        <v>1</v>
      </c>
      <c r="AK135" s="38" t="n">
        <f aca="false">IF(INDEX(Home_Data!$H$5:$H$56,V135)="Yes",1,IF($L135="poor",Home_Data!$B$74,IF($L135="fair",Home_Data!$B$75,IF($L135="excellent",Home_Data!$B$77,Home_Data!$B$76))))</f>
        <v>1</v>
      </c>
      <c r="AL135" s="38" t="n">
        <f aca="false">IF(($N135=1),Home_Data!$B$86,1)*IF(($O135=1),Home_Data!$B$87,1)*IF(($P135=1),Home_Data!$B$88,1)</f>
        <v>1</v>
      </c>
      <c r="AM135" s="34" t="n">
        <f aca="false">AC135*AD135*AE135*AF135*AG135*AH135*AI135*AJ135*AK135*AL135</f>
        <v>5849.79061096494</v>
      </c>
      <c r="AN135" s="34" t="n">
        <f aca="false">AM135*EXP(-Car_Data!$B$123*Home_Data!$B$91)</f>
        <v>4260.53902945915</v>
      </c>
      <c r="AO135" s="34" t="n">
        <f aca="false">AM135*EXP(Car_Data!$B$123*Home_Data!$B$91)</f>
        <v>8031.8593388118</v>
      </c>
      <c r="AP135" s="39" t="str">
        <f aca="false">IF($U135&gt;0,IF(AND($U135&gt;=AN135,$U135&lt;=AO135),1,0),"")</f>
        <v/>
      </c>
      <c r="AQ135" s="40" t="str">
        <f aca="false">IF($U135&gt;0,$U135/AM135-1,"")</f>
        <v/>
      </c>
    </row>
    <row r="136" customFormat="false" ht="15" hidden="false" customHeight="false" outlineLevel="0" collapsed="false">
      <c r="A136" s="6" t="s">
        <v>407</v>
      </c>
      <c r="B136" s="6" t="s">
        <v>397</v>
      </c>
      <c r="C136" s="6" t="n">
        <v>1500</v>
      </c>
      <c r="D136" s="6" t="n">
        <v>2007</v>
      </c>
      <c r="E136" s="6" t="n">
        <v>15</v>
      </c>
      <c r="F136" s="6" t="s">
        <v>261</v>
      </c>
      <c r="G136" s="6" t="s">
        <v>136</v>
      </c>
      <c r="H136" s="6" t="n">
        <v>2</v>
      </c>
      <c r="I136" s="23" t="n">
        <v>320000</v>
      </c>
      <c r="J136" s="23" t="n">
        <v>5000</v>
      </c>
      <c r="K136" s="6" t="n">
        <v>300</v>
      </c>
      <c r="L136" s="6"/>
      <c r="M136" s="6" t="n">
        <v>0</v>
      </c>
      <c r="N136" s="6" t="n">
        <v>0</v>
      </c>
      <c r="O136" s="6" t="n">
        <v>0</v>
      </c>
      <c r="P136" s="6" t="n">
        <v>0</v>
      </c>
      <c r="Q136" s="6" t="n">
        <v>1</v>
      </c>
      <c r="R136" s="6" t="s">
        <v>403</v>
      </c>
      <c r="S136" s="5"/>
      <c r="T136" s="32"/>
      <c r="U136" s="17"/>
      <c r="V136" s="33" t="n">
        <f aca="false">MATCH($B136,Home_Data!$B$5:$B$56,0)</f>
        <v>5</v>
      </c>
      <c r="W136" s="34" t="n">
        <f aca="false">MIN(MAX($I136,50000),3000000)</f>
        <v>320000</v>
      </c>
      <c r="X136" s="35" t="n">
        <f aca="false">IFERROR(MIN(3,MAX(1,MATCH(W136,Home_Data!$C$4:$F$4,1))),1)</f>
        <v>2</v>
      </c>
      <c r="Y136" s="36" t="n">
        <f aca="false">INDEX(Home_Data!$C$5:$F$56,V136,X136)</f>
        <v>1653</v>
      </c>
      <c r="Z136" s="36" t="n">
        <f aca="false">INDEX(Home_Data!$C$5:$F$56,V136,X136+1)</f>
        <v>2090</v>
      </c>
      <c r="AA136" s="36" t="n">
        <f aca="false">INDEX(Home_Data!$C$4:$F$4,X136)</f>
        <v>300000</v>
      </c>
      <c r="AB136" s="36" t="n">
        <f aca="false">INDEX(Home_Data!$C$4:$F$4,X136+1)</f>
        <v>400000</v>
      </c>
      <c r="AC136" s="36" t="n">
        <f aca="false">IF($I136&lt;200000,INDEX(Home_Data!$C$5:$F$56,V136,1)*(MAX($I136,Home_Data!$B$90)/200000)^Home_Data!$B$89,Y136*(W136/AA136)^(LN(Z136/Y136)/LN(AB136/AA136)))</f>
        <v>1742.31675432324</v>
      </c>
      <c r="AD136" s="37" t="n">
        <f aca="false">IF($K136=100,Home_Data!$B$67,IF($K136=500,Home_Data!$B$69,Home_Data!$B$68))</f>
        <v>1</v>
      </c>
      <c r="AE136" s="37" t="n">
        <f aca="false">IF($J136&lt;=Home_Data!$B$61,Home_Data!$B$64,IF($J136&gt;=Home_Data!$B$63,Home_Data!$B$66,IF($J136&lt;=Home_Data!$B$62,Home_Data!$B$64+(Home_Data!$B$65-Home_Data!$B$64)*(LN($J136)-LN(Home_Data!$B$61))/(LN(Home_Data!$B$62)-LN(Home_Data!$B$61)),Home_Data!$B$65+(Home_Data!$B$66-Home_Data!$B$65)*(LN($J136)-LN(Home_Data!$B$62))/(LN(Home_Data!$B$63)-LN(Home_Data!$B$62)))))</f>
        <v>0.84</v>
      </c>
      <c r="AF136" s="38" t="n">
        <f aca="false">IF($E136&gt;=20,Home_Data!$B$80,IF($E136&gt;=10,Home_Data!$B$79,1))</f>
        <v>1.1</v>
      </c>
      <c r="AG136" s="38" t="n">
        <f aca="false">IF($D136&lt;1960,Home_Data!$B$81,IF($D136&lt;1980,Home_Data!$B$82,IF($D136&gt;=2000,Home_Data!$B$83,1)))</f>
        <v>0.95</v>
      </c>
      <c r="AH136" s="38" t="n">
        <f aca="false">IF($F136="brick",Home_Data!$B$78,1)</f>
        <v>0.98</v>
      </c>
      <c r="AI136" s="38" t="n">
        <f aca="false">IF($G136="rental",Home_Data!$B$84,IF($G136="vacation",Home_Data!$B$85,1))</f>
        <v>1</v>
      </c>
      <c r="AJ136" s="38" t="n">
        <f aca="false">INDEX(Home_Data!$B$70:$B$73,MIN(3,MAX(0,$H136))+1)</f>
        <v>1.29</v>
      </c>
      <c r="AK136" s="38" t="n">
        <f aca="false">IF(INDEX(Home_Data!$H$5:$H$56,V136)="Yes",1,IF($L136="poor",Home_Data!$B$74,IF($L136="fair",Home_Data!$B$75,IF($L136="excellent",Home_Data!$B$77,Home_Data!$B$76))))</f>
        <v>1</v>
      </c>
      <c r="AL136" s="38" t="n">
        <f aca="false">IF(($N136=1),Home_Data!$B$86,1)*IF(($O136=1),Home_Data!$B$87,1)*IF(($P136=1),Home_Data!$B$88,1)</f>
        <v>1</v>
      </c>
      <c r="AM136" s="34" t="n">
        <f aca="false">AC136*AD136*AE136*AF136*AG136*AH136*AI136*AJ136*AK136*AL136</f>
        <v>1933.47461886779</v>
      </c>
      <c r="AN136" s="34" t="n">
        <f aca="false">AM136*EXP(-Car_Data!$B$123*Home_Data!$B$91)</f>
        <v>1408.19469003114</v>
      </c>
      <c r="AO136" s="34" t="n">
        <f aca="false">AM136*EXP(Car_Data!$B$123*Home_Data!$B$91)</f>
        <v>2654.69265597307</v>
      </c>
      <c r="AP136" s="39" t="str">
        <f aca="false">IF($U136&gt;0,IF(AND($U136&gt;=AN136,$U136&lt;=AO136),1,0),"")</f>
        <v/>
      </c>
      <c r="AQ136" s="40" t="str">
        <f aca="false">IF($U136&gt;0,$U136/AM136-1,"")</f>
        <v/>
      </c>
    </row>
    <row r="137" customFormat="false" ht="15" hidden="false" customHeight="false" outlineLevel="0" collapsed="false">
      <c r="A137" s="6" t="s">
        <v>408</v>
      </c>
      <c r="B137" s="6" t="s">
        <v>397</v>
      </c>
      <c r="C137" s="6" t="n">
        <v>1800</v>
      </c>
      <c r="D137" s="6" t="n">
        <v>2011</v>
      </c>
      <c r="E137" s="6" t="n">
        <v>0</v>
      </c>
      <c r="F137" s="6" t="s">
        <v>133</v>
      </c>
      <c r="G137" s="6" t="s">
        <v>136</v>
      </c>
      <c r="H137" s="6" t="n">
        <v>0</v>
      </c>
      <c r="I137" s="23" t="n">
        <v>475000</v>
      </c>
      <c r="J137" s="23" t="n">
        <v>1000</v>
      </c>
      <c r="K137" s="6" t="n">
        <v>500</v>
      </c>
      <c r="L137" s="6"/>
      <c r="M137" s="6" t="n">
        <v>0</v>
      </c>
      <c r="N137" s="6" t="n">
        <v>0</v>
      </c>
      <c r="O137" s="6" t="n">
        <v>0</v>
      </c>
      <c r="P137" s="6" t="n">
        <v>0</v>
      </c>
      <c r="Q137" s="6" t="n">
        <v>1</v>
      </c>
      <c r="R137" s="6" t="s">
        <v>403</v>
      </c>
      <c r="S137" s="5"/>
      <c r="T137" s="32"/>
      <c r="U137" s="17"/>
      <c r="V137" s="33" t="n">
        <f aca="false">MATCH($B137,Home_Data!$B$5:$B$56,0)</f>
        <v>5</v>
      </c>
      <c r="W137" s="34" t="n">
        <f aca="false">MIN(MAX($I137,50000),3000000)</f>
        <v>475000</v>
      </c>
      <c r="X137" s="35" t="n">
        <f aca="false">IFERROR(MIN(3,MAX(1,MATCH(W137,Home_Data!$C$4:$F$4,1))),1)</f>
        <v>3</v>
      </c>
      <c r="Y137" s="36" t="n">
        <f aca="false">INDEX(Home_Data!$C$5:$F$56,V137,X137)</f>
        <v>2090</v>
      </c>
      <c r="Z137" s="36" t="n">
        <f aca="false">INDEX(Home_Data!$C$5:$F$56,V137,X137+1)</f>
        <v>3092</v>
      </c>
      <c r="AA137" s="36" t="n">
        <f aca="false">INDEX(Home_Data!$C$4:$F$4,X137)</f>
        <v>400000</v>
      </c>
      <c r="AB137" s="36" t="n">
        <f aca="false">INDEX(Home_Data!$C$4:$F$4,X137+1)</f>
        <v>600000</v>
      </c>
      <c r="AC137" s="36" t="n">
        <f aca="false">IF($I137&lt;200000,INDEX(Home_Data!$C$5:$F$56,V137,1)*(MAX($I137,Home_Data!$B$90)/200000)^Home_Data!$B$89,Y137*(W137/AA137)^(LN(Z137/Y137)/LN(AB137/AA137)))</f>
        <v>2467.38952909821</v>
      </c>
      <c r="AD137" s="37" t="n">
        <f aca="false">IF($K137=100,Home_Data!$B$67,IF($K137=500,Home_Data!$B$69,Home_Data!$B$68))</f>
        <v>1.005</v>
      </c>
      <c r="AE137" s="37" t="n">
        <f aca="false">IF($J137&lt;=Home_Data!$B$61,Home_Data!$B$64,IF($J137&gt;=Home_Data!$B$63,Home_Data!$B$66,IF($J137&lt;=Home_Data!$B$62,Home_Data!$B$64+(Home_Data!$B$65-Home_Data!$B$64)*(LN($J137)-LN(Home_Data!$B$61))/(LN(Home_Data!$B$62)-LN(Home_Data!$B$61)),Home_Data!$B$65+(Home_Data!$B$66-Home_Data!$B$65)*(LN($J137)-LN(Home_Data!$B$62))/(LN(Home_Data!$B$63)-LN(Home_Data!$B$62)))))</f>
        <v>1</v>
      </c>
      <c r="AF137" s="38" t="n">
        <f aca="false">IF($E137&gt;=20,Home_Data!$B$80,IF($E137&gt;=10,Home_Data!$B$79,1))</f>
        <v>1</v>
      </c>
      <c r="AG137" s="38" t="n">
        <f aca="false">IF($D137&lt;1960,Home_Data!$B$81,IF($D137&lt;1980,Home_Data!$B$82,IF($D137&gt;=2000,Home_Data!$B$83,1)))</f>
        <v>0.95</v>
      </c>
      <c r="AH137" s="38" t="n">
        <f aca="false">IF($F137="brick",Home_Data!$B$78,1)</f>
        <v>1</v>
      </c>
      <c r="AI137" s="38" t="n">
        <f aca="false">IF($G137="rental",Home_Data!$B$84,IF($G137="vacation",Home_Data!$B$85,1))</f>
        <v>1</v>
      </c>
      <c r="AJ137" s="38" t="n">
        <f aca="false">INDEX(Home_Data!$B$70:$B$73,MIN(3,MAX(0,$H137))+1)</f>
        <v>1</v>
      </c>
      <c r="AK137" s="38" t="n">
        <f aca="false">IF(INDEX(Home_Data!$H$5:$H$56,V137)="Yes",1,IF($L137="poor",Home_Data!$B$74,IF($L137="fair",Home_Data!$B$75,IF($L137="excellent",Home_Data!$B$77,Home_Data!$B$76))))</f>
        <v>1</v>
      </c>
      <c r="AL137" s="38" t="n">
        <f aca="false">IF(($N137=1),Home_Data!$B$86,1)*IF(($O137=1),Home_Data!$B$87,1)*IF(($P137=1),Home_Data!$B$88,1)</f>
        <v>1</v>
      </c>
      <c r="AM137" s="34" t="n">
        <f aca="false">AC137*AD137*AE137*AF137*AG137*AH137*AI137*AJ137*AK137*AL137</f>
        <v>2355.74015290651</v>
      </c>
      <c r="AN137" s="34" t="n">
        <f aca="false">AM137*EXP(-Car_Data!$B$123*Home_Data!$B$91)</f>
        <v>1715.74053367128</v>
      </c>
      <c r="AO137" s="34" t="n">
        <f aca="false">AM137*EXP(Car_Data!$B$123*Home_Data!$B$91)</f>
        <v>3234.47022385217</v>
      </c>
      <c r="AP137" s="39" t="str">
        <f aca="false">IF($U137&gt;0,IF(AND($U137&gt;=AN137,$U137&lt;=AO137),1,0),"")</f>
        <v/>
      </c>
      <c r="AQ137" s="40" t="str">
        <f aca="false">IF($U137&gt;0,$U137/AM137-1,"")</f>
        <v/>
      </c>
    </row>
    <row r="138" customFormat="false" ht="15" hidden="false" customHeight="false" outlineLevel="0" collapsed="false">
      <c r="A138" s="6" t="s">
        <v>409</v>
      </c>
      <c r="B138" s="6" t="s">
        <v>397</v>
      </c>
      <c r="C138" s="6" t="n">
        <v>1200</v>
      </c>
      <c r="D138" s="6" t="n">
        <v>1985</v>
      </c>
      <c r="E138" s="6" t="n">
        <v>5</v>
      </c>
      <c r="F138" s="6" t="s">
        <v>133</v>
      </c>
      <c r="G138" s="6" t="s">
        <v>136</v>
      </c>
      <c r="H138" s="6" t="n">
        <v>1</v>
      </c>
      <c r="I138" s="23" t="n">
        <v>260000</v>
      </c>
      <c r="J138" s="23" t="n">
        <v>2500</v>
      </c>
      <c r="K138" s="6" t="n">
        <v>500</v>
      </c>
      <c r="L138" s="6"/>
      <c r="M138" s="6" t="n">
        <v>0</v>
      </c>
      <c r="N138" s="6" t="n">
        <v>0</v>
      </c>
      <c r="O138" s="6" t="n">
        <v>0</v>
      </c>
      <c r="P138" s="6" t="n">
        <v>0</v>
      </c>
      <c r="Q138" s="6" t="n">
        <v>0</v>
      </c>
      <c r="R138" s="6" t="s">
        <v>267</v>
      </c>
      <c r="S138" s="5"/>
      <c r="T138" s="32"/>
      <c r="U138" s="17"/>
      <c r="V138" s="33" t="n">
        <f aca="false">MATCH($B138,Home_Data!$B$5:$B$56,0)</f>
        <v>5</v>
      </c>
      <c r="W138" s="34" t="n">
        <f aca="false">MIN(MAX($I138,50000),3000000)</f>
        <v>260000</v>
      </c>
      <c r="X138" s="35" t="n">
        <f aca="false">IFERROR(MIN(3,MAX(1,MATCH(W138,Home_Data!$C$4:$F$4,1))),1)</f>
        <v>1</v>
      </c>
      <c r="Y138" s="36" t="n">
        <f aca="false">INDEX(Home_Data!$C$5:$F$56,V138,X138)</f>
        <v>1244</v>
      </c>
      <c r="Z138" s="36" t="n">
        <f aca="false">INDEX(Home_Data!$C$5:$F$56,V138,X138+1)</f>
        <v>1653</v>
      </c>
      <c r="AA138" s="36" t="n">
        <f aca="false">INDEX(Home_Data!$C$4:$F$4,X138)</f>
        <v>200000</v>
      </c>
      <c r="AB138" s="36" t="n">
        <f aca="false">INDEX(Home_Data!$C$4:$F$4,X138+1)</f>
        <v>300000</v>
      </c>
      <c r="AC138" s="36" t="n">
        <f aca="false">IF($I138&lt;200000,INDEX(Home_Data!$C$5:$F$56,V138,1)*(MAX($I138,Home_Data!$B$90)/200000)^Home_Data!$B$89,Y138*(W138/AA138)^(LN(Z138/Y138)/LN(AB138/AA138)))</f>
        <v>1495.21194914761</v>
      </c>
      <c r="AD138" s="37" t="n">
        <f aca="false">IF($K138=100,Home_Data!$B$67,IF($K138=500,Home_Data!$B$69,Home_Data!$B$68))</f>
        <v>1.005</v>
      </c>
      <c r="AE138" s="37" t="n">
        <f aca="false">IF($J138&lt;=Home_Data!$B$61,Home_Data!$B$64,IF($J138&gt;=Home_Data!$B$63,Home_Data!$B$66,IF($J138&lt;=Home_Data!$B$62,Home_Data!$B$64+(Home_Data!$B$65-Home_Data!$B$64)*(LN($J138)-LN(Home_Data!$B$61))/(LN(Home_Data!$B$62)-LN(Home_Data!$B$61)),Home_Data!$B$65+(Home_Data!$B$66-Home_Data!$B$65)*(LN($J138)-LN(Home_Data!$B$62))/(LN(Home_Data!$B$63)-LN(Home_Data!$B$62)))))</f>
        <v>0.91</v>
      </c>
      <c r="AF138" s="38" t="n">
        <f aca="false">IF($E138&gt;=20,Home_Data!$B$80,IF($E138&gt;=10,Home_Data!$B$79,1))</f>
        <v>1</v>
      </c>
      <c r="AG138" s="38" t="n">
        <f aca="false">IF($D138&lt;1960,Home_Data!$B$81,IF($D138&lt;1980,Home_Data!$B$82,IF($D138&gt;=2000,Home_Data!$B$83,1)))</f>
        <v>1</v>
      </c>
      <c r="AH138" s="38" t="n">
        <f aca="false">IF($F138="brick",Home_Data!$B$78,1)</f>
        <v>1</v>
      </c>
      <c r="AI138" s="38" t="n">
        <f aca="false">IF($G138="rental",Home_Data!$B$84,IF($G138="vacation",Home_Data!$B$85,1))</f>
        <v>1</v>
      </c>
      <c r="AJ138" s="38" t="n">
        <f aca="false">INDEX(Home_Data!$B$70:$B$73,MIN(3,MAX(0,$H138))+1)</f>
        <v>1.16</v>
      </c>
      <c r="AK138" s="38" t="n">
        <f aca="false">IF(INDEX(Home_Data!$H$5:$H$56,V138)="Yes",1,IF($L138="poor",Home_Data!$B$74,IF($L138="fair",Home_Data!$B$75,IF($L138="excellent",Home_Data!$B$77,Home_Data!$B$76))))</f>
        <v>1</v>
      </c>
      <c r="AL138" s="38" t="n">
        <f aca="false">IF(($N138=1),Home_Data!$B$86,1)*IF(($O138=1),Home_Data!$B$87,1)*IF(($P138=1),Home_Data!$B$88,1)</f>
        <v>1</v>
      </c>
      <c r="AM138" s="34" t="n">
        <f aca="false">AC138*AD138*AE138*AF138*AG138*AH138*AI138*AJ138*AK138*AL138</f>
        <v>1586.23746218782</v>
      </c>
      <c r="AN138" s="34" t="n">
        <f aca="false">AM138*EXP(-Car_Data!$B$123*Home_Data!$B$91)</f>
        <v>1155.29376469881</v>
      </c>
      <c r="AO138" s="34" t="n">
        <f aca="false">AM138*EXP(Car_Data!$B$123*Home_Data!$B$91)</f>
        <v>2177.9302921314</v>
      </c>
      <c r="AP138" s="39" t="str">
        <f aca="false">IF($U138&gt;0,IF(AND($U138&gt;=AN138,$U138&lt;=AO138),1,0),"")</f>
        <v/>
      </c>
      <c r="AQ138" s="40" t="str">
        <f aca="false">IF($U138&gt;0,$U138/AM138-1,"")</f>
        <v/>
      </c>
    </row>
    <row r="139" customFormat="false" ht="15" hidden="false" customHeight="false" outlineLevel="0" collapsed="false">
      <c r="A139" s="6" t="s">
        <v>410</v>
      </c>
      <c r="B139" s="6" t="s">
        <v>397</v>
      </c>
      <c r="C139" s="6" t="n">
        <v>3150</v>
      </c>
      <c r="D139" s="6" t="n">
        <v>1968</v>
      </c>
      <c r="E139" s="6" t="n">
        <v>24</v>
      </c>
      <c r="F139" s="6" t="s">
        <v>133</v>
      </c>
      <c r="G139" s="6" t="s">
        <v>136</v>
      </c>
      <c r="H139" s="6" t="n">
        <v>0</v>
      </c>
      <c r="I139" s="23" t="n">
        <v>845000</v>
      </c>
      <c r="J139" s="23" t="n">
        <v>5000</v>
      </c>
      <c r="K139" s="6" t="n">
        <v>300</v>
      </c>
      <c r="L139" s="6"/>
      <c r="M139" s="6" t="n">
        <v>0</v>
      </c>
      <c r="N139" s="6" t="n">
        <v>0</v>
      </c>
      <c r="O139" s="6" t="n">
        <v>1</v>
      </c>
      <c r="P139" s="6" t="n">
        <v>0</v>
      </c>
      <c r="Q139" s="6" t="n">
        <v>1</v>
      </c>
      <c r="R139" s="6" t="s">
        <v>398</v>
      </c>
      <c r="S139" s="5"/>
      <c r="T139" s="32"/>
      <c r="U139" s="17"/>
      <c r="V139" s="33" t="n">
        <f aca="false">MATCH($B139,Home_Data!$B$5:$B$56,0)</f>
        <v>5</v>
      </c>
      <c r="W139" s="34" t="n">
        <f aca="false">MIN(MAX($I139,50000),3000000)</f>
        <v>845000</v>
      </c>
      <c r="X139" s="35" t="n">
        <f aca="false">IFERROR(MIN(3,MAX(1,MATCH(W139,Home_Data!$C$4:$F$4,1))),1)</f>
        <v>3</v>
      </c>
      <c r="Y139" s="36" t="n">
        <f aca="false">INDEX(Home_Data!$C$5:$F$56,V139,X139)</f>
        <v>2090</v>
      </c>
      <c r="Z139" s="36" t="n">
        <f aca="false">INDEX(Home_Data!$C$5:$F$56,V139,X139+1)</f>
        <v>3092</v>
      </c>
      <c r="AA139" s="36" t="n">
        <f aca="false">INDEX(Home_Data!$C$4:$F$4,X139)</f>
        <v>400000</v>
      </c>
      <c r="AB139" s="36" t="n">
        <f aca="false">INDEX(Home_Data!$C$4:$F$4,X139+1)</f>
        <v>600000</v>
      </c>
      <c r="AC139" s="36" t="n">
        <f aca="false">IF($I139&lt;200000,INDEX(Home_Data!$C$5:$F$56,V139,1)*(MAX($I139,Home_Data!$B$90)/200000)^Home_Data!$B$89,Y139*(W139/AA139)^(LN(Z139/Y139)/LN(AB139/AA139)))</f>
        <v>4304.07375829267</v>
      </c>
      <c r="AD139" s="37" t="n">
        <f aca="false">IF($K139=100,Home_Data!$B$67,IF($K139=500,Home_Data!$B$69,Home_Data!$B$68))</f>
        <v>1</v>
      </c>
      <c r="AE139" s="37" t="n">
        <f aca="false">IF($J139&lt;=Home_Data!$B$61,Home_Data!$B$64,IF($J139&gt;=Home_Data!$B$63,Home_Data!$B$66,IF($J139&lt;=Home_Data!$B$62,Home_Data!$B$64+(Home_Data!$B$65-Home_Data!$B$64)*(LN($J139)-LN(Home_Data!$B$61))/(LN(Home_Data!$B$62)-LN(Home_Data!$B$61)),Home_Data!$B$65+(Home_Data!$B$66-Home_Data!$B$65)*(LN($J139)-LN(Home_Data!$B$62))/(LN(Home_Data!$B$63)-LN(Home_Data!$B$62)))))</f>
        <v>0.84</v>
      </c>
      <c r="AF139" s="38" t="n">
        <f aca="false">IF($E139&gt;=20,Home_Data!$B$80,IF($E139&gt;=10,Home_Data!$B$79,1))</f>
        <v>1.3</v>
      </c>
      <c r="AG139" s="38" t="n">
        <f aca="false">IF($D139&lt;1960,Home_Data!$B$81,IF($D139&lt;1980,Home_Data!$B$82,IF($D139&gt;=2000,Home_Data!$B$83,1)))</f>
        <v>1.08</v>
      </c>
      <c r="AH139" s="38" t="n">
        <f aca="false">IF($F139="brick",Home_Data!$B$78,1)</f>
        <v>1</v>
      </c>
      <c r="AI139" s="38" t="n">
        <f aca="false">IF($G139="rental",Home_Data!$B$84,IF($G139="vacation",Home_Data!$B$85,1))</f>
        <v>1</v>
      </c>
      <c r="AJ139" s="38" t="n">
        <f aca="false">INDEX(Home_Data!$B$70:$B$73,MIN(3,MAX(0,$H139))+1)</f>
        <v>1</v>
      </c>
      <c r="AK139" s="38" t="n">
        <f aca="false">IF(INDEX(Home_Data!$H$5:$H$56,V139)="Yes",1,IF($L139="poor",Home_Data!$B$74,IF($L139="fair",Home_Data!$B$75,IF($L139="excellent",Home_Data!$B$77,Home_Data!$B$76))))</f>
        <v>1</v>
      </c>
      <c r="AL139" s="38" t="n">
        <f aca="false">IF(($N139=1),Home_Data!$B$86,1)*IF(($O139=1),Home_Data!$B$87,1)*IF(($P139=1),Home_Data!$B$88,1)</f>
        <v>1.15</v>
      </c>
      <c r="AM139" s="34" t="n">
        <f aca="false">AC139*AD139*AE139*AF139*AG139*AH139*AI139*AJ139*AK139*AL139</f>
        <v>5837.46029171706</v>
      </c>
      <c r="AN139" s="34" t="n">
        <f aca="false">AM139*EXP(-Car_Data!$B$123*Home_Data!$B$91)</f>
        <v>4251.55857017521</v>
      </c>
      <c r="AO139" s="34" t="n">
        <f aca="false">AM139*EXP(Car_Data!$B$123*Home_Data!$B$91)</f>
        <v>8014.9296063841</v>
      </c>
      <c r="AP139" s="39" t="str">
        <f aca="false">IF($U139&gt;0,IF(AND($U139&gt;=AN139,$U139&lt;=AO139),1,0),"")</f>
        <v/>
      </c>
      <c r="AQ139" s="40" t="str">
        <f aca="false">IF($U139&gt;0,$U139/AM139-1,"")</f>
        <v/>
      </c>
    </row>
    <row r="140" customFormat="false" ht="15" hidden="false" customHeight="false" outlineLevel="0" collapsed="false">
      <c r="A140" s="6" t="s">
        <v>411</v>
      </c>
      <c r="B140" s="6" t="s">
        <v>397</v>
      </c>
      <c r="C140" s="6" t="n">
        <v>2850</v>
      </c>
      <c r="D140" s="6" t="n">
        <v>1992</v>
      </c>
      <c r="E140" s="6" t="n">
        <v>4</v>
      </c>
      <c r="F140" s="6" t="s">
        <v>133</v>
      </c>
      <c r="G140" s="6" t="s">
        <v>136</v>
      </c>
      <c r="H140" s="6" t="n">
        <v>0</v>
      </c>
      <c r="I140" s="23" t="n">
        <v>570000</v>
      </c>
      <c r="J140" s="23" t="n">
        <v>1000</v>
      </c>
      <c r="K140" s="6" t="n">
        <v>300</v>
      </c>
      <c r="L140" s="6"/>
      <c r="M140" s="6" t="n">
        <v>0</v>
      </c>
      <c r="N140" s="6" t="n">
        <v>0</v>
      </c>
      <c r="O140" s="6" t="n">
        <v>0</v>
      </c>
      <c r="P140" s="6" t="n">
        <v>0</v>
      </c>
      <c r="Q140" s="6" t="n">
        <v>0</v>
      </c>
      <c r="R140" s="6" t="s">
        <v>267</v>
      </c>
      <c r="S140" s="5"/>
      <c r="T140" s="32"/>
      <c r="U140" s="17"/>
      <c r="V140" s="33" t="n">
        <f aca="false">MATCH($B140,Home_Data!$B$5:$B$56,0)</f>
        <v>5</v>
      </c>
      <c r="W140" s="34" t="n">
        <f aca="false">MIN(MAX($I140,50000),3000000)</f>
        <v>570000</v>
      </c>
      <c r="X140" s="35" t="n">
        <f aca="false">IFERROR(MIN(3,MAX(1,MATCH(W140,Home_Data!$C$4:$F$4,1))),1)</f>
        <v>3</v>
      </c>
      <c r="Y140" s="36" t="n">
        <f aca="false">INDEX(Home_Data!$C$5:$F$56,V140,X140)</f>
        <v>2090</v>
      </c>
      <c r="Z140" s="36" t="n">
        <f aca="false">INDEX(Home_Data!$C$5:$F$56,V140,X140+1)</f>
        <v>3092</v>
      </c>
      <c r="AA140" s="36" t="n">
        <f aca="false">INDEX(Home_Data!$C$4:$F$4,X140)</f>
        <v>400000</v>
      </c>
      <c r="AB140" s="36" t="n">
        <f aca="false">INDEX(Home_Data!$C$4:$F$4,X140+1)</f>
        <v>600000</v>
      </c>
      <c r="AC140" s="36" t="n">
        <f aca="false">IF($I140&lt;200000,INDEX(Home_Data!$C$5:$F$56,V140,1)*(MAX($I140,Home_Data!$B$90)/200000)^Home_Data!$B$89,Y140*(W140/AA140)^(LN(Z140/Y140)/LN(AB140/AA140)))</f>
        <v>2942.53660454923</v>
      </c>
      <c r="AD140" s="37" t="n">
        <f aca="false">IF($K140=100,Home_Data!$B$67,IF($K140=500,Home_Data!$B$69,Home_Data!$B$68))</f>
        <v>1</v>
      </c>
      <c r="AE140" s="37" t="n">
        <f aca="false">IF($J140&lt;=Home_Data!$B$61,Home_Data!$B$64,IF($J140&gt;=Home_Data!$B$63,Home_Data!$B$66,IF($J140&lt;=Home_Data!$B$62,Home_Data!$B$64+(Home_Data!$B$65-Home_Data!$B$64)*(LN($J140)-LN(Home_Data!$B$61))/(LN(Home_Data!$B$62)-LN(Home_Data!$B$61)),Home_Data!$B$65+(Home_Data!$B$66-Home_Data!$B$65)*(LN($J140)-LN(Home_Data!$B$62))/(LN(Home_Data!$B$63)-LN(Home_Data!$B$62)))))</f>
        <v>1</v>
      </c>
      <c r="AF140" s="38" t="n">
        <f aca="false">IF($E140&gt;=20,Home_Data!$B$80,IF($E140&gt;=10,Home_Data!$B$79,1))</f>
        <v>1</v>
      </c>
      <c r="AG140" s="38" t="n">
        <f aca="false">IF($D140&lt;1960,Home_Data!$B$81,IF($D140&lt;1980,Home_Data!$B$82,IF($D140&gt;=2000,Home_Data!$B$83,1)))</f>
        <v>1</v>
      </c>
      <c r="AH140" s="38" t="n">
        <f aca="false">IF($F140="brick",Home_Data!$B$78,1)</f>
        <v>1</v>
      </c>
      <c r="AI140" s="38" t="n">
        <f aca="false">IF($G140="rental",Home_Data!$B$84,IF($G140="vacation",Home_Data!$B$85,1))</f>
        <v>1</v>
      </c>
      <c r="AJ140" s="38" t="n">
        <f aca="false">INDEX(Home_Data!$B$70:$B$73,MIN(3,MAX(0,$H140))+1)</f>
        <v>1</v>
      </c>
      <c r="AK140" s="38" t="n">
        <f aca="false">IF(INDEX(Home_Data!$H$5:$H$56,V140)="Yes",1,IF($L140="poor",Home_Data!$B$74,IF($L140="fair",Home_Data!$B$75,IF($L140="excellent",Home_Data!$B$77,Home_Data!$B$76))))</f>
        <v>1</v>
      </c>
      <c r="AL140" s="38" t="n">
        <f aca="false">IF(($N140=1),Home_Data!$B$86,1)*IF(($O140=1),Home_Data!$B$87,1)*IF(($P140=1),Home_Data!$B$88,1)</f>
        <v>1</v>
      </c>
      <c r="AM140" s="34" t="n">
        <f aca="false">AC140*AD140*AE140*AF140*AG140*AH140*AI140*AJ140*AK140*AL140</f>
        <v>2942.53660454923</v>
      </c>
      <c r="AN140" s="34" t="n">
        <f aca="false">AM140*EXP(-Car_Data!$B$123*Home_Data!$B$91)</f>
        <v>2143.11808456785</v>
      </c>
      <c r="AO140" s="34" t="n">
        <f aca="false">AM140*EXP(Car_Data!$B$123*Home_Data!$B$91)</f>
        <v>4040.15146503607</v>
      </c>
      <c r="AP140" s="39" t="str">
        <f aca="false">IF($U140&gt;0,IF(AND($U140&gt;=AN140,$U140&lt;=AO140),1,0),"")</f>
        <v/>
      </c>
      <c r="AQ140" s="40" t="str">
        <f aca="false">IF($U140&gt;0,$U140/AM140-1,"")</f>
        <v/>
      </c>
    </row>
    <row r="141" customFormat="false" ht="15" hidden="false" customHeight="false" outlineLevel="0" collapsed="false">
      <c r="A141" s="6" t="s">
        <v>412</v>
      </c>
      <c r="B141" s="6" t="s">
        <v>397</v>
      </c>
      <c r="C141" s="6" t="n">
        <v>3700</v>
      </c>
      <c r="D141" s="6" t="n">
        <v>2001</v>
      </c>
      <c r="E141" s="6" t="n">
        <v>19</v>
      </c>
      <c r="F141" s="6" t="s">
        <v>133</v>
      </c>
      <c r="G141" s="6" t="s">
        <v>136</v>
      </c>
      <c r="H141" s="6" t="n">
        <v>0</v>
      </c>
      <c r="I141" s="23" t="n">
        <v>790000</v>
      </c>
      <c r="J141" s="23" t="n">
        <v>2500</v>
      </c>
      <c r="K141" s="6" t="n">
        <v>100</v>
      </c>
      <c r="L141" s="6"/>
      <c r="M141" s="6" t="n">
        <v>0</v>
      </c>
      <c r="N141" s="6" t="n">
        <v>0</v>
      </c>
      <c r="O141" s="6" t="n">
        <v>0</v>
      </c>
      <c r="P141" s="6" t="n">
        <v>1</v>
      </c>
      <c r="Q141" s="6" t="n">
        <v>0</v>
      </c>
      <c r="R141" s="6" t="s">
        <v>262</v>
      </c>
      <c r="S141" s="5"/>
      <c r="T141" s="32"/>
      <c r="U141" s="17"/>
      <c r="V141" s="33" t="n">
        <f aca="false">MATCH($B141,Home_Data!$B$5:$B$56,0)</f>
        <v>5</v>
      </c>
      <c r="W141" s="34" t="n">
        <f aca="false">MIN(MAX($I141,50000),3000000)</f>
        <v>790000</v>
      </c>
      <c r="X141" s="35" t="n">
        <f aca="false">IFERROR(MIN(3,MAX(1,MATCH(W141,Home_Data!$C$4:$F$4,1))),1)</f>
        <v>3</v>
      </c>
      <c r="Y141" s="36" t="n">
        <f aca="false">INDEX(Home_Data!$C$5:$F$56,V141,X141)</f>
        <v>2090</v>
      </c>
      <c r="Z141" s="36" t="n">
        <f aca="false">INDEX(Home_Data!$C$5:$F$56,V141,X141+1)</f>
        <v>3092</v>
      </c>
      <c r="AA141" s="36" t="n">
        <f aca="false">INDEX(Home_Data!$C$4:$F$4,X141)</f>
        <v>400000</v>
      </c>
      <c r="AB141" s="36" t="n">
        <f aca="false">INDEX(Home_Data!$C$4:$F$4,X141+1)</f>
        <v>600000</v>
      </c>
      <c r="AC141" s="36" t="n">
        <f aca="false">IF($I141&lt;200000,INDEX(Home_Data!$C$5:$F$56,V141,1)*(MAX($I141,Home_Data!$B$90)/200000)^Home_Data!$B$89,Y141*(W141/AA141)^(LN(Z141/Y141)/LN(AB141/AA141)))</f>
        <v>4033.16243302233</v>
      </c>
      <c r="AD141" s="37" t="n">
        <f aca="false">IF($K141=100,Home_Data!$B$67,IF($K141=500,Home_Data!$B$69,Home_Data!$B$68))</f>
        <v>0.991</v>
      </c>
      <c r="AE141" s="37" t="n">
        <f aca="false">IF($J141&lt;=Home_Data!$B$61,Home_Data!$B$64,IF($J141&gt;=Home_Data!$B$63,Home_Data!$B$66,IF($J141&lt;=Home_Data!$B$62,Home_Data!$B$64+(Home_Data!$B$65-Home_Data!$B$64)*(LN($J141)-LN(Home_Data!$B$61))/(LN(Home_Data!$B$62)-LN(Home_Data!$B$61)),Home_Data!$B$65+(Home_Data!$B$66-Home_Data!$B$65)*(LN($J141)-LN(Home_Data!$B$62))/(LN(Home_Data!$B$63)-LN(Home_Data!$B$62)))))</f>
        <v>0.91</v>
      </c>
      <c r="AF141" s="38" t="n">
        <f aca="false">IF($E141&gt;=20,Home_Data!$B$80,IF($E141&gt;=10,Home_Data!$B$79,1))</f>
        <v>1.1</v>
      </c>
      <c r="AG141" s="38" t="n">
        <f aca="false">IF($D141&lt;1960,Home_Data!$B$81,IF($D141&lt;1980,Home_Data!$B$82,IF($D141&gt;=2000,Home_Data!$B$83,1)))</f>
        <v>0.95</v>
      </c>
      <c r="AH141" s="38" t="n">
        <f aca="false">IF($F141="brick",Home_Data!$B$78,1)</f>
        <v>1</v>
      </c>
      <c r="AI141" s="38" t="n">
        <f aca="false">IF($G141="rental",Home_Data!$B$84,IF($G141="vacation",Home_Data!$B$85,1))</f>
        <v>1</v>
      </c>
      <c r="AJ141" s="38" t="n">
        <f aca="false">INDEX(Home_Data!$B$70:$B$73,MIN(3,MAX(0,$H141))+1)</f>
        <v>1</v>
      </c>
      <c r="AK141" s="38" t="n">
        <f aca="false">IF(INDEX(Home_Data!$H$5:$H$56,V141)="Yes",1,IF($L141="poor",Home_Data!$B$74,IF($L141="fair",Home_Data!$B$75,IF($L141="excellent",Home_Data!$B$77,Home_Data!$B$76))))</f>
        <v>1</v>
      </c>
      <c r="AL141" s="38" t="n">
        <f aca="false">IF(($N141=1),Home_Data!$B$86,1)*IF(($O141=1),Home_Data!$B$87,1)*IF(($P141=1),Home_Data!$B$88,1)</f>
        <v>1.08</v>
      </c>
      <c r="AM141" s="34" t="n">
        <f aca="false">AC141*AD141*AE141*AF141*AG141*AH141*AI141*AJ141*AK141*AL141</f>
        <v>4104.88321680876</v>
      </c>
      <c r="AN141" s="34" t="n">
        <f aca="false">AM141*EXP(-Car_Data!$B$123*Home_Data!$B$91)</f>
        <v>2989.68225013111</v>
      </c>
      <c r="AO141" s="34" t="n">
        <f aca="false">AM141*EXP(Car_Data!$B$123*Home_Data!$B$91)</f>
        <v>5636.07260366859</v>
      </c>
      <c r="AP141" s="39" t="str">
        <f aca="false">IF($U141&gt;0,IF(AND($U141&gt;=AN141,$U141&lt;=AO141),1,0),"")</f>
        <v/>
      </c>
      <c r="AQ141" s="40" t="str">
        <f aca="false">IF($U141&gt;0,$U141/AM141-1,"")</f>
        <v/>
      </c>
    </row>
    <row r="142" customFormat="false" ht="15" hidden="false" customHeight="false" outlineLevel="0" collapsed="false">
      <c r="A142" s="6" t="s">
        <v>413</v>
      </c>
      <c r="B142" s="6" t="s">
        <v>397</v>
      </c>
      <c r="C142" s="6" t="n">
        <v>1550</v>
      </c>
      <c r="D142" s="6" t="n">
        <v>2019</v>
      </c>
      <c r="E142" s="6" t="n">
        <v>6</v>
      </c>
      <c r="F142" s="6" t="s">
        <v>133</v>
      </c>
      <c r="G142" s="6" t="s">
        <v>136</v>
      </c>
      <c r="H142" s="6" t="n">
        <v>0</v>
      </c>
      <c r="I142" s="23" t="n">
        <v>385000</v>
      </c>
      <c r="J142" s="23" t="n">
        <v>1000</v>
      </c>
      <c r="K142" s="6" t="n">
        <v>300</v>
      </c>
      <c r="L142" s="6"/>
      <c r="M142" s="6" t="n">
        <v>0</v>
      </c>
      <c r="N142" s="6" t="n">
        <v>0</v>
      </c>
      <c r="O142" s="6" t="n">
        <v>0</v>
      </c>
      <c r="P142" s="6" t="n">
        <v>0</v>
      </c>
      <c r="Q142" s="6" t="n">
        <v>1</v>
      </c>
      <c r="R142" s="6" t="s">
        <v>403</v>
      </c>
      <c r="S142" s="5"/>
      <c r="T142" s="32"/>
      <c r="U142" s="17"/>
      <c r="V142" s="33" t="n">
        <f aca="false">MATCH($B142,Home_Data!$B$5:$B$56,0)</f>
        <v>5</v>
      </c>
      <c r="W142" s="34" t="n">
        <f aca="false">MIN(MAX($I142,50000),3000000)</f>
        <v>385000</v>
      </c>
      <c r="X142" s="35" t="n">
        <f aca="false">IFERROR(MIN(3,MAX(1,MATCH(W142,Home_Data!$C$4:$F$4,1))),1)</f>
        <v>2</v>
      </c>
      <c r="Y142" s="36" t="n">
        <f aca="false">INDEX(Home_Data!$C$5:$F$56,V142,X142)</f>
        <v>1653</v>
      </c>
      <c r="Z142" s="36" t="n">
        <f aca="false">INDEX(Home_Data!$C$5:$F$56,V142,X142+1)</f>
        <v>2090</v>
      </c>
      <c r="AA142" s="36" t="n">
        <f aca="false">INDEX(Home_Data!$C$4:$F$4,X142)</f>
        <v>300000</v>
      </c>
      <c r="AB142" s="36" t="n">
        <f aca="false">INDEX(Home_Data!$C$4:$F$4,X142+1)</f>
        <v>400000</v>
      </c>
      <c r="AC142" s="36" t="n">
        <f aca="false">IF($I142&lt;200000,INDEX(Home_Data!$C$5:$F$56,V142,1)*(MAX($I142,Home_Data!$B$90)/200000)^Home_Data!$B$89,Y142*(W142/AA142)^(LN(Z142/Y142)/LN(AB142/AA142)))</f>
        <v>2025.86948270777</v>
      </c>
      <c r="AD142" s="37" t="n">
        <f aca="false">IF($K142=100,Home_Data!$B$67,IF($K142=500,Home_Data!$B$69,Home_Data!$B$68))</f>
        <v>1</v>
      </c>
      <c r="AE142" s="37" t="n">
        <f aca="false">IF($J142&lt;=Home_Data!$B$61,Home_Data!$B$64,IF($J142&gt;=Home_Data!$B$63,Home_Data!$B$66,IF($J142&lt;=Home_Data!$B$62,Home_Data!$B$64+(Home_Data!$B$65-Home_Data!$B$64)*(LN($J142)-LN(Home_Data!$B$61))/(LN(Home_Data!$B$62)-LN(Home_Data!$B$61)),Home_Data!$B$65+(Home_Data!$B$66-Home_Data!$B$65)*(LN($J142)-LN(Home_Data!$B$62))/(LN(Home_Data!$B$63)-LN(Home_Data!$B$62)))))</f>
        <v>1</v>
      </c>
      <c r="AF142" s="38" t="n">
        <f aca="false">IF($E142&gt;=20,Home_Data!$B$80,IF($E142&gt;=10,Home_Data!$B$79,1))</f>
        <v>1</v>
      </c>
      <c r="AG142" s="38" t="n">
        <f aca="false">IF($D142&lt;1960,Home_Data!$B$81,IF($D142&lt;1980,Home_Data!$B$82,IF($D142&gt;=2000,Home_Data!$B$83,1)))</f>
        <v>0.95</v>
      </c>
      <c r="AH142" s="38" t="n">
        <f aca="false">IF($F142="brick",Home_Data!$B$78,1)</f>
        <v>1</v>
      </c>
      <c r="AI142" s="38" t="n">
        <f aca="false">IF($G142="rental",Home_Data!$B$84,IF($G142="vacation",Home_Data!$B$85,1))</f>
        <v>1</v>
      </c>
      <c r="AJ142" s="38" t="n">
        <f aca="false">INDEX(Home_Data!$B$70:$B$73,MIN(3,MAX(0,$H142))+1)</f>
        <v>1</v>
      </c>
      <c r="AK142" s="38" t="n">
        <f aca="false">IF(INDEX(Home_Data!$H$5:$H$56,V142)="Yes",1,IF($L142="poor",Home_Data!$B$74,IF($L142="fair",Home_Data!$B$75,IF($L142="excellent",Home_Data!$B$77,Home_Data!$B$76))))</f>
        <v>1</v>
      </c>
      <c r="AL142" s="38" t="n">
        <f aca="false">IF(($N142=1),Home_Data!$B$86,1)*IF(($O142=1),Home_Data!$B$87,1)*IF(($P142=1),Home_Data!$B$88,1)</f>
        <v>1</v>
      </c>
      <c r="AM142" s="34" t="n">
        <f aca="false">AC142*AD142*AE142*AF142*AG142*AH142*AI142*AJ142*AK142*AL142</f>
        <v>1924.57600857238</v>
      </c>
      <c r="AN142" s="34" t="n">
        <f aca="false">AM142*EXP(-Car_Data!$B$123*Home_Data!$B$91)</f>
        <v>1401.7136244695</v>
      </c>
      <c r="AO142" s="34" t="n">
        <f aca="false">AM142*EXP(Car_Data!$B$123*Home_Data!$B$91)</f>
        <v>2642.47471674125</v>
      </c>
      <c r="AP142" s="39" t="str">
        <f aca="false">IF($U142&gt;0,IF(AND($U142&gt;=AN142,$U142&lt;=AO142),1,0),"")</f>
        <v/>
      </c>
      <c r="AQ142" s="40" t="str">
        <f aca="false">IF($U142&gt;0,$U142/AM142-1,"")</f>
        <v/>
      </c>
    </row>
    <row r="143" customFormat="false" ht="15" hidden="false" customHeight="false" outlineLevel="0" collapsed="false">
      <c r="A143" s="6" t="s">
        <v>414</v>
      </c>
      <c r="B143" s="6" t="s">
        <v>397</v>
      </c>
      <c r="C143" s="6" t="n">
        <v>2600</v>
      </c>
      <c r="D143" s="6" t="n">
        <v>1969</v>
      </c>
      <c r="E143" s="6" t="n">
        <v>23</v>
      </c>
      <c r="F143" s="6" t="s">
        <v>133</v>
      </c>
      <c r="G143" s="6" t="s">
        <v>136</v>
      </c>
      <c r="H143" s="6" t="n">
        <v>0</v>
      </c>
      <c r="I143" s="23" t="n">
        <v>545000</v>
      </c>
      <c r="J143" s="23" t="n">
        <v>2500</v>
      </c>
      <c r="K143" s="6" t="n">
        <v>300</v>
      </c>
      <c r="L143" s="6"/>
      <c r="M143" s="6" t="n">
        <v>0</v>
      </c>
      <c r="N143" s="6" t="n">
        <v>0</v>
      </c>
      <c r="O143" s="6" t="n">
        <v>1</v>
      </c>
      <c r="P143" s="6" t="n">
        <v>0</v>
      </c>
      <c r="Q143" s="6" t="n">
        <v>1</v>
      </c>
      <c r="R143" s="6" t="s">
        <v>398</v>
      </c>
      <c r="S143" s="5"/>
      <c r="T143" s="32"/>
      <c r="U143" s="17"/>
      <c r="V143" s="33" t="n">
        <f aca="false">MATCH($B143,Home_Data!$B$5:$B$56,0)</f>
        <v>5</v>
      </c>
      <c r="W143" s="34" t="n">
        <f aca="false">MIN(MAX($I143,50000),3000000)</f>
        <v>545000</v>
      </c>
      <c r="X143" s="35" t="n">
        <f aca="false">IFERROR(MIN(3,MAX(1,MATCH(W143,Home_Data!$C$4:$F$4,1))),1)</f>
        <v>3</v>
      </c>
      <c r="Y143" s="36" t="n">
        <f aca="false">INDEX(Home_Data!$C$5:$F$56,V143,X143)</f>
        <v>2090</v>
      </c>
      <c r="Z143" s="36" t="n">
        <f aca="false">INDEX(Home_Data!$C$5:$F$56,V143,X143+1)</f>
        <v>3092</v>
      </c>
      <c r="AA143" s="36" t="n">
        <f aca="false">INDEX(Home_Data!$C$4:$F$4,X143)</f>
        <v>400000</v>
      </c>
      <c r="AB143" s="36" t="n">
        <f aca="false">INDEX(Home_Data!$C$4:$F$4,X143+1)</f>
        <v>600000</v>
      </c>
      <c r="AC143" s="36" t="n">
        <f aca="false">IF($I143&lt;200000,INDEX(Home_Data!$C$5:$F$56,V143,1)*(MAX($I143,Home_Data!$B$90)/200000)^Home_Data!$B$89,Y143*(W143/AA143)^(LN(Z143/Y143)/LN(AB143/AA143)))</f>
        <v>2817.77944494279</v>
      </c>
      <c r="AD143" s="37" t="n">
        <f aca="false">IF($K143=100,Home_Data!$B$67,IF($K143=500,Home_Data!$B$69,Home_Data!$B$68))</f>
        <v>1</v>
      </c>
      <c r="AE143" s="37" t="n">
        <f aca="false">IF($J143&lt;=Home_Data!$B$61,Home_Data!$B$64,IF($J143&gt;=Home_Data!$B$63,Home_Data!$B$66,IF($J143&lt;=Home_Data!$B$62,Home_Data!$B$64+(Home_Data!$B$65-Home_Data!$B$64)*(LN($J143)-LN(Home_Data!$B$61))/(LN(Home_Data!$B$62)-LN(Home_Data!$B$61)),Home_Data!$B$65+(Home_Data!$B$66-Home_Data!$B$65)*(LN($J143)-LN(Home_Data!$B$62))/(LN(Home_Data!$B$63)-LN(Home_Data!$B$62)))))</f>
        <v>0.91</v>
      </c>
      <c r="AF143" s="38" t="n">
        <f aca="false">IF($E143&gt;=20,Home_Data!$B$80,IF($E143&gt;=10,Home_Data!$B$79,1))</f>
        <v>1.3</v>
      </c>
      <c r="AG143" s="38" t="n">
        <f aca="false">IF($D143&lt;1960,Home_Data!$B$81,IF($D143&lt;1980,Home_Data!$B$82,IF($D143&gt;=2000,Home_Data!$B$83,1)))</f>
        <v>1.08</v>
      </c>
      <c r="AH143" s="38" t="n">
        <f aca="false">IF($F143="brick",Home_Data!$B$78,1)</f>
        <v>1</v>
      </c>
      <c r="AI143" s="38" t="n">
        <f aca="false">IF($G143="rental",Home_Data!$B$84,IF($G143="vacation",Home_Data!$B$85,1))</f>
        <v>1</v>
      </c>
      <c r="AJ143" s="38" t="n">
        <f aca="false">INDEX(Home_Data!$B$70:$B$73,MIN(3,MAX(0,$H143))+1)</f>
        <v>1</v>
      </c>
      <c r="AK143" s="38" t="n">
        <f aca="false">IF(INDEX(Home_Data!$H$5:$H$56,V143)="Yes",1,IF($L143="poor",Home_Data!$B$74,IF($L143="fair",Home_Data!$B$75,IF($L143="excellent",Home_Data!$B$77,Home_Data!$B$76))))</f>
        <v>1</v>
      </c>
      <c r="AL143" s="38" t="n">
        <f aca="false">IF(($N143=1),Home_Data!$B$86,1)*IF(($O143=1),Home_Data!$B$87,1)*IF(($P143=1),Home_Data!$B$88,1)</f>
        <v>1.15</v>
      </c>
      <c r="AM143" s="34" t="n">
        <f aca="false">AC143*AD143*AE143*AF143*AG143*AH143*AI143*AJ143*AK143*AL143</f>
        <v>4140.12388954222</v>
      </c>
      <c r="AN143" s="34" t="n">
        <f aca="false">AM143*EXP(-Car_Data!$B$123*Home_Data!$B$91)</f>
        <v>3015.34885456031</v>
      </c>
      <c r="AO143" s="34" t="n">
        <f aca="false">AM143*EXP(Car_Data!$B$123*Home_Data!$B$91)</f>
        <v>5684.45863066068</v>
      </c>
      <c r="AP143" s="39" t="str">
        <f aca="false">IF($U143&gt;0,IF(AND($U143&gt;=AN143,$U143&lt;=AO143),1,0),"")</f>
        <v/>
      </c>
      <c r="AQ143" s="40" t="str">
        <f aca="false">IF($U143&gt;0,$U143/AM143-1,"")</f>
        <v/>
      </c>
    </row>
    <row r="144" customFormat="false" ht="15" hidden="false" customHeight="false" outlineLevel="0" collapsed="false">
      <c r="A144" s="6" t="s">
        <v>415</v>
      </c>
      <c r="B144" s="6" t="s">
        <v>397</v>
      </c>
      <c r="C144" s="6" t="n">
        <v>2250</v>
      </c>
      <c r="D144" s="6" t="n">
        <v>2010</v>
      </c>
      <c r="E144" s="6" t="n">
        <v>16</v>
      </c>
      <c r="F144" s="6" t="s">
        <v>261</v>
      </c>
      <c r="G144" s="6" t="s">
        <v>136</v>
      </c>
      <c r="H144" s="6" t="n">
        <v>1</v>
      </c>
      <c r="I144" s="23" t="n">
        <v>530000</v>
      </c>
      <c r="J144" s="23" t="n">
        <v>1000</v>
      </c>
      <c r="K144" s="6" t="n">
        <v>100</v>
      </c>
      <c r="L144" s="6"/>
      <c r="M144" s="6" t="n">
        <v>0</v>
      </c>
      <c r="N144" s="6" t="n">
        <v>0</v>
      </c>
      <c r="O144" s="6" t="n">
        <v>0</v>
      </c>
      <c r="P144" s="6" t="n">
        <v>0</v>
      </c>
      <c r="Q144" s="6" t="n">
        <v>1</v>
      </c>
      <c r="R144" s="6" t="s">
        <v>403</v>
      </c>
      <c r="S144" s="5"/>
      <c r="T144" s="32"/>
      <c r="U144" s="17"/>
      <c r="V144" s="33" t="n">
        <f aca="false">MATCH($B144,Home_Data!$B$5:$B$56,0)</f>
        <v>5</v>
      </c>
      <c r="W144" s="34" t="n">
        <f aca="false">MIN(MAX($I144,50000),3000000)</f>
        <v>530000</v>
      </c>
      <c r="X144" s="35" t="n">
        <f aca="false">IFERROR(MIN(3,MAX(1,MATCH(W144,Home_Data!$C$4:$F$4,1))),1)</f>
        <v>3</v>
      </c>
      <c r="Y144" s="36" t="n">
        <f aca="false">INDEX(Home_Data!$C$5:$F$56,V144,X144)</f>
        <v>2090</v>
      </c>
      <c r="Z144" s="36" t="n">
        <f aca="false">INDEX(Home_Data!$C$5:$F$56,V144,X144+1)</f>
        <v>3092</v>
      </c>
      <c r="AA144" s="36" t="n">
        <f aca="false">INDEX(Home_Data!$C$4:$F$4,X144)</f>
        <v>400000</v>
      </c>
      <c r="AB144" s="36" t="n">
        <f aca="false">INDEX(Home_Data!$C$4:$F$4,X144+1)</f>
        <v>600000</v>
      </c>
      <c r="AC144" s="36" t="n">
        <f aca="false">IF($I144&lt;200000,INDEX(Home_Data!$C$5:$F$56,V144,1)*(MAX($I144,Home_Data!$B$90)/200000)^Home_Data!$B$89,Y144*(W144/AA144)^(LN(Z144/Y144)/LN(AB144/AA144)))</f>
        <v>2742.83207652317</v>
      </c>
      <c r="AD144" s="37" t="n">
        <f aca="false">IF($K144=100,Home_Data!$B$67,IF($K144=500,Home_Data!$B$69,Home_Data!$B$68))</f>
        <v>0.991</v>
      </c>
      <c r="AE144" s="37" t="n">
        <f aca="false">IF($J144&lt;=Home_Data!$B$61,Home_Data!$B$64,IF($J144&gt;=Home_Data!$B$63,Home_Data!$B$66,IF($J144&lt;=Home_Data!$B$62,Home_Data!$B$64+(Home_Data!$B$65-Home_Data!$B$64)*(LN($J144)-LN(Home_Data!$B$61))/(LN(Home_Data!$B$62)-LN(Home_Data!$B$61)),Home_Data!$B$65+(Home_Data!$B$66-Home_Data!$B$65)*(LN($J144)-LN(Home_Data!$B$62))/(LN(Home_Data!$B$63)-LN(Home_Data!$B$62)))))</f>
        <v>1</v>
      </c>
      <c r="AF144" s="38" t="n">
        <f aca="false">IF($E144&gt;=20,Home_Data!$B$80,IF($E144&gt;=10,Home_Data!$B$79,1))</f>
        <v>1.1</v>
      </c>
      <c r="AG144" s="38" t="n">
        <f aca="false">IF($D144&lt;1960,Home_Data!$B$81,IF($D144&lt;1980,Home_Data!$B$82,IF($D144&gt;=2000,Home_Data!$B$83,1)))</f>
        <v>0.95</v>
      </c>
      <c r="AH144" s="38" t="n">
        <f aca="false">IF($F144="brick",Home_Data!$B$78,1)</f>
        <v>0.98</v>
      </c>
      <c r="AI144" s="38" t="n">
        <f aca="false">IF($G144="rental",Home_Data!$B$84,IF($G144="vacation",Home_Data!$B$85,1))</f>
        <v>1</v>
      </c>
      <c r="AJ144" s="38" t="n">
        <f aca="false">INDEX(Home_Data!$B$70:$B$73,MIN(3,MAX(0,$H144))+1)</f>
        <v>1.16</v>
      </c>
      <c r="AK144" s="38" t="n">
        <f aca="false">IF(INDEX(Home_Data!$H$5:$H$56,V144)="Yes",1,IF($L144="poor",Home_Data!$B$74,IF($L144="fair",Home_Data!$B$75,IF($L144="excellent",Home_Data!$B$77,Home_Data!$B$76))))</f>
        <v>1</v>
      </c>
      <c r="AL144" s="38" t="n">
        <f aca="false">IF(($N144=1),Home_Data!$B$86,1)*IF(($O144=1),Home_Data!$B$87,1)*IF(($P144=1),Home_Data!$B$88,1)</f>
        <v>1</v>
      </c>
      <c r="AM144" s="34" t="n">
        <f aca="false">AC144*AD144*AE144*AF144*AG144*AH144*AI144*AJ144*AK144*AL144</f>
        <v>3229.03854789747</v>
      </c>
      <c r="AN144" s="34" t="n">
        <f aca="false">AM144*EXP(-Car_Data!$B$123*Home_Data!$B$91)</f>
        <v>2351.78413653953</v>
      </c>
      <c r="AO144" s="34" t="n">
        <f aca="false">AM144*EXP(Car_Data!$B$123*Home_Data!$B$91)</f>
        <v>4433.52337564019</v>
      </c>
      <c r="AP144" s="39" t="str">
        <f aca="false">IF($U144&gt;0,IF(AND($U144&gt;=AN144,$U144&lt;=AO144),1,0),"")</f>
        <v/>
      </c>
      <c r="AQ144" s="40" t="str">
        <f aca="false">IF($U144&gt;0,$U144/AM144-1,"")</f>
        <v/>
      </c>
    </row>
    <row r="145" customFormat="false" ht="15" hidden="false" customHeight="false" outlineLevel="0" collapsed="false">
      <c r="A145" s="6" t="s">
        <v>416</v>
      </c>
      <c r="B145" s="6" t="s">
        <v>397</v>
      </c>
      <c r="C145" s="6" t="n">
        <v>1200</v>
      </c>
      <c r="D145" s="6" t="n">
        <v>1966</v>
      </c>
      <c r="E145" s="6" t="n">
        <v>6</v>
      </c>
      <c r="F145" s="6" t="s">
        <v>261</v>
      </c>
      <c r="G145" s="6" t="s">
        <v>136</v>
      </c>
      <c r="H145" s="6" t="n">
        <v>1</v>
      </c>
      <c r="I145" s="23" t="n">
        <v>310000</v>
      </c>
      <c r="J145" s="23" t="n">
        <v>5000</v>
      </c>
      <c r="K145" s="6" t="n">
        <v>300</v>
      </c>
      <c r="L145" s="6"/>
      <c r="M145" s="6" t="n">
        <v>0</v>
      </c>
      <c r="N145" s="6" t="n">
        <v>0</v>
      </c>
      <c r="O145" s="6" t="n">
        <v>1</v>
      </c>
      <c r="P145" s="6" t="n">
        <v>0</v>
      </c>
      <c r="Q145" s="6" t="n">
        <v>0</v>
      </c>
      <c r="R145" s="6" t="s">
        <v>279</v>
      </c>
      <c r="S145" s="5"/>
      <c r="T145" s="32"/>
      <c r="U145" s="17"/>
      <c r="V145" s="33" t="n">
        <f aca="false">MATCH($B145,Home_Data!$B$5:$B$56,0)</f>
        <v>5</v>
      </c>
      <c r="W145" s="34" t="n">
        <f aca="false">MIN(MAX($I145,50000),3000000)</f>
        <v>310000</v>
      </c>
      <c r="X145" s="35" t="n">
        <f aca="false">IFERROR(MIN(3,MAX(1,MATCH(W145,Home_Data!$C$4:$F$4,1))),1)</f>
        <v>2</v>
      </c>
      <c r="Y145" s="36" t="n">
        <f aca="false">INDEX(Home_Data!$C$5:$F$56,V145,X145)</f>
        <v>1653</v>
      </c>
      <c r="Z145" s="36" t="n">
        <f aca="false">INDEX(Home_Data!$C$5:$F$56,V145,X145+1)</f>
        <v>2090</v>
      </c>
      <c r="AA145" s="36" t="n">
        <f aca="false">INDEX(Home_Data!$C$4:$F$4,X145)</f>
        <v>300000</v>
      </c>
      <c r="AB145" s="36" t="n">
        <f aca="false">INDEX(Home_Data!$C$4:$F$4,X145+1)</f>
        <v>400000</v>
      </c>
      <c r="AC145" s="36" t="n">
        <f aca="false">IF($I145&lt;200000,INDEX(Home_Data!$C$5:$F$56,V145,1)*(MAX($I145,Home_Data!$B$90)/200000)^Home_Data!$B$89,Y145*(W145/AA145)^(LN(Z145/Y145)/LN(AB145/AA145)))</f>
        <v>1697.79137798798</v>
      </c>
      <c r="AD145" s="37" t="n">
        <f aca="false">IF($K145=100,Home_Data!$B$67,IF($K145=500,Home_Data!$B$69,Home_Data!$B$68))</f>
        <v>1</v>
      </c>
      <c r="AE145" s="37" t="n">
        <f aca="false">IF($J145&lt;=Home_Data!$B$61,Home_Data!$B$64,IF($J145&gt;=Home_Data!$B$63,Home_Data!$B$66,IF($J145&lt;=Home_Data!$B$62,Home_Data!$B$64+(Home_Data!$B$65-Home_Data!$B$64)*(LN($J145)-LN(Home_Data!$B$61))/(LN(Home_Data!$B$62)-LN(Home_Data!$B$61)),Home_Data!$B$65+(Home_Data!$B$66-Home_Data!$B$65)*(LN($J145)-LN(Home_Data!$B$62))/(LN(Home_Data!$B$63)-LN(Home_Data!$B$62)))))</f>
        <v>0.84</v>
      </c>
      <c r="AF145" s="38" t="n">
        <f aca="false">IF($E145&gt;=20,Home_Data!$B$80,IF($E145&gt;=10,Home_Data!$B$79,1))</f>
        <v>1</v>
      </c>
      <c r="AG145" s="38" t="n">
        <f aca="false">IF($D145&lt;1960,Home_Data!$B$81,IF($D145&lt;1980,Home_Data!$B$82,IF($D145&gt;=2000,Home_Data!$B$83,1)))</f>
        <v>1.08</v>
      </c>
      <c r="AH145" s="38" t="n">
        <f aca="false">IF($F145="brick",Home_Data!$B$78,1)</f>
        <v>0.98</v>
      </c>
      <c r="AI145" s="38" t="n">
        <f aca="false">IF($G145="rental",Home_Data!$B$84,IF($G145="vacation",Home_Data!$B$85,1))</f>
        <v>1</v>
      </c>
      <c r="AJ145" s="38" t="n">
        <f aca="false">INDEX(Home_Data!$B$70:$B$73,MIN(3,MAX(0,$H145))+1)</f>
        <v>1.16</v>
      </c>
      <c r="AK145" s="38" t="n">
        <f aca="false">IF(INDEX(Home_Data!$H$5:$H$56,V145)="Yes",1,IF($L145="poor",Home_Data!$B$74,IF($L145="fair",Home_Data!$B$75,IF($L145="excellent",Home_Data!$B$77,Home_Data!$B$76))))</f>
        <v>1</v>
      </c>
      <c r="AL145" s="38" t="n">
        <f aca="false">IF(($N145=1),Home_Data!$B$86,1)*IF(($O145=1),Home_Data!$B$87,1)*IF(($P145=1),Home_Data!$B$88,1)</f>
        <v>1.15</v>
      </c>
      <c r="AM145" s="34" t="n">
        <f aca="false">AC145*AD145*AE145*AF145*AG145*AH145*AI145*AJ145*AK145*AL145</f>
        <v>2013.58176953887</v>
      </c>
      <c r="AN145" s="34" t="n">
        <f aca="false">AM145*EXP(-Car_Data!$B$123*Home_Data!$B$91)</f>
        <v>1466.53859747514</v>
      </c>
      <c r="AO145" s="34" t="n">
        <f aca="false">AM145*EXP(Car_Data!$B$123*Home_Data!$B$91)</f>
        <v>2764.68109983585</v>
      </c>
      <c r="AP145" s="39" t="str">
        <f aca="false">IF($U145&gt;0,IF(AND($U145&gt;=AN145,$U145&lt;=AO145),1,0),"")</f>
        <v/>
      </c>
      <c r="AQ145" s="40" t="str">
        <f aca="false">IF($U145&gt;0,$U145/AM145-1,"")</f>
        <v/>
      </c>
    </row>
    <row r="146" customFormat="false" ht="15" hidden="false" customHeight="false" outlineLevel="0" collapsed="false">
      <c r="A146" s="6" t="s">
        <v>417</v>
      </c>
      <c r="B146" s="6" t="s">
        <v>397</v>
      </c>
      <c r="C146" s="6" t="n">
        <v>1550</v>
      </c>
      <c r="D146" s="6" t="n">
        <v>2001</v>
      </c>
      <c r="E146" s="6" t="n">
        <v>3</v>
      </c>
      <c r="F146" s="6" t="s">
        <v>261</v>
      </c>
      <c r="G146" s="6" t="s">
        <v>136</v>
      </c>
      <c r="H146" s="6" t="n">
        <v>1</v>
      </c>
      <c r="I146" s="23" t="n">
        <v>380000</v>
      </c>
      <c r="J146" s="23" t="n">
        <v>1000</v>
      </c>
      <c r="K146" s="6" t="n">
        <v>500</v>
      </c>
      <c r="L146" s="6"/>
      <c r="M146" s="6" t="n">
        <v>0</v>
      </c>
      <c r="N146" s="6" t="n">
        <v>0</v>
      </c>
      <c r="O146" s="6" t="n">
        <v>0</v>
      </c>
      <c r="P146" s="6" t="n">
        <v>0</v>
      </c>
      <c r="Q146" s="6" t="n">
        <v>0</v>
      </c>
      <c r="R146" s="6" t="s">
        <v>267</v>
      </c>
      <c r="S146" s="5"/>
      <c r="T146" s="32"/>
      <c r="U146" s="17"/>
      <c r="V146" s="33" t="n">
        <f aca="false">MATCH($B146,Home_Data!$B$5:$B$56,0)</f>
        <v>5</v>
      </c>
      <c r="W146" s="34" t="n">
        <f aca="false">MIN(MAX($I146,50000),3000000)</f>
        <v>380000</v>
      </c>
      <c r="X146" s="35" t="n">
        <f aca="false">IFERROR(MIN(3,MAX(1,MATCH(W146,Home_Data!$C$4:$F$4,1))),1)</f>
        <v>2</v>
      </c>
      <c r="Y146" s="36" t="n">
        <f aca="false">INDEX(Home_Data!$C$5:$F$56,V146,X146)</f>
        <v>1653</v>
      </c>
      <c r="Z146" s="36" t="n">
        <f aca="false">INDEX(Home_Data!$C$5:$F$56,V146,X146+1)</f>
        <v>2090</v>
      </c>
      <c r="AA146" s="36" t="n">
        <f aca="false">INDEX(Home_Data!$C$4:$F$4,X146)</f>
        <v>300000</v>
      </c>
      <c r="AB146" s="36" t="n">
        <f aca="false">INDEX(Home_Data!$C$4:$F$4,X146+1)</f>
        <v>400000</v>
      </c>
      <c r="AC146" s="36" t="n">
        <f aca="false">IF($I146&lt;200000,INDEX(Home_Data!$C$5:$F$56,V146,1)*(MAX($I146,Home_Data!$B$90)/200000)^Home_Data!$B$89,Y146*(W146/AA146)^(LN(Z146/Y146)/LN(AB146/AA146)))</f>
        <v>2004.39080375832</v>
      </c>
      <c r="AD146" s="37" t="n">
        <f aca="false">IF($K146=100,Home_Data!$B$67,IF($K146=500,Home_Data!$B$69,Home_Data!$B$68))</f>
        <v>1.005</v>
      </c>
      <c r="AE146" s="37" t="n">
        <f aca="false">IF($J146&lt;=Home_Data!$B$61,Home_Data!$B$64,IF($J146&gt;=Home_Data!$B$63,Home_Data!$B$66,IF($J146&lt;=Home_Data!$B$62,Home_Data!$B$64+(Home_Data!$B$65-Home_Data!$B$64)*(LN($J146)-LN(Home_Data!$B$61))/(LN(Home_Data!$B$62)-LN(Home_Data!$B$61)),Home_Data!$B$65+(Home_Data!$B$66-Home_Data!$B$65)*(LN($J146)-LN(Home_Data!$B$62))/(LN(Home_Data!$B$63)-LN(Home_Data!$B$62)))))</f>
        <v>1</v>
      </c>
      <c r="AF146" s="38" t="n">
        <f aca="false">IF($E146&gt;=20,Home_Data!$B$80,IF($E146&gt;=10,Home_Data!$B$79,1))</f>
        <v>1</v>
      </c>
      <c r="AG146" s="38" t="n">
        <f aca="false">IF($D146&lt;1960,Home_Data!$B$81,IF($D146&lt;1980,Home_Data!$B$82,IF($D146&gt;=2000,Home_Data!$B$83,1)))</f>
        <v>0.95</v>
      </c>
      <c r="AH146" s="38" t="n">
        <f aca="false">IF($F146="brick",Home_Data!$B$78,1)</f>
        <v>0.98</v>
      </c>
      <c r="AI146" s="38" t="n">
        <f aca="false">IF($G146="rental",Home_Data!$B$84,IF($G146="vacation",Home_Data!$B$85,1))</f>
        <v>1</v>
      </c>
      <c r="AJ146" s="38" t="n">
        <f aca="false">INDEX(Home_Data!$B$70:$B$73,MIN(3,MAX(0,$H146))+1)</f>
        <v>1.16</v>
      </c>
      <c r="AK146" s="38" t="n">
        <f aca="false">IF(INDEX(Home_Data!$H$5:$H$56,V146)="Yes",1,IF($L146="poor",Home_Data!$B$74,IF($L146="fair",Home_Data!$B$75,IF($L146="excellent",Home_Data!$B$77,Home_Data!$B$76))))</f>
        <v>1</v>
      </c>
      <c r="AL146" s="38" t="n">
        <f aca="false">IF(($N146=1),Home_Data!$B$86,1)*IF(($O146=1),Home_Data!$B$87,1)*IF(($P146=1),Home_Data!$B$88,1)</f>
        <v>1</v>
      </c>
      <c r="AM146" s="34" t="n">
        <f aca="false">AC146*AD146*AE146*AF146*AG146*AH146*AI146*AJ146*AK146*AL146</f>
        <v>2175.48520188896</v>
      </c>
      <c r="AN146" s="34" t="n">
        <f aca="false">AM146*EXP(-Car_Data!$B$123*Home_Data!$B$91)</f>
        <v>1584.45664589862</v>
      </c>
      <c r="AO146" s="34" t="n">
        <f aca="false">AM146*EXP(Car_Data!$B$123*Home_Data!$B$91)</f>
        <v>2986.97719239501</v>
      </c>
      <c r="AP146" s="39" t="str">
        <f aca="false">IF($U146&gt;0,IF(AND($U146&gt;=AN146,$U146&lt;=AO146),1,0),"")</f>
        <v/>
      </c>
      <c r="AQ146" s="40" t="str">
        <f aca="false">IF($U146&gt;0,$U146/AM146-1,"")</f>
        <v/>
      </c>
    </row>
    <row r="147" customFormat="false" ht="15" hidden="false" customHeight="false" outlineLevel="0" collapsed="false">
      <c r="A147" s="6" t="s">
        <v>418</v>
      </c>
      <c r="B147" s="6" t="s">
        <v>397</v>
      </c>
      <c r="C147" s="6" t="n">
        <v>3750</v>
      </c>
      <c r="D147" s="6" t="n">
        <v>1959</v>
      </c>
      <c r="E147" s="6" t="n">
        <v>9</v>
      </c>
      <c r="F147" s="6" t="s">
        <v>133</v>
      </c>
      <c r="G147" s="6" t="s">
        <v>136</v>
      </c>
      <c r="H147" s="6" t="n">
        <v>1</v>
      </c>
      <c r="I147" s="23" t="n">
        <v>900000</v>
      </c>
      <c r="J147" s="23" t="n">
        <v>1000</v>
      </c>
      <c r="K147" s="6" t="n">
        <v>300</v>
      </c>
      <c r="L147" s="6"/>
      <c r="M147" s="6" t="n">
        <v>0</v>
      </c>
      <c r="N147" s="6" t="n">
        <v>0</v>
      </c>
      <c r="O147" s="6" t="n">
        <v>0</v>
      </c>
      <c r="P147" s="6" t="n">
        <v>0</v>
      </c>
      <c r="Q147" s="6" t="n">
        <v>1</v>
      </c>
      <c r="R147" s="6" t="s">
        <v>403</v>
      </c>
      <c r="S147" s="5"/>
      <c r="T147" s="32"/>
      <c r="U147" s="17"/>
      <c r="V147" s="33" t="n">
        <f aca="false">MATCH($B147,Home_Data!$B$5:$B$56,0)</f>
        <v>5</v>
      </c>
      <c r="W147" s="34" t="n">
        <f aca="false">MIN(MAX($I147,50000),3000000)</f>
        <v>900000</v>
      </c>
      <c r="X147" s="35" t="n">
        <f aca="false">IFERROR(MIN(3,MAX(1,MATCH(W147,Home_Data!$C$4:$F$4,1))),1)</f>
        <v>3</v>
      </c>
      <c r="Y147" s="36" t="n">
        <f aca="false">INDEX(Home_Data!$C$5:$F$56,V147,X147)</f>
        <v>2090</v>
      </c>
      <c r="Z147" s="36" t="n">
        <f aca="false">INDEX(Home_Data!$C$5:$F$56,V147,X147+1)</f>
        <v>3092</v>
      </c>
      <c r="AA147" s="36" t="n">
        <f aca="false">INDEX(Home_Data!$C$4:$F$4,X147)</f>
        <v>400000</v>
      </c>
      <c r="AB147" s="36" t="n">
        <f aca="false">INDEX(Home_Data!$C$4:$F$4,X147+1)</f>
        <v>600000</v>
      </c>
      <c r="AC147" s="36" t="n">
        <f aca="false">IF($I147&lt;200000,INDEX(Home_Data!$C$5:$F$56,V147,1)*(MAX($I147,Home_Data!$B$90)/200000)^Home_Data!$B$89,Y147*(W147/AA147)^(LN(Z147/Y147)/LN(AB147/AA147)))</f>
        <v>4574.38468899522</v>
      </c>
      <c r="AD147" s="37" t="n">
        <f aca="false">IF($K147=100,Home_Data!$B$67,IF($K147=500,Home_Data!$B$69,Home_Data!$B$68))</f>
        <v>1</v>
      </c>
      <c r="AE147" s="37" t="n">
        <f aca="false">IF($J147&lt;=Home_Data!$B$61,Home_Data!$B$64,IF($J147&gt;=Home_Data!$B$63,Home_Data!$B$66,IF($J147&lt;=Home_Data!$B$62,Home_Data!$B$64+(Home_Data!$B$65-Home_Data!$B$64)*(LN($J147)-LN(Home_Data!$B$61))/(LN(Home_Data!$B$62)-LN(Home_Data!$B$61)),Home_Data!$B$65+(Home_Data!$B$66-Home_Data!$B$65)*(LN($J147)-LN(Home_Data!$B$62))/(LN(Home_Data!$B$63)-LN(Home_Data!$B$62)))))</f>
        <v>1</v>
      </c>
      <c r="AF147" s="38" t="n">
        <f aca="false">IF($E147&gt;=20,Home_Data!$B$80,IF($E147&gt;=10,Home_Data!$B$79,1))</f>
        <v>1</v>
      </c>
      <c r="AG147" s="38" t="n">
        <f aca="false">IF($D147&lt;1960,Home_Data!$B$81,IF($D147&lt;1980,Home_Data!$B$82,IF($D147&gt;=2000,Home_Data!$B$83,1)))</f>
        <v>1.18</v>
      </c>
      <c r="AH147" s="38" t="n">
        <f aca="false">IF($F147="brick",Home_Data!$B$78,1)</f>
        <v>1</v>
      </c>
      <c r="AI147" s="38" t="n">
        <f aca="false">IF($G147="rental",Home_Data!$B$84,IF($G147="vacation",Home_Data!$B$85,1))</f>
        <v>1</v>
      </c>
      <c r="AJ147" s="38" t="n">
        <f aca="false">INDEX(Home_Data!$B$70:$B$73,MIN(3,MAX(0,$H147))+1)</f>
        <v>1.16</v>
      </c>
      <c r="AK147" s="38" t="n">
        <f aca="false">IF(INDEX(Home_Data!$H$5:$H$56,V147)="Yes",1,IF($L147="poor",Home_Data!$B$74,IF($L147="fair",Home_Data!$B$75,IF($L147="excellent",Home_Data!$B$77,Home_Data!$B$76))))</f>
        <v>1</v>
      </c>
      <c r="AL147" s="38" t="n">
        <f aca="false">IF(($N147=1),Home_Data!$B$86,1)*IF(($O147=1),Home_Data!$B$87,1)*IF(($P147=1),Home_Data!$B$88,1)</f>
        <v>1</v>
      </c>
      <c r="AM147" s="34" t="n">
        <f aca="false">AC147*AD147*AE147*AF147*AG147*AH147*AI147*AJ147*AK147*AL147</f>
        <v>6261.41776229665</v>
      </c>
      <c r="AN147" s="34" t="n">
        <f aca="false">AM147*EXP(-Car_Data!$B$123*Home_Data!$B$91)</f>
        <v>4560.33669068595</v>
      </c>
      <c r="AO147" s="34" t="n">
        <f aca="false">AM147*EXP(Car_Data!$B$123*Home_Data!$B$91)</f>
        <v>8597.03023113998</v>
      </c>
      <c r="AP147" s="39" t="str">
        <f aca="false">IF($U147&gt;0,IF(AND($U147&gt;=AN147,$U147&lt;=AO147),1,0),"")</f>
        <v/>
      </c>
      <c r="AQ147" s="40" t="str">
        <f aca="false">IF($U147&gt;0,$U147/AM147-1,"")</f>
        <v/>
      </c>
    </row>
    <row r="148" customFormat="false" ht="15" hidden="false" customHeight="false" outlineLevel="0" collapsed="false">
      <c r="A148" s="6" t="s">
        <v>419</v>
      </c>
      <c r="B148" s="6" t="s">
        <v>397</v>
      </c>
      <c r="C148" s="6" t="n">
        <v>2650</v>
      </c>
      <c r="D148" s="6" t="n">
        <v>1987</v>
      </c>
      <c r="E148" s="6" t="n">
        <v>7</v>
      </c>
      <c r="F148" s="6" t="s">
        <v>133</v>
      </c>
      <c r="G148" s="6" t="s">
        <v>136</v>
      </c>
      <c r="H148" s="6" t="n">
        <v>0</v>
      </c>
      <c r="I148" s="23" t="n">
        <v>695000</v>
      </c>
      <c r="J148" s="23" t="n">
        <v>1000</v>
      </c>
      <c r="K148" s="6" t="n">
        <v>300</v>
      </c>
      <c r="L148" s="6"/>
      <c r="M148" s="6" t="n">
        <v>0</v>
      </c>
      <c r="N148" s="6" t="n">
        <v>0</v>
      </c>
      <c r="O148" s="6" t="n">
        <v>0</v>
      </c>
      <c r="P148" s="6" t="n">
        <v>0</v>
      </c>
      <c r="Q148" s="6" t="n">
        <v>1</v>
      </c>
      <c r="R148" s="6" t="s">
        <v>403</v>
      </c>
      <c r="S148" s="5"/>
      <c r="T148" s="32"/>
      <c r="U148" s="17"/>
      <c r="V148" s="33" t="n">
        <f aca="false">MATCH($B148,Home_Data!$B$5:$B$56,0)</f>
        <v>5</v>
      </c>
      <c r="W148" s="34" t="n">
        <f aca="false">MIN(MAX($I148,50000),3000000)</f>
        <v>695000</v>
      </c>
      <c r="X148" s="35" t="n">
        <f aca="false">IFERROR(MIN(3,MAX(1,MATCH(W148,Home_Data!$C$4:$F$4,1))),1)</f>
        <v>3</v>
      </c>
      <c r="Y148" s="36" t="n">
        <f aca="false">INDEX(Home_Data!$C$5:$F$56,V148,X148)</f>
        <v>2090</v>
      </c>
      <c r="Z148" s="36" t="n">
        <f aca="false">INDEX(Home_Data!$C$5:$F$56,V148,X148+1)</f>
        <v>3092</v>
      </c>
      <c r="AA148" s="36" t="n">
        <f aca="false">INDEX(Home_Data!$C$4:$F$4,X148)</f>
        <v>400000</v>
      </c>
      <c r="AB148" s="36" t="n">
        <f aca="false">INDEX(Home_Data!$C$4:$F$4,X148+1)</f>
        <v>600000</v>
      </c>
      <c r="AC148" s="36" t="n">
        <f aca="false">IF($I148&lt;200000,INDEX(Home_Data!$C$5:$F$56,V148,1)*(MAX($I148,Home_Data!$B$90)/200000)^Home_Data!$B$89,Y148*(W148/AA148)^(LN(Z148/Y148)/LN(AB148/AA148)))</f>
        <v>3563.68022077971</v>
      </c>
      <c r="AD148" s="37" t="n">
        <f aca="false">IF($K148=100,Home_Data!$B$67,IF($K148=500,Home_Data!$B$69,Home_Data!$B$68))</f>
        <v>1</v>
      </c>
      <c r="AE148" s="37" t="n">
        <f aca="false">IF($J148&lt;=Home_Data!$B$61,Home_Data!$B$64,IF($J148&gt;=Home_Data!$B$63,Home_Data!$B$66,IF($J148&lt;=Home_Data!$B$62,Home_Data!$B$64+(Home_Data!$B$65-Home_Data!$B$64)*(LN($J148)-LN(Home_Data!$B$61))/(LN(Home_Data!$B$62)-LN(Home_Data!$B$61)),Home_Data!$B$65+(Home_Data!$B$66-Home_Data!$B$65)*(LN($J148)-LN(Home_Data!$B$62))/(LN(Home_Data!$B$63)-LN(Home_Data!$B$62)))))</f>
        <v>1</v>
      </c>
      <c r="AF148" s="38" t="n">
        <f aca="false">IF($E148&gt;=20,Home_Data!$B$80,IF($E148&gt;=10,Home_Data!$B$79,1))</f>
        <v>1</v>
      </c>
      <c r="AG148" s="38" t="n">
        <f aca="false">IF($D148&lt;1960,Home_Data!$B$81,IF($D148&lt;1980,Home_Data!$B$82,IF($D148&gt;=2000,Home_Data!$B$83,1)))</f>
        <v>1</v>
      </c>
      <c r="AH148" s="38" t="n">
        <f aca="false">IF($F148="brick",Home_Data!$B$78,1)</f>
        <v>1</v>
      </c>
      <c r="AI148" s="38" t="n">
        <f aca="false">IF($G148="rental",Home_Data!$B$84,IF($G148="vacation",Home_Data!$B$85,1))</f>
        <v>1</v>
      </c>
      <c r="AJ148" s="38" t="n">
        <f aca="false">INDEX(Home_Data!$B$70:$B$73,MIN(3,MAX(0,$H148))+1)</f>
        <v>1</v>
      </c>
      <c r="AK148" s="38" t="n">
        <f aca="false">IF(INDEX(Home_Data!$H$5:$H$56,V148)="Yes",1,IF($L148="poor",Home_Data!$B$74,IF($L148="fair",Home_Data!$B$75,IF($L148="excellent",Home_Data!$B$77,Home_Data!$B$76))))</f>
        <v>1</v>
      </c>
      <c r="AL148" s="38" t="n">
        <f aca="false">IF(($N148=1),Home_Data!$B$86,1)*IF(($O148=1),Home_Data!$B$87,1)*IF(($P148=1),Home_Data!$B$88,1)</f>
        <v>1</v>
      </c>
      <c r="AM148" s="34" t="n">
        <f aca="false">AC148*AD148*AE148*AF148*AG148*AH148*AI148*AJ148*AK148*AL148</f>
        <v>3563.68022077971</v>
      </c>
      <c r="AN148" s="34" t="n">
        <f aca="false">AM148*EXP(-Car_Data!$B$123*Home_Data!$B$91)</f>
        <v>2595.51147705764</v>
      </c>
      <c r="AO148" s="34" t="n">
        <f aca="false">AM148*EXP(Car_Data!$B$123*Home_Data!$B$91)</f>
        <v>4892.99193173803</v>
      </c>
      <c r="AP148" s="39" t="str">
        <f aca="false">IF($U148&gt;0,IF(AND($U148&gt;=AN148,$U148&lt;=AO148),1,0),"")</f>
        <v/>
      </c>
      <c r="AQ148" s="40" t="str">
        <f aca="false">IF($U148&gt;0,$U148/AM148-1,"")</f>
        <v/>
      </c>
    </row>
    <row r="149" customFormat="false" ht="15" hidden="false" customHeight="false" outlineLevel="0" collapsed="false">
      <c r="A149" s="6" t="s">
        <v>420</v>
      </c>
      <c r="B149" s="6" t="s">
        <v>397</v>
      </c>
      <c r="C149" s="6" t="n">
        <v>2750</v>
      </c>
      <c r="D149" s="6" t="n">
        <v>1972</v>
      </c>
      <c r="E149" s="6" t="n">
        <v>5</v>
      </c>
      <c r="F149" s="6" t="s">
        <v>133</v>
      </c>
      <c r="G149" s="6" t="s">
        <v>136</v>
      </c>
      <c r="H149" s="6" t="n">
        <v>0</v>
      </c>
      <c r="I149" s="23" t="n">
        <v>650000</v>
      </c>
      <c r="J149" s="23" t="n">
        <v>2500</v>
      </c>
      <c r="K149" s="6" t="n">
        <v>100</v>
      </c>
      <c r="L149" s="6"/>
      <c r="M149" s="6" t="n">
        <v>0</v>
      </c>
      <c r="N149" s="6" t="n">
        <v>0</v>
      </c>
      <c r="O149" s="6" t="n">
        <v>0</v>
      </c>
      <c r="P149" s="6" t="n">
        <v>0</v>
      </c>
      <c r="Q149" s="6" t="n">
        <v>0</v>
      </c>
      <c r="R149" s="6" t="s">
        <v>267</v>
      </c>
      <c r="S149" s="5"/>
      <c r="T149" s="32"/>
      <c r="U149" s="17"/>
      <c r="V149" s="33" t="n">
        <f aca="false">MATCH($B149,Home_Data!$B$5:$B$56,0)</f>
        <v>5</v>
      </c>
      <c r="W149" s="34" t="n">
        <f aca="false">MIN(MAX($I149,50000),3000000)</f>
        <v>650000</v>
      </c>
      <c r="X149" s="35" t="n">
        <f aca="false">IFERROR(MIN(3,MAX(1,MATCH(W149,Home_Data!$C$4:$F$4,1))),1)</f>
        <v>3</v>
      </c>
      <c r="Y149" s="36" t="n">
        <f aca="false">INDEX(Home_Data!$C$5:$F$56,V149,X149)</f>
        <v>2090</v>
      </c>
      <c r="Z149" s="36" t="n">
        <f aca="false">INDEX(Home_Data!$C$5:$F$56,V149,X149+1)</f>
        <v>3092</v>
      </c>
      <c r="AA149" s="36" t="n">
        <f aca="false">INDEX(Home_Data!$C$4:$F$4,X149)</f>
        <v>400000</v>
      </c>
      <c r="AB149" s="36" t="n">
        <f aca="false">INDEX(Home_Data!$C$4:$F$4,X149+1)</f>
        <v>600000</v>
      </c>
      <c r="AC149" s="36" t="n">
        <f aca="false">IF($I149&lt;200000,INDEX(Home_Data!$C$5:$F$56,V149,1)*(MAX($I149,Home_Data!$B$90)/200000)^Home_Data!$B$89,Y149*(W149/AA149)^(LN(Z149/Y149)/LN(AB149/AA149)))</f>
        <v>3340.54646458167</v>
      </c>
      <c r="AD149" s="37" t="n">
        <f aca="false">IF($K149=100,Home_Data!$B$67,IF($K149=500,Home_Data!$B$69,Home_Data!$B$68))</f>
        <v>0.991</v>
      </c>
      <c r="AE149" s="37" t="n">
        <f aca="false">IF($J149&lt;=Home_Data!$B$61,Home_Data!$B$64,IF($J149&gt;=Home_Data!$B$63,Home_Data!$B$66,IF($J149&lt;=Home_Data!$B$62,Home_Data!$B$64+(Home_Data!$B$65-Home_Data!$B$64)*(LN($J149)-LN(Home_Data!$B$61))/(LN(Home_Data!$B$62)-LN(Home_Data!$B$61)),Home_Data!$B$65+(Home_Data!$B$66-Home_Data!$B$65)*(LN($J149)-LN(Home_Data!$B$62))/(LN(Home_Data!$B$63)-LN(Home_Data!$B$62)))))</f>
        <v>0.91</v>
      </c>
      <c r="AF149" s="38" t="n">
        <f aca="false">IF($E149&gt;=20,Home_Data!$B$80,IF($E149&gt;=10,Home_Data!$B$79,1))</f>
        <v>1</v>
      </c>
      <c r="AG149" s="38" t="n">
        <f aca="false">IF($D149&lt;1960,Home_Data!$B$81,IF($D149&lt;1980,Home_Data!$B$82,IF($D149&gt;=2000,Home_Data!$B$83,1)))</f>
        <v>1.08</v>
      </c>
      <c r="AH149" s="38" t="n">
        <f aca="false">IF($F149="brick",Home_Data!$B$78,1)</f>
        <v>1</v>
      </c>
      <c r="AI149" s="38" t="n">
        <f aca="false">IF($G149="rental",Home_Data!$B$84,IF($G149="vacation",Home_Data!$B$85,1))</f>
        <v>1</v>
      </c>
      <c r="AJ149" s="38" t="n">
        <f aca="false">INDEX(Home_Data!$B$70:$B$73,MIN(3,MAX(0,$H149))+1)</f>
        <v>1</v>
      </c>
      <c r="AK149" s="38" t="n">
        <f aca="false">IF(INDEX(Home_Data!$H$5:$H$56,V149)="Yes",1,IF($L149="poor",Home_Data!$B$74,IF($L149="fair",Home_Data!$B$75,IF($L149="excellent",Home_Data!$B$77,Home_Data!$B$76))))</f>
        <v>1</v>
      </c>
      <c r="AL149" s="38" t="n">
        <f aca="false">IF(($N149=1),Home_Data!$B$86,1)*IF(($O149=1),Home_Data!$B$87,1)*IF(($P149=1),Home_Data!$B$88,1)</f>
        <v>1</v>
      </c>
      <c r="AM149" s="34" t="n">
        <f aca="false">AC149*AD149*AE149*AF149*AG149*AH149*AI149*AJ149*AK149*AL149</f>
        <v>3253.54126380234</v>
      </c>
      <c r="AN149" s="34" t="n">
        <f aca="false">AM149*EXP(-Car_Data!$B$123*Home_Data!$B$91)</f>
        <v>2369.63003639872</v>
      </c>
      <c r="AO149" s="34" t="n">
        <f aca="false">AM149*EXP(Car_Data!$B$123*Home_Data!$B$91)</f>
        <v>4467.16601016422</v>
      </c>
      <c r="AP149" s="39" t="str">
        <f aca="false">IF($U149&gt;0,IF(AND($U149&gt;=AN149,$U149&lt;=AO149),1,0),"")</f>
        <v/>
      </c>
      <c r="AQ149" s="40" t="str">
        <f aca="false">IF($U149&gt;0,$U149/AM149-1,"")</f>
        <v/>
      </c>
    </row>
    <row r="150" customFormat="false" ht="15" hidden="false" customHeight="false" outlineLevel="0" collapsed="false">
      <c r="A150" s="6" t="s">
        <v>421</v>
      </c>
      <c r="B150" s="6" t="s">
        <v>397</v>
      </c>
      <c r="C150" s="6" t="n">
        <v>1150</v>
      </c>
      <c r="D150" s="6" t="n">
        <v>2012</v>
      </c>
      <c r="E150" s="6" t="n">
        <v>10</v>
      </c>
      <c r="F150" s="6" t="s">
        <v>133</v>
      </c>
      <c r="G150" s="6" t="s">
        <v>136</v>
      </c>
      <c r="H150" s="6" t="n">
        <v>0</v>
      </c>
      <c r="I150" s="23" t="n">
        <v>265000</v>
      </c>
      <c r="J150" s="23" t="n">
        <v>2500</v>
      </c>
      <c r="K150" s="6" t="n">
        <v>300</v>
      </c>
      <c r="L150" s="6"/>
      <c r="M150" s="6" t="n">
        <v>0</v>
      </c>
      <c r="N150" s="6" t="n">
        <v>0</v>
      </c>
      <c r="O150" s="6" t="n">
        <v>1</v>
      </c>
      <c r="P150" s="6" t="n">
        <v>0</v>
      </c>
      <c r="Q150" s="6" t="n">
        <v>0</v>
      </c>
      <c r="R150" s="6" t="s">
        <v>279</v>
      </c>
      <c r="S150" s="5"/>
      <c r="T150" s="32"/>
      <c r="U150" s="17"/>
      <c r="V150" s="33" t="n">
        <f aca="false">MATCH($B150,Home_Data!$B$5:$B$56,0)</f>
        <v>5</v>
      </c>
      <c r="W150" s="34" t="n">
        <f aca="false">MIN(MAX($I150,50000),3000000)</f>
        <v>265000</v>
      </c>
      <c r="X150" s="35" t="n">
        <f aca="false">IFERROR(MIN(3,MAX(1,MATCH(W150,Home_Data!$C$4:$F$4,1))),1)</f>
        <v>1</v>
      </c>
      <c r="Y150" s="36" t="n">
        <f aca="false">INDEX(Home_Data!$C$5:$F$56,V150,X150)</f>
        <v>1244</v>
      </c>
      <c r="Z150" s="36" t="n">
        <f aca="false">INDEX(Home_Data!$C$5:$F$56,V150,X150+1)</f>
        <v>1653</v>
      </c>
      <c r="AA150" s="36" t="n">
        <f aca="false">INDEX(Home_Data!$C$4:$F$4,X150)</f>
        <v>200000</v>
      </c>
      <c r="AB150" s="36" t="n">
        <f aca="false">INDEX(Home_Data!$C$4:$F$4,X150+1)</f>
        <v>300000</v>
      </c>
      <c r="AC150" s="36" t="n">
        <f aca="false">IF($I150&lt;200000,INDEX(Home_Data!$C$5:$F$56,V150,1)*(MAX($I150,Home_Data!$B$90)/200000)^Home_Data!$B$89,Y150*(W150/AA150)^(LN(Z150/Y150)/LN(AB150/AA150)))</f>
        <v>1515.31313245599</v>
      </c>
      <c r="AD150" s="37" t="n">
        <f aca="false">IF($K150=100,Home_Data!$B$67,IF($K150=500,Home_Data!$B$69,Home_Data!$B$68))</f>
        <v>1</v>
      </c>
      <c r="AE150" s="37" t="n">
        <f aca="false">IF($J150&lt;=Home_Data!$B$61,Home_Data!$B$64,IF($J150&gt;=Home_Data!$B$63,Home_Data!$B$66,IF($J150&lt;=Home_Data!$B$62,Home_Data!$B$64+(Home_Data!$B$65-Home_Data!$B$64)*(LN($J150)-LN(Home_Data!$B$61))/(LN(Home_Data!$B$62)-LN(Home_Data!$B$61)),Home_Data!$B$65+(Home_Data!$B$66-Home_Data!$B$65)*(LN($J150)-LN(Home_Data!$B$62))/(LN(Home_Data!$B$63)-LN(Home_Data!$B$62)))))</f>
        <v>0.91</v>
      </c>
      <c r="AF150" s="38" t="n">
        <f aca="false">IF($E150&gt;=20,Home_Data!$B$80,IF($E150&gt;=10,Home_Data!$B$79,1))</f>
        <v>1.1</v>
      </c>
      <c r="AG150" s="38" t="n">
        <f aca="false">IF($D150&lt;1960,Home_Data!$B$81,IF($D150&lt;1980,Home_Data!$B$82,IF($D150&gt;=2000,Home_Data!$B$83,1)))</f>
        <v>0.95</v>
      </c>
      <c r="AH150" s="38" t="n">
        <f aca="false">IF($F150="brick",Home_Data!$B$78,1)</f>
        <v>1</v>
      </c>
      <c r="AI150" s="38" t="n">
        <f aca="false">IF($G150="rental",Home_Data!$B$84,IF($G150="vacation",Home_Data!$B$85,1))</f>
        <v>1</v>
      </c>
      <c r="AJ150" s="38" t="n">
        <f aca="false">INDEX(Home_Data!$B$70:$B$73,MIN(3,MAX(0,$H150))+1)</f>
        <v>1</v>
      </c>
      <c r="AK150" s="38" t="n">
        <f aca="false">IF(INDEX(Home_Data!$H$5:$H$56,V150)="Yes",1,IF($L150="poor",Home_Data!$B$74,IF($L150="fair",Home_Data!$B$75,IF($L150="excellent",Home_Data!$B$77,Home_Data!$B$76))))</f>
        <v>1</v>
      </c>
      <c r="AL150" s="38" t="n">
        <f aca="false">IF(($N150=1),Home_Data!$B$86,1)*IF(($O150=1),Home_Data!$B$87,1)*IF(($P150=1),Home_Data!$B$88,1)</f>
        <v>1.15</v>
      </c>
      <c r="AM150" s="34" t="n">
        <f aca="false">AC150*AD150*AE150*AF150*AG150*AH150*AI150*AJ150*AK150*AL150</f>
        <v>1657.13507680538</v>
      </c>
      <c r="AN150" s="34" t="n">
        <f aca="false">AM150*EXP(-Car_Data!$B$123*Home_Data!$B$91)</f>
        <v>1206.93015209488</v>
      </c>
      <c r="AO150" s="34" t="n">
        <f aca="false">AM150*EXP(Car_Data!$B$123*Home_Data!$B$91)</f>
        <v>2275.2738905498</v>
      </c>
      <c r="AP150" s="39" t="str">
        <f aca="false">IF($U150&gt;0,IF(AND($U150&gt;=AN150,$U150&lt;=AO150),1,0),"")</f>
        <v/>
      </c>
      <c r="AQ150" s="40" t="str">
        <f aca="false">IF($U150&gt;0,$U150/AM150-1,"")</f>
        <v/>
      </c>
    </row>
    <row r="151" customFormat="false" ht="15" hidden="false" customHeight="false" outlineLevel="0" collapsed="false">
      <c r="A151" s="6" t="s">
        <v>422</v>
      </c>
      <c r="B151" s="6" t="s">
        <v>397</v>
      </c>
      <c r="C151" s="6" t="n">
        <v>3550</v>
      </c>
      <c r="D151" s="6" t="n">
        <v>1995</v>
      </c>
      <c r="E151" s="6" t="n">
        <v>7</v>
      </c>
      <c r="F151" s="6" t="s">
        <v>133</v>
      </c>
      <c r="G151" s="6" t="s">
        <v>136</v>
      </c>
      <c r="H151" s="6" t="n">
        <v>1</v>
      </c>
      <c r="I151" s="23" t="n">
        <v>825000</v>
      </c>
      <c r="J151" s="23" t="n">
        <v>5000</v>
      </c>
      <c r="K151" s="6" t="n">
        <v>300</v>
      </c>
      <c r="L151" s="6"/>
      <c r="M151" s="6" t="n">
        <v>0</v>
      </c>
      <c r="N151" s="6" t="n">
        <v>0</v>
      </c>
      <c r="O151" s="6" t="n">
        <v>0</v>
      </c>
      <c r="P151" s="6" t="n">
        <v>0</v>
      </c>
      <c r="Q151" s="6" t="n">
        <v>0</v>
      </c>
      <c r="R151" s="6" t="s">
        <v>267</v>
      </c>
      <c r="S151" s="5"/>
      <c r="T151" s="32"/>
      <c r="U151" s="17"/>
      <c r="V151" s="33" t="n">
        <f aca="false">MATCH($B151,Home_Data!$B$5:$B$56,0)</f>
        <v>5</v>
      </c>
      <c r="W151" s="34" t="n">
        <f aca="false">MIN(MAX($I151,50000),3000000)</f>
        <v>825000</v>
      </c>
      <c r="X151" s="35" t="n">
        <f aca="false">IFERROR(MIN(3,MAX(1,MATCH(W151,Home_Data!$C$4:$F$4,1))),1)</f>
        <v>3</v>
      </c>
      <c r="Y151" s="36" t="n">
        <f aca="false">INDEX(Home_Data!$C$5:$F$56,V151,X151)</f>
        <v>2090</v>
      </c>
      <c r="Z151" s="36" t="n">
        <f aca="false">INDEX(Home_Data!$C$5:$F$56,V151,X151+1)</f>
        <v>3092</v>
      </c>
      <c r="AA151" s="36" t="n">
        <f aca="false">INDEX(Home_Data!$C$4:$F$4,X151)</f>
        <v>400000</v>
      </c>
      <c r="AB151" s="36" t="n">
        <f aca="false">INDEX(Home_Data!$C$4:$F$4,X151+1)</f>
        <v>600000</v>
      </c>
      <c r="AC151" s="36" t="n">
        <f aca="false">IF($I151&lt;200000,INDEX(Home_Data!$C$5:$F$56,V151,1)*(MAX($I151,Home_Data!$B$90)/200000)^Home_Data!$B$89,Y151*(W151/AA151)^(LN(Z151/Y151)/LN(AB151/AA151)))</f>
        <v>4205.63216867095</v>
      </c>
      <c r="AD151" s="37" t="n">
        <f aca="false">IF($K151=100,Home_Data!$B$67,IF($K151=500,Home_Data!$B$69,Home_Data!$B$68))</f>
        <v>1</v>
      </c>
      <c r="AE151" s="37" t="n">
        <f aca="false">IF($J151&lt;=Home_Data!$B$61,Home_Data!$B$64,IF($J151&gt;=Home_Data!$B$63,Home_Data!$B$66,IF($J151&lt;=Home_Data!$B$62,Home_Data!$B$64+(Home_Data!$B$65-Home_Data!$B$64)*(LN($J151)-LN(Home_Data!$B$61))/(LN(Home_Data!$B$62)-LN(Home_Data!$B$61)),Home_Data!$B$65+(Home_Data!$B$66-Home_Data!$B$65)*(LN($J151)-LN(Home_Data!$B$62))/(LN(Home_Data!$B$63)-LN(Home_Data!$B$62)))))</f>
        <v>0.84</v>
      </c>
      <c r="AF151" s="38" t="n">
        <f aca="false">IF($E151&gt;=20,Home_Data!$B$80,IF($E151&gt;=10,Home_Data!$B$79,1))</f>
        <v>1</v>
      </c>
      <c r="AG151" s="38" t="n">
        <f aca="false">IF($D151&lt;1960,Home_Data!$B$81,IF($D151&lt;1980,Home_Data!$B$82,IF($D151&gt;=2000,Home_Data!$B$83,1)))</f>
        <v>1</v>
      </c>
      <c r="AH151" s="38" t="n">
        <f aca="false">IF($F151="brick",Home_Data!$B$78,1)</f>
        <v>1</v>
      </c>
      <c r="AI151" s="38" t="n">
        <f aca="false">IF($G151="rental",Home_Data!$B$84,IF($G151="vacation",Home_Data!$B$85,1))</f>
        <v>1</v>
      </c>
      <c r="AJ151" s="38" t="n">
        <f aca="false">INDEX(Home_Data!$B$70:$B$73,MIN(3,MAX(0,$H151))+1)</f>
        <v>1.16</v>
      </c>
      <c r="AK151" s="38" t="n">
        <f aca="false">IF(INDEX(Home_Data!$H$5:$H$56,V151)="Yes",1,IF($L151="poor",Home_Data!$B$74,IF($L151="fair",Home_Data!$B$75,IF($L151="excellent",Home_Data!$B$77,Home_Data!$B$76))))</f>
        <v>1</v>
      </c>
      <c r="AL151" s="38" t="n">
        <f aca="false">IF(($N151=1),Home_Data!$B$86,1)*IF(($O151=1),Home_Data!$B$87,1)*IF(($P151=1),Home_Data!$B$88,1)</f>
        <v>1</v>
      </c>
      <c r="AM151" s="34" t="n">
        <f aca="false">AC151*AD151*AE151*AF151*AG151*AH151*AI151*AJ151*AK151*AL151</f>
        <v>4097.96798515297</v>
      </c>
      <c r="AN151" s="34" t="n">
        <f aca="false">AM151*EXP(-Car_Data!$B$123*Home_Data!$B$91)</f>
        <v>2984.64572552252</v>
      </c>
      <c r="AO151" s="34" t="n">
        <f aca="false">AM151*EXP(Car_Data!$B$123*Home_Data!$B$91)</f>
        <v>5626.57787613928</v>
      </c>
      <c r="AP151" s="39" t="str">
        <f aca="false">IF($U151&gt;0,IF(AND($U151&gt;=AN151,$U151&lt;=AO151),1,0),"")</f>
        <v/>
      </c>
      <c r="AQ151" s="40" t="str">
        <f aca="false">IF($U151&gt;0,$U151/AM151-1,"")</f>
        <v/>
      </c>
    </row>
    <row r="152" customFormat="false" ht="15" hidden="false" customHeight="false" outlineLevel="0" collapsed="false">
      <c r="A152" s="6" t="s">
        <v>423</v>
      </c>
      <c r="B152" s="6" t="s">
        <v>397</v>
      </c>
      <c r="C152" s="6" t="n">
        <v>3600</v>
      </c>
      <c r="D152" s="6" t="n">
        <v>2004</v>
      </c>
      <c r="E152" s="6" t="n">
        <v>20</v>
      </c>
      <c r="F152" s="6" t="s">
        <v>133</v>
      </c>
      <c r="G152" s="6" t="s">
        <v>136</v>
      </c>
      <c r="H152" s="6" t="n">
        <v>0</v>
      </c>
      <c r="I152" s="23" t="n">
        <v>760000</v>
      </c>
      <c r="J152" s="23" t="n">
        <v>2500</v>
      </c>
      <c r="K152" s="6" t="n">
        <v>100</v>
      </c>
      <c r="L152" s="6"/>
      <c r="M152" s="6" t="n">
        <v>0</v>
      </c>
      <c r="N152" s="6" t="n">
        <v>0</v>
      </c>
      <c r="O152" s="6" t="n">
        <v>0</v>
      </c>
      <c r="P152" s="6" t="n">
        <v>0</v>
      </c>
      <c r="Q152" s="6" t="n">
        <v>1</v>
      </c>
      <c r="R152" s="6" t="s">
        <v>403</v>
      </c>
      <c r="S152" s="5"/>
      <c r="T152" s="32"/>
      <c r="U152" s="17"/>
      <c r="V152" s="33" t="n">
        <f aca="false">MATCH($B152,Home_Data!$B$5:$B$56,0)</f>
        <v>5</v>
      </c>
      <c r="W152" s="34" t="n">
        <f aca="false">MIN(MAX($I152,50000),3000000)</f>
        <v>760000</v>
      </c>
      <c r="X152" s="35" t="n">
        <f aca="false">IFERROR(MIN(3,MAX(1,MATCH(W152,Home_Data!$C$4:$F$4,1))),1)</f>
        <v>3</v>
      </c>
      <c r="Y152" s="36" t="n">
        <f aca="false">INDEX(Home_Data!$C$5:$F$56,V152,X152)</f>
        <v>2090</v>
      </c>
      <c r="Z152" s="36" t="n">
        <f aca="false">INDEX(Home_Data!$C$5:$F$56,V152,X152+1)</f>
        <v>3092</v>
      </c>
      <c r="AA152" s="36" t="n">
        <f aca="false">INDEX(Home_Data!$C$4:$F$4,X152)</f>
        <v>400000</v>
      </c>
      <c r="AB152" s="36" t="n">
        <f aca="false">INDEX(Home_Data!$C$4:$F$4,X152+1)</f>
        <v>600000</v>
      </c>
      <c r="AC152" s="36" t="n">
        <f aca="false">IF($I152&lt;200000,INDEX(Home_Data!$C$5:$F$56,V152,1)*(MAX($I152,Home_Data!$B$90)/200000)^Home_Data!$B$89,Y152*(W152/AA152)^(LN(Z152/Y152)/LN(AB152/AA152)))</f>
        <v>3885.12431206961</v>
      </c>
      <c r="AD152" s="37" t="n">
        <f aca="false">IF($K152=100,Home_Data!$B$67,IF($K152=500,Home_Data!$B$69,Home_Data!$B$68))</f>
        <v>0.991</v>
      </c>
      <c r="AE152" s="37" t="n">
        <f aca="false">IF($J152&lt;=Home_Data!$B$61,Home_Data!$B$64,IF($J152&gt;=Home_Data!$B$63,Home_Data!$B$66,IF($J152&lt;=Home_Data!$B$62,Home_Data!$B$64+(Home_Data!$B$65-Home_Data!$B$64)*(LN($J152)-LN(Home_Data!$B$61))/(LN(Home_Data!$B$62)-LN(Home_Data!$B$61)),Home_Data!$B$65+(Home_Data!$B$66-Home_Data!$B$65)*(LN($J152)-LN(Home_Data!$B$62))/(LN(Home_Data!$B$63)-LN(Home_Data!$B$62)))))</f>
        <v>0.91</v>
      </c>
      <c r="AF152" s="38" t="n">
        <f aca="false">IF($E152&gt;=20,Home_Data!$B$80,IF($E152&gt;=10,Home_Data!$B$79,1))</f>
        <v>1.3</v>
      </c>
      <c r="AG152" s="38" t="n">
        <f aca="false">IF($D152&lt;1960,Home_Data!$B$81,IF($D152&lt;1980,Home_Data!$B$82,IF($D152&gt;=2000,Home_Data!$B$83,1)))</f>
        <v>0.95</v>
      </c>
      <c r="AH152" s="38" t="n">
        <f aca="false">IF($F152="brick",Home_Data!$B$78,1)</f>
        <v>1</v>
      </c>
      <c r="AI152" s="38" t="n">
        <f aca="false">IF($G152="rental",Home_Data!$B$84,IF($G152="vacation",Home_Data!$B$85,1))</f>
        <v>1</v>
      </c>
      <c r="AJ152" s="38" t="n">
        <f aca="false">INDEX(Home_Data!$B$70:$B$73,MIN(3,MAX(0,$H152))+1)</f>
        <v>1</v>
      </c>
      <c r="AK152" s="38" t="n">
        <f aca="false">IF(INDEX(Home_Data!$H$5:$H$56,V152)="Yes",1,IF($L152="poor",Home_Data!$B$74,IF($L152="fair",Home_Data!$B$75,IF($L152="excellent",Home_Data!$B$77,Home_Data!$B$76))))</f>
        <v>1</v>
      </c>
      <c r="AL152" s="38" t="n">
        <f aca="false">IF(($N152=1),Home_Data!$B$86,1)*IF(($O152=1),Home_Data!$B$87,1)*IF(($P152=1),Home_Data!$B$88,1)</f>
        <v>1</v>
      </c>
      <c r="AM152" s="34" t="n">
        <f aca="false">AC152*AD152*AE152*AF152*AG152*AH152*AI152*AJ152*AK152*AL152</f>
        <v>4327.00028549636</v>
      </c>
      <c r="AN152" s="34" t="n">
        <f aca="false">AM152*EXP(-Car_Data!$B$123*Home_Data!$B$91)</f>
        <v>3151.45529521733</v>
      </c>
      <c r="AO152" s="34" t="n">
        <f aca="false">AM152*EXP(Car_Data!$B$123*Home_Data!$B$91)</f>
        <v>5941.04301561872</v>
      </c>
      <c r="AP152" s="39" t="str">
        <f aca="false">IF($U152&gt;0,IF(AND($U152&gt;=AN152,$U152&lt;=AO152),1,0),"")</f>
        <v/>
      </c>
      <c r="AQ152" s="40" t="str">
        <f aca="false">IF($U152&gt;0,$U152/AM152-1,"")</f>
        <v/>
      </c>
    </row>
    <row r="153" customFormat="false" ht="15" hidden="false" customHeight="false" outlineLevel="0" collapsed="false">
      <c r="A153" s="6" t="s">
        <v>424</v>
      </c>
      <c r="B153" s="6" t="s">
        <v>397</v>
      </c>
      <c r="C153" s="6" t="n">
        <v>2700</v>
      </c>
      <c r="D153" s="6" t="n">
        <v>1981</v>
      </c>
      <c r="E153" s="6" t="n">
        <v>12</v>
      </c>
      <c r="F153" s="6" t="s">
        <v>133</v>
      </c>
      <c r="G153" s="6" t="s">
        <v>136</v>
      </c>
      <c r="H153" s="6" t="n">
        <v>1</v>
      </c>
      <c r="I153" s="23" t="n">
        <v>670000</v>
      </c>
      <c r="J153" s="23" t="n">
        <v>1000</v>
      </c>
      <c r="K153" s="6" t="n">
        <v>300</v>
      </c>
      <c r="L153" s="6"/>
      <c r="M153" s="6" t="n">
        <v>0</v>
      </c>
      <c r="N153" s="6" t="n">
        <v>0</v>
      </c>
      <c r="O153" s="6" t="n">
        <v>0</v>
      </c>
      <c r="P153" s="6" t="n">
        <v>0</v>
      </c>
      <c r="Q153" s="6" t="n">
        <v>0</v>
      </c>
      <c r="R153" s="6" t="s">
        <v>267</v>
      </c>
      <c r="S153" s="5"/>
      <c r="T153" s="32"/>
      <c r="U153" s="17"/>
      <c r="V153" s="33" t="n">
        <f aca="false">MATCH($B153,Home_Data!$B$5:$B$56,0)</f>
        <v>5</v>
      </c>
      <c r="W153" s="34" t="n">
        <f aca="false">MIN(MAX($I153,50000),3000000)</f>
        <v>670000</v>
      </c>
      <c r="X153" s="35" t="n">
        <f aca="false">IFERROR(MIN(3,MAX(1,MATCH(W153,Home_Data!$C$4:$F$4,1))),1)</f>
        <v>3</v>
      </c>
      <c r="Y153" s="36" t="n">
        <f aca="false">INDEX(Home_Data!$C$5:$F$56,V153,X153)</f>
        <v>2090</v>
      </c>
      <c r="Z153" s="36" t="n">
        <f aca="false">INDEX(Home_Data!$C$5:$F$56,V153,X153+1)</f>
        <v>3092</v>
      </c>
      <c r="AA153" s="36" t="n">
        <f aca="false">INDEX(Home_Data!$C$4:$F$4,X153)</f>
        <v>400000</v>
      </c>
      <c r="AB153" s="36" t="n">
        <f aca="false">INDEX(Home_Data!$C$4:$F$4,X153+1)</f>
        <v>600000</v>
      </c>
      <c r="AC153" s="36" t="n">
        <f aca="false">IF($I153&lt;200000,INDEX(Home_Data!$C$5:$F$56,V153,1)*(MAX($I153,Home_Data!$B$90)/200000)^Home_Data!$B$89,Y153*(W153/AA153)^(LN(Z153/Y153)/LN(AB153/AA153)))</f>
        <v>3439.77990297987</v>
      </c>
      <c r="AD153" s="37" t="n">
        <f aca="false">IF($K153=100,Home_Data!$B$67,IF($K153=500,Home_Data!$B$69,Home_Data!$B$68))</f>
        <v>1</v>
      </c>
      <c r="AE153" s="37" t="n">
        <f aca="false">IF($J153&lt;=Home_Data!$B$61,Home_Data!$B$64,IF($J153&gt;=Home_Data!$B$63,Home_Data!$B$66,IF($J153&lt;=Home_Data!$B$62,Home_Data!$B$64+(Home_Data!$B$65-Home_Data!$B$64)*(LN($J153)-LN(Home_Data!$B$61))/(LN(Home_Data!$B$62)-LN(Home_Data!$B$61)),Home_Data!$B$65+(Home_Data!$B$66-Home_Data!$B$65)*(LN($J153)-LN(Home_Data!$B$62))/(LN(Home_Data!$B$63)-LN(Home_Data!$B$62)))))</f>
        <v>1</v>
      </c>
      <c r="AF153" s="38" t="n">
        <f aca="false">IF($E153&gt;=20,Home_Data!$B$80,IF($E153&gt;=10,Home_Data!$B$79,1))</f>
        <v>1.1</v>
      </c>
      <c r="AG153" s="38" t="n">
        <f aca="false">IF($D153&lt;1960,Home_Data!$B$81,IF($D153&lt;1980,Home_Data!$B$82,IF($D153&gt;=2000,Home_Data!$B$83,1)))</f>
        <v>1</v>
      </c>
      <c r="AH153" s="38" t="n">
        <f aca="false">IF($F153="brick",Home_Data!$B$78,1)</f>
        <v>1</v>
      </c>
      <c r="AI153" s="38" t="n">
        <f aca="false">IF($G153="rental",Home_Data!$B$84,IF($G153="vacation",Home_Data!$B$85,1))</f>
        <v>1</v>
      </c>
      <c r="AJ153" s="38" t="n">
        <f aca="false">INDEX(Home_Data!$B$70:$B$73,MIN(3,MAX(0,$H153))+1)</f>
        <v>1.16</v>
      </c>
      <c r="AK153" s="38" t="n">
        <f aca="false">IF(INDEX(Home_Data!$H$5:$H$56,V153)="Yes",1,IF($L153="poor",Home_Data!$B$74,IF($L153="fair",Home_Data!$B$75,IF($L153="excellent",Home_Data!$B$77,Home_Data!$B$76))))</f>
        <v>1</v>
      </c>
      <c r="AL153" s="38" t="n">
        <f aca="false">IF(($N153=1),Home_Data!$B$86,1)*IF(($O153=1),Home_Data!$B$87,1)*IF(($P153=1),Home_Data!$B$88,1)</f>
        <v>1</v>
      </c>
      <c r="AM153" s="34" t="n">
        <f aca="false">AC153*AD153*AE153*AF153*AG153*AH153*AI153*AJ153*AK153*AL153</f>
        <v>4389.15915620231</v>
      </c>
      <c r="AN153" s="34" t="n">
        <f aca="false">AM153*EXP(-Car_Data!$B$123*Home_Data!$B$91)</f>
        <v>3196.72705147018</v>
      </c>
      <c r="AO153" s="34" t="n">
        <f aca="false">AM153*EXP(Car_Data!$B$123*Home_Data!$B$91)</f>
        <v>6026.38817399649</v>
      </c>
      <c r="AP153" s="39" t="str">
        <f aca="false">IF($U153&gt;0,IF(AND($U153&gt;=AN153,$U153&lt;=AO153),1,0),"")</f>
        <v/>
      </c>
      <c r="AQ153" s="40" t="str">
        <f aca="false">IF($U153&gt;0,$U153/AM153-1,"")</f>
        <v/>
      </c>
    </row>
    <row r="154" customFormat="false" ht="15" hidden="false" customHeight="false" outlineLevel="0" collapsed="false">
      <c r="A154" s="6" t="s">
        <v>425</v>
      </c>
      <c r="B154" s="6" t="s">
        <v>397</v>
      </c>
      <c r="C154" s="6" t="n">
        <v>2300</v>
      </c>
      <c r="D154" s="6" t="n">
        <v>1963</v>
      </c>
      <c r="E154" s="6" t="n">
        <v>22</v>
      </c>
      <c r="F154" s="6" t="s">
        <v>133</v>
      </c>
      <c r="G154" s="6" t="s">
        <v>136</v>
      </c>
      <c r="H154" s="6" t="n">
        <v>0</v>
      </c>
      <c r="I154" s="23" t="n">
        <v>470000</v>
      </c>
      <c r="J154" s="23" t="n">
        <v>5000</v>
      </c>
      <c r="K154" s="6" t="n">
        <v>300</v>
      </c>
      <c r="L154" s="6"/>
      <c r="M154" s="6" t="n">
        <v>0</v>
      </c>
      <c r="N154" s="6" t="n">
        <v>0</v>
      </c>
      <c r="O154" s="6" t="n">
        <v>0</v>
      </c>
      <c r="P154" s="6" t="n">
        <v>0</v>
      </c>
      <c r="Q154" s="6" t="n">
        <v>1</v>
      </c>
      <c r="R154" s="6" t="s">
        <v>403</v>
      </c>
      <c r="S154" s="5"/>
      <c r="T154" s="32"/>
      <c r="U154" s="17"/>
      <c r="V154" s="33" t="n">
        <f aca="false">MATCH($B154,Home_Data!$B$5:$B$56,0)</f>
        <v>5</v>
      </c>
      <c r="W154" s="34" t="n">
        <f aca="false">MIN(MAX($I154,50000),3000000)</f>
        <v>470000</v>
      </c>
      <c r="X154" s="35" t="n">
        <f aca="false">IFERROR(MIN(3,MAX(1,MATCH(W154,Home_Data!$C$4:$F$4,1))),1)</f>
        <v>3</v>
      </c>
      <c r="Y154" s="36" t="n">
        <f aca="false">INDEX(Home_Data!$C$5:$F$56,V154,X154)</f>
        <v>2090</v>
      </c>
      <c r="Z154" s="36" t="n">
        <f aca="false">INDEX(Home_Data!$C$5:$F$56,V154,X154+1)</f>
        <v>3092</v>
      </c>
      <c r="AA154" s="36" t="n">
        <f aca="false">INDEX(Home_Data!$C$4:$F$4,X154)</f>
        <v>400000</v>
      </c>
      <c r="AB154" s="36" t="n">
        <f aca="false">INDEX(Home_Data!$C$4:$F$4,X154+1)</f>
        <v>600000</v>
      </c>
      <c r="AC154" s="36" t="n">
        <f aca="false">IF($I154&lt;200000,INDEX(Home_Data!$C$5:$F$56,V154,1)*(MAX($I154,Home_Data!$B$90)/200000)^Home_Data!$B$89,Y154*(W154/AA154)^(LN(Z154/Y154)/LN(AB154/AA154)))</f>
        <v>2442.29717555556</v>
      </c>
      <c r="AD154" s="37" t="n">
        <f aca="false">IF($K154=100,Home_Data!$B$67,IF($K154=500,Home_Data!$B$69,Home_Data!$B$68))</f>
        <v>1</v>
      </c>
      <c r="AE154" s="37" t="n">
        <f aca="false">IF($J154&lt;=Home_Data!$B$61,Home_Data!$B$64,IF($J154&gt;=Home_Data!$B$63,Home_Data!$B$66,IF($J154&lt;=Home_Data!$B$62,Home_Data!$B$64+(Home_Data!$B$65-Home_Data!$B$64)*(LN($J154)-LN(Home_Data!$B$61))/(LN(Home_Data!$B$62)-LN(Home_Data!$B$61)),Home_Data!$B$65+(Home_Data!$B$66-Home_Data!$B$65)*(LN($J154)-LN(Home_Data!$B$62))/(LN(Home_Data!$B$63)-LN(Home_Data!$B$62)))))</f>
        <v>0.84</v>
      </c>
      <c r="AF154" s="38" t="n">
        <f aca="false">IF($E154&gt;=20,Home_Data!$B$80,IF($E154&gt;=10,Home_Data!$B$79,1))</f>
        <v>1.3</v>
      </c>
      <c r="AG154" s="38" t="n">
        <f aca="false">IF($D154&lt;1960,Home_Data!$B$81,IF($D154&lt;1980,Home_Data!$B$82,IF($D154&gt;=2000,Home_Data!$B$83,1)))</f>
        <v>1.08</v>
      </c>
      <c r="AH154" s="38" t="n">
        <f aca="false">IF($F154="brick",Home_Data!$B$78,1)</f>
        <v>1</v>
      </c>
      <c r="AI154" s="38" t="n">
        <f aca="false">IF($G154="rental",Home_Data!$B$84,IF($G154="vacation",Home_Data!$B$85,1))</f>
        <v>1</v>
      </c>
      <c r="AJ154" s="38" t="n">
        <f aca="false">INDEX(Home_Data!$B$70:$B$73,MIN(3,MAX(0,$H154))+1)</f>
        <v>1</v>
      </c>
      <c r="AK154" s="38" t="n">
        <f aca="false">IF(INDEX(Home_Data!$H$5:$H$56,V154)="Yes",1,IF($L154="poor",Home_Data!$B$74,IF($L154="fair",Home_Data!$B$75,IF($L154="excellent",Home_Data!$B$77,Home_Data!$B$76))))</f>
        <v>1</v>
      </c>
      <c r="AL154" s="38" t="n">
        <f aca="false">IF(($N154=1),Home_Data!$B$86,1)*IF(($O154=1),Home_Data!$B$87,1)*IF(($P154=1),Home_Data!$B$88,1)</f>
        <v>1</v>
      </c>
      <c r="AM154" s="34" t="n">
        <f aca="false">AC154*AD154*AE154*AF154*AG154*AH154*AI154*AJ154*AK154*AL154</f>
        <v>2880.3475969632</v>
      </c>
      <c r="AN154" s="34" t="n">
        <f aca="false">AM154*EXP(-Car_Data!$B$123*Home_Data!$B$91)</f>
        <v>2097.82437892188</v>
      </c>
      <c r="AO154" s="34" t="n">
        <f aca="false">AM154*EXP(Car_Data!$B$123*Home_Data!$B$91)</f>
        <v>3954.76492822311</v>
      </c>
      <c r="AP154" s="39" t="str">
        <f aca="false">IF($U154&gt;0,IF(AND($U154&gt;=AN154,$U154&lt;=AO154),1,0),"")</f>
        <v/>
      </c>
      <c r="AQ154" s="40" t="str">
        <f aca="false">IF($U154&gt;0,$U154/AM154-1,"")</f>
        <v/>
      </c>
    </row>
    <row r="155" customFormat="false" ht="15" hidden="false" customHeight="false" outlineLevel="0" collapsed="false">
      <c r="A155" s="6" t="s">
        <v>426</v>
      </c>
      <c r="B155" s="6" t="s">
        <v>397</v>
      </c>
      <c r="C155" s="6" t="n">
        <v>2300</v>
      </c>
      <c r="D155" s="6" t="n">
        <v>2023</v>
      </c>
      <c r="E155" s="6" t="n">
        <v>2</v>
      </c>
      <c r="F155" s="6" t="s">
        <v>133</v>
      </c>
      <c r="G155" s="6" t="s">
        <v>136</v>
      </c>
      <c r="H155" s="6" t="n">
        <v>0</v>
      </c>
      <c r="I155" s="23" t="n">
        <v>630000</v>
      </c>
      <c r="J155" s="23" t="n">
        <v>2500</v>
      </c>
      <c r="K155" s="6" t="n">
        <v>500</v>
      </c>
      <c r="L155" s="6"/>
      <c r="M155" s="6" t="n">
        <v>0</v>
      </c>
      <c r="N155" s="6" t="n">
        <v>0</v>
      </c>
      <c r="O155" s="6" t="n">
        <v>1</v>
      </c>
      <c r="P155" s="6" t="n">
        <v>0</v>
      </c>
      <c r="Q155" s="6" t="n">
        <v>0</v>
      </c>
      <c r="R155" s="6" t="s">
        <v>279</v>
      </c>
      <c r="S155" s="5"/>
      <c r="T155" s="32"/>
      <c r="U155" s="17"/>
      <c r="V155" s="33" t="n">
        <f aca="false">MATCH($B155,Home_Data!$B$5:$B$56,0)</f>
        <v>5</v>
      </c>
      <c r="W155" s="34" t="n">
        <f aca="false">MIN(MAX($I155,50000),3000000)</f>
        <v>630000</v>
      </c>
      <c r="X155" s="35" t="n">
        <f aca="false">IFERROR(MIN(3,MAX(1,MATCH(W155,Home_Data!$C$4:$F$4,1))),1)</f>
        <v>3</v>
      </c>
      <c r="Y155" s="36" t="n">
        <f aca="false">INDEX(Home_Data!$C$5:$F$56,V155,X155)</f>
        <v>2090</v>
      </c>
      <c r="Z155" s="36" t="n">
        <f aca="false">INDEX(Home_Data!$C$5:$F$56,V155,X155+1)</f>
        <v>3092</v>
      </c>
      <c r="AA155" s="36" t="n">
        <f aca="false">INDEX(Home_Data!$C$4:$F$4,X155)</f>
        <v>400000</v>
      </c>
      <c r="AB155" s="36" t="n">
        <f aca="false">INDEX(Home_Data!$C$4:$F$4,X155+1)</f>
        <v>600000</v>
      </c>
      <c r="AC155" s="36" t="n">
        <f aca="false">IF($I155&lt;200000,INDEX(Home_Data!$C$5:$F$56,V155,1)*(MAX($I155,Home_Data!$B$90)/200000)^Home_Data!$B$89,Y155*(W155/AA155)^(LN(Z155/Y155)/LN(AB155/AA155)))</f>
        <v>3241.20895151461</v>
      </c>
      <c r="AD155" s="37" t="n">
        <f aca="false">IF($K155=100,Home_Data!$B$67,IF($K155=500,Home_Data!$B$69,Home_Data!$B$68))</f>
        <v>1.005</v>
      </c>
      <c r="AE155" s="37" t="n">
        <f aca="false">IF($J155&lt;=Home_Data!$B$61,Home_Data!$B$64,IF($J155&gt;=Home_Data!$B$63,Home_Data!$B$66,IF($J155&lt;=Home_Data!$B$62,Home_Data!$B$64+(Home_Data!$B$65-Home_Data!$B$64)*(LN($J155)-LN(Home_Data!$B$61))/(LN(Home_Data!$B$62)-LN(Home_Data!$B$61)),Home_Data!$B$65+(Home_Data!$B$66-Home_Data!$B$65)*(LN($J155)-LN(Home_Data!$B$62))/(LN(Home_Data!$B$63)-LN(Home_Data!$B$62)))))</f>
        <v>0.91</v>
      </c>
      <c r="AF155" s="38" t="n">
        <f aca="false">IF($E155&gt;=20,Home_Data!$B$80,IF($E155&gt;=10,Home_Data!$B$79,1))</f>
        <v>1</v>
      </c>
      <c r="AG155" s="38" t="n">
        <f aca="false">IF($D155&lt;1960,Home_Data!$B$81,IF($D155&lt;1980,Home_Data!$B$82,IF($D155&gt;=2000,Home_Data!$B$83,1)))</f>
        <v>0.95</v>
      </c>
      <c r="AH155" s="38" t="n">
        <f aca="false">IF($F155="brick",Home_Data!$B$78,1)</f>
        <v>1</v>
      </c>
      <c r="AI155" s="38" t="n">
        <f aca="false">IF($G155="rental",Home_Data!$B$84,IF($G155="vacation",Home_Data!$B$85,1))</f>
        <v>1</v>
      </c>
      <c r="AJ155" s="38" t="n">
        <f aca="false">INDEX(Home_Data!$B$70:$B$73,MIN(3,MAX(0,$H155))+1)</f>
        <v>1</v>
      </c>
      <c r="AK155" s="38" t="n">
        <f aca="false">IF(INDEX(Home_Data!$H$5:$H$56,V155)="Yes",1,IF($L155="poor",Home_Data!$B$74,IF($L155="fair",Home_Data!$B$75,IF($L155="excellent",Home_Data!$B$77,Home_Data!$B$76))))</f>
        <v>1</v>
      </c>
      <c r="AL155" s="38" t="n">
        <f aca="false">IF(($N155=1),Home_Data!$B$86,1)*IF(($O155=1),Home_Data!$B$87,1)*IF(($P155=1),Home_Data!$B$88,1)</f>
        <v>1.15</v>
      </c>
      <c r="AM155" s="34" t="n">
        <f aca="false">AC155*AD155*AE155*AF155*AG155*AH155*AI155*AJ155*AK155*AL155</f>
        <v>3238.4405539189</v>
      </c>
      <c r="AN155" s="34" t="n">
        <f aca="false">AM155*EXP(-Car_Data!$B$123*Home_Data!$B$91)</f>
        <v>2358.63183695712</v>
      </c>
      <c r="AO155" s="34" t="n">
        <f aca="false">AM155*EXP(Car_Data!$B$123*Home_Data!$B$91)</f>
        <v>4446.43248553641</v>
      </c>
      <c r="AP155" s="39" t="str">
        <f aca="false">IF($U155&gt;0,IF(AND($U155&gt;=AN155,$U155&lt;=AO155),1,0),"")</f>
        <v/>
      </c>
      <c r="AQ155" s="40" t="str">
        <f aca="false">IF($U155&gt;0,$U155/AM155-1,"")</f>
        <v/>
      </c>
    </row>
    <row r="156" customFormat="false" ht="15" hidden="false" customHeight="false" outlineLevel="0" collapsed="false">
      <c r="A156" s="6" t="s">
        <v>427</v>
      </c>
      <c r="B156" s="6" t="s">
        <v>397</v>
      </c>
      <c r="C156" s="6" t="n">
        <v>1950</v>
      </c>
      <c r="D156" s="6" t="n">
        <v>2000</v>
      </c>
      <c r="E156" s="6" t="n">
        <v>14</v>
      </c>
      <c r="F156" s="6" t="s">
        <v>133</v>
      </c>
      <c r="G156" s="6" t="s">
        <v>136</v>
      </c>
      <c r="H156" s="6" t="n">
        <v>0</v>
      </c>
      <c r="I156" s="23" t="n">
        <v>535000</v>
      </c>
      <c r="J156" s="23" t="n">
        <v>5000</v>
      </c>
      <c r="K156" s="6" t="n">
        <v>300</v>
      </c>
      <c r="L156" s="6"/>
      <c r="M156" s="6" t="n">
        <v>0</v>
      </c>
      <c r="N156" s="6" t="n">
        <v>0</v>
      </c>
      <c r="O156" s="6" t="n">
        <v>0</v>
      </c>
      <c r="P156" s="6" t="n">
        <v>0</v>
      </c>
      <c r="Q156" s="6" t="n">
        <v>1</v>
      </c>
      <c r="R156" s="6" t="s">
        <v>403</v>
      </c>
      <c r="S156" s="5"/>
      <c r="T156" s="32"/>
      <c r="U156" s="17"/>
      <c r="V156" s="33" t="n">
        <f aca="false">MATCH($B156,Home_Data!$B$5:$B$56,0)</f>
        <v>5</v>
      </c>
      <c r="W156" s="34" t="n">
        <f aca="false">MIN(MAX($I156,50000),3000000)</f>
        <v>535000</v>
      </c>
      <c r="X156" s="35" t="n">
        <f aca="false">IFERROR(MIN(3,MAX(1,MATCH(W156,Home_Data!$C$4:$F$4,1))),1)</f>
        <v>3</v>
      </c>
      <c r="Y156" s="36" t="n">
        <f aca="false">INDEX(Home_Data!$C$5:$F$56,V156,X156)</f>
        <v>2090</v>
      </c>
      <c r="Z156" s="36" t="n">
        <f aca="false">INDEX(Home_Data!$C$5:$F$56,V156,X156+1)</f>
        <v>3092</v>
      </c>
      <c r="AA156" s="36" t="n">
        <f aca="false">INDEX(Home_Data!$C$4:$F$4,X156)</f>
        <v>400000</v>
      </c>
      <c r="AB156" s="36" t="n">
        <f aca="false">INDEX(Home_Data!$C$4:$F$4,X156+1)</f>
        <v>600000</v>
      </c>
      <c r="AC156" s="36" t="n">
        <f aca="false">IF($I156&lt;200000,INDEX(Home_Data!$C$5:$F$56,V156,1)*(MAX($I156,Home_Data!$B$90)/200000)^Home_Data!$B$89,Y156*(W156/AA156)^(LN(Z156/Y156)/LN(AB156/AA156)))</f>
        <v>2767.82246153428</v>
      </c>
      <c r="AD156" s="37" t="n">
        <f aca="false">IF($K156=100,Home_Data!$B$67,IF($K156=500,Home_Data!$B$69,Home_Data!$B$68))</f>
        <v>1</v>
      </c>
      <c r="AE156" s="37" t="n">
        <f aca="false">IF($J156&lt;=Home_Data!$B$61,Home_Data!$B$64,IF($J156&gt;=Home_Data!$B$63,Home_Data!$B$66,IF($J156&lt;=Home_Data!$B$62,Home_Data!$B$64+(Home_Data!$B$65-Home_Data!$B$64)*(LN($J156)-LN(Home_Data!$B$61))/(LN(Home_Data!$B$62)-LN(Home_Data!$B$61)),Home_Data!$B$65+(Home_Data!$B$66-Home_Data!$B$65)*(LN($J156)-LN(Home_Data!$B$62))/(LN(Home_Data!$B$63)-LN(Home_Data!$B$62)))))</f>
        <v>0.84</v>
      </c>
      <c r="AF156" s="38" t="n">
        <f aca="false">IF($E156&gt;=20,Home_Data!$B$80,IF($E156&gt;=10,Home_Data!$B$79,1))</f>
        <v>1.1</v>
      </c>
      <c r="AG156" s="38" t="n">
        <f aca="false">IF($D156&lt;1960,Home_Data!$B$81,IF($D156&lt;1980,Home_Data!$B$82,IF($D156&gt;=2000,Home_Data!$B$83,1)))</f>
        <v>0.95</v>
      </c>
      <c r="AH156" s="38" t="n">
        <f aca="false">IF($F156="brick",Home_Data!$B$78,1)</f>
        <v>1</v>
      </c>
      <c r="AI156" s="38" t="n">
        <f aca="false">IF($G156="rental",Home_Data!$B$84,IF($G156="vacation",Home_Data!$B$85,1))</f>
        <v>1</v>
      </c>
      <c r="AJ156" s="38" t="n">
        <f aca="false">INDEX(Home_Data!$B$70:$B$73,MIN(3,MAX(0,$H156))+1)</f>
        <v>1</v>
      </c>
      <c r="AK156" s="38" t="n">
        <f aca="false">IF(INDEX(Home_Data!$H$5:$H$56,V156)="Yes",1,IF($L156="poor",Home_Data!$B$74,IF($L156="fair",Home_Data!$B$75,IF($L156="excellent",Home_Data!$B$77,Home_Data!$B$76))))</f>
        <v>1</v>
      </c>
      <c r="AL156" s="38" t="n">
        <f aca="false">IF(($N156=1),Home_Data!$B$86,1)*IF(($O156=1),Home_Data!$B$87,1)*IF(($P156=1),Home_Data!$B$88,1)</f>
        <v>1</v>
      </c>
      <c r="AM156" s="34" t="n">
        <f aca="false">AC156*AD156*AE156*AF156*AG156*AH156*AI156*AJ156*AK156*AL156</f>
        <v>2429.59455673479</v>
      </c>
      <c r="AN156" s="34" t="n">
        <f aca="false">AM156*EXP(-Car_Data!$B$123*Home_Data!$B$91)</f>
        <v>1769.53041965763</v>
      </c>
      <c r="AO156" s="34" t="n">
        <f aca="false">AM156*EXP(Car_Data!$B$123*Home_Data!$B$91)</f>
        <v>3335.87354279981</v>
      </c>
      <c r="AP156" s="39" t="str">
        <f aca="false">IF($U156&gt;0,IF(AND($U156&gt;=AN156,$U156&lt;=AO156),1,0),"")</f>
        <v/>
      </c>
      <c r="AQ156" s="40" t="str">
        <f aca="false">IF($U156&gt;0,$U156/AM156-1,"")</f>
        <v/>
      </c>
    </row>
    <row r="157" customFormat="false" ht="15" hidden="false" customHeight="false" outlineLevel="0" collapsed="false">
      <c r="A157" s="6" t="s">
        <v>428</v>
      </c>
      <c r="B157" s="6" t="s">
        <v>397</v>
      </c>
      <c r="C157" s="6" t="n">
        <v>1350</v>
      </c>
      <c r="D157" s="6" t="n">
        <v>2022</v>
      </c>
      <c r="E157" s="6" t="n">
        <v>0</v>
      </c>
      <c r="F157" s="6" t="s">
        <v>133</v>
      </c>
      <c r="G157" s="6" t="s">
        <v>136</v>
      </c>
      <c r="H157" s="6" t="n">
        <v>1</v>
      </c>
      <c r="I157" s="23" t="n">
        <v>285000</v>
      </c>
      <c r="J157" s="23" t="n">
        <v>2500</v>
      </c>
      <c r="K157" s="6" t="n">
        <v>300</v>
      </c>
      <c r="L157" s="6"/>
      <c r="M157" s="6" t="n">
        <v>0</v>
      </c>
      <c r="N157" s="6" t="n">
        <v>0</v>
      </c>
      <c r="O157" s="6" t="n">
        <v>0</v>
      </c>
      <c r="P157" s="6" t="n">
        <v>0</v>
      </c>
      <c r="Q157" s="6" t="n">
        <v>0</v>
      </c>
      <c r="R157" s="6" t="s">
        <v>267</v>
      </c>
      <c r="S157" s="5"/>
      <c r="T157" s="32"/>
      <c r="U157" s="17"/>
      <c r="V157" s="33" t="n">
        <f aca="false">MATCH($B157,Home_Data!$B$5:$B$56,0)</f>
        <v>5</v>
      </c>
      <c r="W157" s="34" t="n">
        <f aca="false">MIN(MAX($I157,50000),3000000)</f>
        <v>285000</v>
      </c>
      <c r="X157" s="35" t="n">
        <f aca="false">IFERROR(MIN(3,MAX(1,MATCH(W157,Home_Data!$C$4:$F$4,1))),1)</f>
        <v>1</v>
      </c>
      <c r="Y157" s="36" t="n">
        <f aca="false">INDEX(Home_Data!$C$5:$F$56,V157,X157)</f>
        <v>1244</v>
      </c>
      <c r="Z157" s="36" t="n">
        <f aca="false">INDEX(Home_Data!$C$5:$F$56,V157,X157+1)</f>
        <v>1653</v>
      </c>
      <c r="AA157" s="36" t="n">
        <f aca="false">INDEX(Home_Data!$C$4:$F$4,X157)</f>
        <v>200000</v>
      </c>
      <c r="AB157" s="36" t="n">
        <f aca="false">INDEX(Home_Data!$C$4:$F$4,X157+1)</f>
        <v>300000</v>
      </c>
      <c r="AC157" s="36" t="n">
        <f aca="false">IF($I157&lt;200000,INDEX(Home_Data!$C$5:$F$56,V157,1)*(MAX($I157,Home_Data!$B$90)/200000)^Home_Data!$B$89,Y157*(W157/AA157)^(LN(Z157/Y157)/LN(AB157/AA157)))</f>
        <v>1594.61380467951</v>
      </c>
      <c r="AD157" s="37" t="n">
        <f aca="false">IF($K157=100,Home_Data!$B$67,IF($K157=500,Home_Data!$B$69,Home_Data!$B$68))</f>
        <v>1</v>
      </c>
      <c r="AE157" s="37" t="n">
        <f aca="false">IF($J157&lt;=Home_Data!$B$61,Home_Data!$B$64,IF($J157&gt;=Home_Data!$B$63,Home_Data!$B$66,IF($J157&lt;=Home_Data!$B$62,Home_Data!$B$64+(Home_Data!$B$65-Home_Data!$B$64)*(LN($J157)-LN(Home_Data!$B$61))/(LN(Home_Data!$B$62)-LN(Home_Data!$B$61)),Home_Data!$B$65+(Home_Data!$B$66-Home_Data!$B$65)*(LN($J157)-LN(Home_Data!$B$62))/(LN(Home_Data!$B$63)-LN(Home_Data!$B$62)))))</f>
        <v>0.91</v>
      </c>
      <c r="AF157" s="38" t="n">
        <f aca="false">IF($E157&gt;=20,Home_Data!$B$80,IF($E157&gt;=10,Home_Data!$B$79,1))</f>
        <v>1</v>
      </c>
      <c r="AG157" s="38" t="n">
        <f aca="false">IF($D157&lt;1960,Home_Data!$B$81,IF($D157&lt;1980,Home_Data!$B$82,IF($D157&gt;=2000,Home_Data!$B$83,1)))</f>
        <v>0.95</v>
      </c>
      <c r="AH157" s="38" t="n">
        <f aca="false">IF($F157="brick",Home_Data!$B$78,1)</f>
        <v>1</v>
      </c>
      <c r="AI157" s="38" t="n">
        <f aca="false">IF($G157="rental",Home_Data!$B$84,IF($G157="vacation",Home_Data!$B$85,1))</f>
        <v>1</v>
      </c>
      <c r="AJ157" s="38" t="n">
        <f aca="false">INDEX(Home_Data!$B$70:$B$73,MIN(3,MAX(0,$H157))+1)</f>
        <v>1.16</v>
      </c>
      <c r="AK157" s="38" t="n">
        <f aca="false">IF(INDEX(Home_Data!$H$5:$H$56,V157)="Yes",1,IF($L157="poor",Home_Data!$B$74,IF($L157="fair",Home_Data!$B$75,IF($L157="excellent",Home_Data!$B$77,Home_Data!$B$76))))</f>
        <v>1</v>
      </c>
      <c r="AL157" s="38" t="n">
        <f aca="false">IF(($N157=1),Home_Data!$B$86,1)*IF(($O157=1),Home_Data!$B$87,1)*IF(($P157=1),Home_Data!$B$88,1)</f>
        <v>1</v>
      </c>
      <c r="AM157" s="34" t="n">
        <f aca="false">AC157*AD157*AE157*AF157*AG157*AH157*AI157*AJ157*AK157*AL157</f>
        <v>1599.11061560871</v>
      </c>
      <c r="AN157" s="34" t="n">
        <f aca="false">AM157*EXP(-Car_Data!$B$123*Home_Data!$B$91)</f>
        <v>1164.66958278007</v>
      </c>
      <c r="AO157" s="34" t="n">
        <f aca="false">AM157*EXP(Car_Data!$B$123*Home_Data!$B$91)</f>
        <v>2195.605344864</v>
      </c>
      <c r="AP157" s="39" t="str">
        <f aca="false">IF($U157&gt;0,IF(AND($U157&gt;=AN157,$U157&lt;=AO157),1,0),"")</f>
        <v/>
      </c>
      <c r="AQ157" s="40" t="str">
        <f aca="false">IF($U157&gt;0,$U157/AM157-1,"")</f>
        <v/>
      </c>
    </row>
    <row r="158" customFormat="false" ht="15" hidden="false" customHeight="false" outlineLevel="0" collapsed="false">
      <c r="A158" s="6" t="s">
        <v>429</v>
      </c>
      <c r="B158" s="6" t="s">
        <v>397</v>
      </c>
      <c r="C158" s="6" t="n">
        <v>3200</v>
      </c>
      <c r="D158" s="6" t="n">
        <v>1980</v>
      </c>
      <c r="E158" s="6" t="n">
        <v>25</v>
      </c>
      <c r="F158" s="6" t="s">
        <v>133</v>
      </c>
      <c r="G158" s="6" t="s">
        <v>136</v>
      </c>
      <c r="H158" s="6" t="n">
        <v>0</v>
      </c>
      <c r="I158" s="23" t="n">
        <v>850000</v>
      </c>
      <c r="J158" s="23" t="n">
        <v>1000</v>
      </c>
      <c r="K158" s="6" t="n">
        <v>300</v>
      </c>
      <c r="L158" s="6"/>
      <c r="M158" s="6" t="n">
        <v>0</v>
      </c>
      <c r="N158" s="6" t="n">
        <v>0</v>
      </c>
      <c r="O158" s="6" t="n">
        <v>1</v>
      </c>
      <c r="P158" s="6" t="n">
        <v>0</v>
      </c>
      <c r="Q158" s="6" t="n">
        <v>1</v>
      </c>
      <c r="R158" s="6" t="s">
        <v>398</v>
      </c>
      <c r="S158" s="5"/>
      <c r="T158" s="32"/>
      <c r="U158" s="17"/>
      <c r="V158" s="33" t="n">
        <f aca="false">MATCH($B158,Home_Data!$B$5:$B$56,0)</f>
        <v>5</v>
      </c>
      <c r="W158" s="34" t="n">
        <f aca="false">MIN(MAX($I158,50000),3000000)</f>
        <v>850000</v>
      </c>
      <c r="X158" s="35" t="n">
        <f aca="false">IFERROR(MIN(3,MAX(1,MATCH(W158,Home_Data!$C$4:$F$4,1))),1)</f>
        <v>3</v>
      </c>
      <c r="Y158" s="36" t="n">
        <f aca="false">INDEX(Home_Data!$C$5:$F$56,V158,X158)</f>
        <v>2090</v>
      </c>
      <c r="Z158" s="36" t="n">
        <f aca="false">INDEX(Home_Data!$C$5:$F$56,V158,X158+1)</f>
        <v>3092</v>
      </c>
      <c r="AA158" s="36" t="n">
        <f aca="false">INDEX(Home_Data!$C$4:$F$4,X158)</f>
        <v>400000</v>
      </c>
      <c r="AB158" s="36" t="n">
        <f aca="false">INDEX(Home_Data!$C$4:$F$4,X158+1)</f>
        <v>600000</v>
      </c>
      <c r="AC158" s="36" t="n">
        <f aca="false">IF($I158&lt;200000,INDEX(Home_Data!$C$5:$F$56,V158,1)*(MAX($I158,Home_Data!$B$90)/200000)^Home_Data!$B$89,Y158*(W158/AA158)^(LN(Z158/Y158)/LN(AB158/AA158)))</f>
        <v>4328.67168322397</v>
      </c>
      <c r="AD158" s="37" t="n">
        <f aca="false">IF($K158=100,Home_Data!$B$67,IF($K158=500,Home_Data!$B$69,Home_Data!$B$68))</f>
        <v>1</v>
      </c>
      <c r="AE158" s="37" t="n">
        <f aca="false">IF($J158&lt;=Home_Data!$B$61,Home_Data!$B$64,IF($J158&gt;=Home_Data!$B$63,Home_Data!$B$66,IF($J158&lt;=Home_Data!$B$62,Home_Data!$B$64+(Home_Data!$B$65-Home_Data!$B$64)*(LN($J158)-LN(Home_Data!$B$61))/(LN(Home_Data!$B$62)-LN(Home_Data!$B$61)),Home_Data!$B$65+(Home_Data!$B$66-Home_Data!$B$65)*(LN($J158)-LN(Home_Data!$B$62))/(LN(Home_Data!$B$63)-LN(Home_Data!$B$62)))))</f>
        <v>1</v>
      </c>
      <c r="AF158" s="38" t="n">
        <f aca="false">IF($E158&gt;=20,Home_Data!$B$80,IF($E158&gt;=10,Home_Data!$B$79,1))</f>
        <v>1.3</v>
      </c>
      <c r="AG158" s="38" t="n">
        <f aca="false">IF($D158&lt;1960,Home_Data!$B$81,IF($D158&lt;1980,Home_Data!$B$82,IF($D158&gt;=2000,Home_Data!$B$83,1)))</f>
        <v>1</v>
      </c>
      <c r="AH158" s="38" t="n">
        <f aca="false">IF($F158="brick",Home_Data!$B$78,1)</f>
        <v>1</v>
      </c>
      <c r="AI158" s="38" t="n">
        <f aca="false">IF($G158="rental",Home_Data!$B$84,IF($G158="vacation",Home_Data!$B$85,1))</f>
        <v>1</v>
      </c>
      <c r="AJ158" s="38" t="n">
        <f aca="false">INDEX(Home_Data!$B$70:$B$73,MIN(3,MAX(0,$H158))+1)</f>
        <v>1</v>
      </c>
      <c r="AK158" s="38" t="n">
        <f aca="false">IF(INDEX(Home_Data!$H$5:$H$56,V158)="Yes",1,IF($L158="poor",Home_Data!$B$74,IF($L158="fair",Home_Data!$B$75,IF($L158="excellent",Home_Data!$B$77,Home_Data!$B$76))))</f>
        <v>1</v>
      </c>
      <c r="AL158" s="38" t="n">
        <f aca="false">IF(($N158=1),Home_Data!$B$86,1)*IF(($O158=1),Home_Data!$B$87,1)*IF(($P158=1),Home_Data!$B$88,1)</f>
        <v>1.15</v>
      </c>
      <c r="AM158" s="34" t="n">
        <f aca="false">AC158*AD158*AE158*AF158*AG158*AH158*AI158*AJ158*AK158*AL158</f>
        <v>6471.36416641984</v>
      </c>
      <c r="AN158" s="34" t="n">
        <f aca="false">AM158*EXP(-Car_Data!$B$123*Home_Data!$B$91)</f>
        <v>4713.24555672037</v>
      </c>
      <c r="AO158" s="34" t="n">
        <f aca="false">AM158*EXP(Car_Data!$B$123*Home_Data!$B$91)</f>
        <v>8885.29011918555</v>
      </c>
      <c r="AP158" s="39" t="str">
        <f aca="false">IF($U158&gt;0,IF(AND($U158&gt;=AN158,$U158&lt;=AO158),1,0),"")</f>
        <v/>
      </c>
      <c r="AQ158" s="40" t="str">
        <f aca="false">IF($U158&gt;0,$U158/AM158-1,"")</f>
        <v/>
      </c>
    </row>
    <row r="159" customFormat="false" ht="15" hidden="false" customHeight="false" outlineLevel="0" collapsed="false">
      <c r="A159" s="6" t="s">
        <v>430</v>
      </c>
      <c r="B159" s="6" t="s">
        <v>397</v>
      </c>
      <c r="C159" s="6" t="n">
        <v>3000</v>
      </c>
      <c r="D159" s="6" t="n">
        <v>1983</v>
      </c>
      <c r="E159" s="6" t="n">
        <v>0</v>
      </c>
      <c r="F159" s="6" t="s">
        <v>133</v>
      </c>
      <c r="G159" s="6" t="s">
        <v>136</v>
      </c>
      <c r="H159" s="6" t="n">
        <v>0</v>
      </c>
      <c r="I159" s="23" t="n">
        <v>775000</v>
      </c>
      <c r="J159" s="23" t="n">
        <v>2500</v>
      </c>
      <c r="K159" s="6" t="n">
        <v>300</v>
      </c>
      <c r="L159" s="6"/>
      <c r="M159" s="6" t="n">
        <v>1</v>
      </c>
      <c r="N159" s="6" t="n">
        <v>0</v>
      </c>
      <c r="O159" s="6" t="n">
        <v>1</v>
      </c>
      <c r="P159" s="6" t="n">
        <v>0</v>
      </c>
      <c r="Q159" s="6" t="n">
        <v>0</v>
      </c>
      <c r="R159" s="6" t="s">
        <v>306</v>
      </c>
      <c r="S159" s="5"/>
      <c r="T159" s="32"/>
      <c r="U159" s="17"/>
      <c r="V159" s="33" t="n">
        <f aca="false">MATCH($B159,Home_Data!$B$5:$B$56,0)</f>
        <v>5</v>
      </c>
      <c r="W159" s="34" t="n">
        <f aca="false">MIN(MAX($I159,50000),3000000)</f>
        <v>775000</v>
      </c>
      <c r="X159" s="35" t="n">
        <f aca="false">IFERROR(MIN(3,MAX(1,MATCH(W159,Home_Data!$C$4:$F$4,1))),1)</f>
        <v>3</v>
      </c>
      <c r="Y159" s="36" t="n">
        <f aca="false">INDEX(Home_Data!$C$5:$F$56,V159,X159)</f>
        <v>2090</v>
      </c>
      <c r="Z159" s="36" t="n">
        <f aca="false">INDEX(Home_Data!$C$5:$F$56,V159,X159+1)</f>
        <v>3092</v>
      </c>
      <c r="AA159" s="36" t="n">
        <f aca="false">INDEX(Home_Data!$C$4:$F$4,X159)</f>
        <v>400000</v>
      </c>
      <c r="AB159" s="36" t="n">
        <f aca="false">INDEX(Home_Data!$C$4:$F$4,X159+1)</f>
        <v>600000</v>
      </c>
      <c r="AC159" s="36" t="n">
        <f aca="false">IF($I159&lt;200000,INDEX(Home_Data!$C$5:$F$56,V159,1)*(MAX($I159,Home_Data!$B$90)/200000)^Home_Data!$B$89,Y159*(W159/AA159)^(LN(Z159/Y159)/LN(AB159/AA159)))</f>
        <v>3959.16777332517</v>
      </c>
      <c r="AD159" s="37" t="n">
        <f aca="false">IF($K159=100,Home_Data!$B$67,IF($K159=500,Home_Data!$B$69,Home_Data!$B$68))</f>
        <v>1</v>
      </c>
      <c r="AE159" s="37" t="n">
        <f aca="false">IF($J159&lt;=Home_Data!$B$61,Home_Data!$B$64,IF($J159&gt;=Home_Data!$B$63,Home_Data!$B$66,IF($J159&lt;=Home_Data!$B$62,Home_Data!$B$64+(Home_Data!$B$65-Home_Data!$B$64)*(LN($J159)-LN(Home_Data!$B$61))/(LN(Home_Data!$B$62)-LN(Home_Data!$B$61)),Home_Data!$B$65+(Home_Data!$B$66-Home_Data!$B$65)*(LN($J159)-LN(Home_Data!$B$62))/(LN(Home_Data!$B$63)-LN(Home_Data!$B$62)))))</f>
        <v>0.91</v>
      </c>
      <c r="AF159" s="38" t="n">
        <f aca="false">IF($E159&gt;=20,Home_Data!$B$80,IF($E159&gt;=10,Home_Data!$B$79,1))</f>
        <v>1</v>
      </c>
      <c r="AG159" s="38" t="n">
        <f aca="false">IF($D159&lt;1960,Home_Data!$B$81,IF($D159&lt;1980,Home_Data!$B$82,IF($D159&gt;=2000,Home_Data!$B$83,1)))</f>
        <v>1</v>
      </c>
      <c r="AH159" s="38" t="n">
        <f aca="false">IF($F159="brick",Home_Data!$B$78,1)</f>
        <v>1</v>
      </c>
      <c r="AI159" s="38" t="n">
        <f aca="false">IF($G159="rental",Home_Data!$B$84,IF($G159="vacation",Home_Data!$B$85,1))</f>
        <v>1</v>
      </c>
      <c r="AJ159" s="38" t="n">
        <f aca="false">INDEX(Home_Data!$B$70:$B$73,MIN(3,MAX(0,$H159))+1)</f>
        <v>1</v>
      </c>
      <c r="AK159" s="38" t="n">
        <f aca="false">IF(INDEX(Home_Data!$H$5:$H$56,V159)="Yes",1,IF($L159="poor",Home_Data!$B$74,IF($L159="fair",Home_Data!$B$75,IF($L159="excellent",Home_Data!$B$77,Home_Data!$B$76))))</f>
        <v>1</v>
      </c>
      <c r="AL159" s="38" t="n">
        <f aca="false">IF(($N159=1),Home_Data!$B$86,1)*IF(($O159=1),Home_Data!$B$87,1)*IF(($P159=1),Home_Data!$B$88,1)</f>
        <v>1.15</v>
      </c>
      <c r="AM159" s="34" t="n">
        <f aca="false">AC159*AD159*AE159*AF159*AG159*AH159*AI159*AJ159*AK159*AL159</f>
        <v>4143.26907478479</v>
      </c>
      <c r="AN159" s="34" t="n">
        <f aca="false">AM159*EXP(-Car_Data!$B$123*Home_Data!$B$91)</f>
        <v>3017.63956637755</v>
      </c>
      <c r="AO159" s="34" t="n">
        <f aca="false">AM159*EXP(Car_Data!$B$123*Home_Data!$B$91)</f>
        <v>5688.77702206011</v>
      </c>
      <c r="AP159" s="39" t="str">
        <f aca="false">IF($U159&gt;0,IF(AND($U159&gt;=AN159,$U159&lt;=AO159),1,0),"")</f>
        <v/>
      </c>
      <c r="AQ159" s="40" t="str">
        <f aca="false">IF($U159&gt;0,$U159/AM159-1,"")</f>
        <v/>
      </c>
    </row>
    <row r="160" customFormat="false" ht="15" hidden="false" customHeight="false" outlineLevel="0" collapsed="false">
      <c r="A160" s="6" t="s">
        <v>431</v>
      </c>
      <c r="B160" s="6" t="s">
        <v>397</v>
      </c>
      <c r="C160" s="6" t="n">
        <v>3600</v>
      </c>
      <c r="D160" s="6" t="n">
        <v>1966</v>
      </c>
      <c r="E160" s="6" t="n">
        <v>25</v>
      </c>
      <c r="F160" s="6" t="s">
        <v>133</v>
      </c>
      <c r="G160" s="6" t="s">
        <v>136</v>
      </c>
      <c r="H160" s="6" t="n">
        <v>1</v>
      </c>
      <c r="I160" s="23" t="n">
        <v>800000</v>
      </c>
      <c r="J160" s="23" t="n">
        <v>2500</v>
      </c>
      <c r="K160" s="6" t="n">
        <v>300</v>
      </c>
      <c r="L160" s="6"/>
      <c r="M160" s="6" t="n">
        <v>0</v>
      </c>
      <c r="N160" s="6" t="n">
        <v>0</v>
      </c>
      <c r="O160" s="6" t="n">
        <v>0</v>
      </c>
      <c r="P160" s="6" t="n">
        <v>0</v>
      </c>
      <c r="Q160" s="6" t="n">
        <v>1</v>
      </c>
      <c r="R160" s="6" t="s">
        <v>403</v>
      </c>
      <c r="S160" s="5"/>
      <c r="T160" s="32"/>
      <c r="U160" s="17"/>
      <c r="V160" s="33" t="n">
        <f aca="false">MATCH($B160,Home_Data!$B$5:$B$56,0)</f>
        <v>5</v>
      </c>
      <c r="W160" s="34" t="n">
        <f aca="false">MIN(MAX($I160,50000),3000000)</f>
        <v>800000</v>
      </c>
      <c r="X160" s="35" t="n">
        <f aca="false">IFERROR(MIN(3,MAX(1,MATCH(W160,Home_Data!$C$4:$F$4,1))),1)</f>
        <v>3</v>
      </c>
      <c r="Y160" s="36" t="n">
        <f aca="false">INDEX(Home_Data!$C$5:$F$56,V160,X160)</f>
        <v>2090</v>
      </c>
      <c r="Z160" s="36" t="n">
        <f aca="false">INDEX(Home_Data!$C$5:$F$56,V160,X160+1)</f>
        <v>3092</v>
      </c>
      <c r="AA160" s="36" t="n">
        <f aca="false">INDEX(Home_Data!$C$4:$F$4,X160)</f>
        <v>400000</v>
      </c>
      <c r="AB160" s="36" t="n">
        <f aca="false">INDEX(Home_Data!$C$4:$F$4,X160+1)</f>
        <v>600000</v>
      </c>
      <c r="AC160" s="36" t="n">
        <f aca="false">IF($I160&lt;200000,INDEX(Home_Data!$C$5:$F$56,V160,1)*(MAX($I160,Home_Data!$B$90)/200000)^Home_Data!$B$89,Y160*(W160/AA160)^(LN(Z160/Y160)/LN(AB160/AA160)))</f>
        <v>4082.46556877055</v>
      </c>
      <c r="AD160" s="37" t="n">
        <f aca="false">IF($K160=100,Home_Data!$B$67,IF($K160=500,Home_Data!$B$69,Home_Data!$B$68))</f>
        <v>1</v>
      </c>
      <c r="AE160" s="37" t="n">
        <f aca="false">IF($J160&lt;=Home_Data!$B$61,Home_Data!$B$64,IF($J160&gt;=Home_Data!$B$63,Home_Data!$B$66,IF($J160&lt;=Home_Data!$B$62,Home_Data!$B$64+(Home_Data!$B$65-Home_Data!$B$64)*(LN($J160)-LN(Home_Data!$B$61))/(LN(Home_Data!$B$62)-LN(Home_Data!$B$61)),Home_Data!$B$65+(Home_Data!$B$66-Home_Data!$B$65)*(LN($J160)-LN(Home_Data!$B$62))/(LN(Home_Data!$B$63)-LN(Home_Data!$B$62)))))</f>
        <v>0.91</v>
      </c>
      <c r="AF160" s="38" t="n">
        <f aca="false">IF($E160&gt;=20,Home_Data!$B$80,IF($E160&gt;=10,Home_Data!$B$79,1))</f>
        <v>1.3</v>
      </c>
      <c r="AG160" s="38" t="n">
        <f aca="false">IF($D160&lt;1960,Home_Data!$B$81,IF($D160&lt;1980,Home_Data!$B$82,IF($D160&gt;=2000,Home_Data!$B$83,1)))</f>
        <v>1.08</v>
      </c>
      <c r="AH160" s="38" t="n">
        <f aca="false">IF($F160="brick",Home_Data!$B$78,1)</f>
        <v>1</v>
      </c>
      <c r="AI160" s="38" t="n">
        <f aca="false">IF($G160="rental",Home_Data!$B$84,IF($G160="vacation",Home_Data!$B$85,1))</f>
        <v>1</v>
      </c>
      <c r="AJ160" s="38" t="n">
        <f aca="false">INDEX(Home_Data!$B$70:$B$73,MIN(3,MAX(0,$H160))+1)</f>
        <v>1.16</v>
      </c>
      <c r="AK160" s="38" t="n">
        <f aca="false">IF(INDEX(Home_Data!$H$5:$H$56,V160)="Yes",1,IF($L160="poor",Home_Data!$B$74,IF($L160="fair",Home_Data!$B$75,IF($L160="excellent",Home_Data!$B$77,Home_Data!$B$76))))</f>
        <v>1</v>
      </c>
      <c r="AL160" s="38" t="n">
        <f aca="false">IF(($N160=1),Home_Data!$B$86,1)*IF(($O160=1),Home_Data!$B$87,1)*IF(($P160=1),Home_Data!$B$88,1)</f>
        <v>1</v>
      </c>
      <c r="AM160" s="34" t="n">
        <f aca="false">AC160*AD160*AE160*AF160*AG160*AH160*AI160*AJ160*AK160*AL160</f>
        <v>6050.46871876945</v>
      </c>
      <c r="AN160" s="34" t="n">
        <f aca="false">AM160*EXP(-Car_Data!$B$123*Home_Data!$B$91)</f>
        <v>4406.69757897313</v>
      </c>
      <c r="AO160" s="34" t="n">
        <f aca="false">AM160*EXP(Car_Data!$B$123*Home_Data!$B$91)</f>
        <v>8307.39370259629</v>
      </c>
      <c r="AP160" s="39" t="str">
        <f aca="false">IF($U160&gt;0,IF(AND($U160&gt;=AN160,$U160&lt;=AO160),1,0),"")</f>
        <v/>
      </c>
      <c r="AQ160" s="40" t="str">
        <f aca="false">IF($U160&gt;0,$U160/AM160-1,"")</f>
        <v/>
      </c>
    </row>
    <row r="161" customFormat="false" ht="15" hidden="false" customHeight="false" outlineLevel="0" collapsed="false">
      <c r="A161" s="6" t="s">
        <v>432</v>
      </c>
      <c r="B161" s="6" t="s">
        <v>397</v>
      </c>
      <c r="C161" s="6" t="n">
        <v>1950</v>
      </c>
      <c r="D161" s="6" t="n">
        <v>2003</v>
      </c>
      <c r="E161" s="6" t="n">
        <v>8</v>
      </c>
      <c r="F161" s="6" t="s">
        <v>133</v>
      </c>
      <c r="G161" s="6" t="s">
        <v>136</v>
      </c>
      <c r="H161" s="6" t="n">
        <v>2</v>
      </c>
      <c r="I161" s="23" t="n">
        <v>495000</v>
      </c>
      <c r="J161" s="23" t="n">
        <v>2500</v>
      </c>
      <c r="K161" s="6" t="n">
        <v>100</v>
      </c>
      <c r="L161" s="6"/>
      <c r="M161" s="6" t="n">
        <v>0</v>
      </c>
      <c r="N161" s="6" t="n">
        <v>0</v>
      </c>
      <c r="O161" s="6" t="n">
        <v>0</v>
      </c>
      <c r="P161" s="6" t="n">
        <v>0</v>
      </c>
      <c r="Q161" s="6" t="n">
        <v>0</v>
      </c>
      <c r="R161" s="6" t="s">
        <v>267</v>
      </c>
      <c r="S161" s="5"/>
      <c r="T161" s="32"/>
      <c r="U161" s="17"/>
      <c r="V161" s="33" t="n">
        <f aca="false">MATCH($B161,Home_Data!$B$5:$B$56,0)</f>
        <v>5</v>
      </c>
      <c r="W161" s="34" t="n">
        <f aca="false">MIN(MAX($I161,50000),3000000)</f>
        <v>495000</v>
      </c>
      <c r="X161" s="35" t="n">
        <f aca="false">IFERROR(MIN(3,MAX(1,MATCH(W161,Home_Data!$C$4:$F$4,1))),1)</f>
        <v>3</v>
      </c>
      <c r="Y161" s="36" t="n">
        <f aca="false">INDEX(Home_Data!$C$5:$F$56,V161,X161)</f>
        <v>2090</v>
      </c>
      <c r="Z161" s="36" t="n">
        <f aca="false">INDEX(Home_Data!$C$5:$F$56,V161,X161+1)</f>
        <v>3092</v>
      </c>
      <c r="AA161" s="36" t="n">
        <f aca="false">INDEX(Home_Data!$C$4:$F$4,X161)</f>
        <v>400000</v>
      </c>
      <c r="AB161" s="36" t="n">
        <f aca="false">INDEX(Home_Data!$C$4:$F$4,X161+1)</f>
        <v>600000</v>
      </c>
      <c r="AC161" s="36" t="n">
        <f aca="false">IF($I161&lt;200000,INDEX(Home_Data!$C$5:$F$56,V161,1)*(MAX($I161,Home_Data!$B$90)/200000)^Home_Data!$B$89,Y161*(W161/AA161)^(LN(Z161/Y161)/LN(AB161/AA161)))</f>
        <v>2567.66994785056</v>
      </c>
      <c r="AD161" s="37" t="n">
        <f aca="false">IF($K161=100,Home_Data!$B$67,IF($K161=500,Home_Data!$B$69,Home_Data!$B$68))</f>
        <v>0.991</v>
      </c>
      <c r="AE161" s="37" t="n">
        <f aca="false">IF($J161&lt;=Home_Data!$B$61,Home_Data!$B$64,IF($J161&gt;=Home_Data!$B$63,Home_Data!$B$66,IF($J161&lt;=Home_Data!$B$62,Home_Data!$B$64+(Home_Data!$B$65-Home_Data!$B$64)*(LN($J161)-LN(Home_Data!$B$61))/(LN(Home_Data!$B$62)-LN(Home_Data!$B$61)),Home_Data!$B$65+(Home_Data!$B$66-Home_Data!$B$65)*(LN($J161)-LN(Home_Data!$B$62))/(LN(Home_Data!$B$63)-LN(Home_Data!$B$62)))))</f>
        <v>0.91</v>
      </c>
      <c r="AF161" s="38" t="n">
        <f aca="false">IF($E161&gt;=20,Home_Data!$B$80,IF($E161&gt;=10,Home_Data!$B$79,1))</f>
        <v>1</v>
      </c>
      <c r="AG161" s="38" t="n">
        <f aca="false">IF($D161&lt;1960,Home_Data!$B$81,IF($D161&lt;1980,Home_Data!$B$82,IF($D161&gt;=2000,Home_Data!$B$83,1)))</f>
        <v>0.95</v>
      </c>
      <c r="AH161" s="38" t="n">
        <f aca="false">IF($F161="brick",Home_Data!$B$78,1)</f>
        <v>1</v>
      </c>
      <c r="AI161" s="38" t="n">
        <f aca="false">IF($G161="rental",Home_Data!$B$84,IF($G161="vacation",Home_Data!$B$85,1))</f>
        <v>1</v>
      </c>
      <c r="AJ161" s="38" t="n">
        <f aca="false">INDEX(Home_Data!$B$70:$B$73,MIN(3,MAX(0,$H161))+1)</f>
        <v>1.29</v>
      </c>
      <c r="AK161" s="38" t="n">
        <f aca="false">IF(INDEX(Home_Data!$H$5:$H$56,V161)="Yes",1,IF($L161="poor",Home_Data!$B$74,IF($L161="fair",Home_Data!$B$75,IF($L161="excellent",Home_Data!$B$77,Home_Data!$B$76))))</f>
        <v>1</v>
      </c>
      <c r="AL161" s="38" t="n">
        <f aca="false">IF(($N161=1),Home_Data!$B$86,1)*IF(($O161=1),Home_Data!$B$87,1)*IF(($P161=1),Home_Data!$B$88,1)</f>
        <v>1</v>
      </c>
      <c r="AM161" s="34" t="n">
        <f aca="false">AC161*AD161*AE161*AF161*AG161*AH161*AI161*AJ161*AK161*AL161</f>
        <v>2837.70705891495</v>
      </c>
      <c r="AN161" s="34" t="n">
        <f aca="false">AM161*EXP(-Car_Data!$B$123*Home_Data!$B$91)</f>
        <v>2066.76827987944</v>
      </c>
      <c r="AO161" s="34" t="n">
        <f aca="false">AM161*EXP(Car_Data!$B$123*Home_Data!$B$91)</f>
        <v>3896.2187636659</v>
      </c>
      <c r="AP161" s="39" t="str">
        <f aca="false">IF($U161&gt;0,IF(AND($U161&gt;=AN161,$U161&lt;=AO161),1,0),"")</f>
        <v/>
      </c>
      <c r="AQ161" s="40" t="str">
        <f aca="false">IF($U161&gt;0,$U161/AM161-1,"")</f>
        <v/>
      </c>
    </row>
    <row r="162" customFormat="false" ht="15" hidden="false" customHeight="false" outlineLevel="0" collapsed="false">
      <c r="A162" s="6" t="s">
        <v>433</v>
      </c>
      <c r="B162" s="6" t="s">
        <v>397</v>
      </c>
      <c r="C162" s="6" t="n">
        <v>2750</v>
      </c>
      <c r="D162" s="6" t="n">
        <v>1982</v>
      </c>
      <c r="E162" s="6" t="n">
        <v>15</v>
      </c>
      <c r="F162" s="6" t="s">
        <v>133</v>
      </c>
      <c r="G162" s="6" t="s">
        <v>136</v>
      </c>
      <c r="H162" s="6" t="n">
        <v>0</v>
      </c>
      <c r="I162" s="23" t="n">
        <v>635000</v>
      </c>
      <c r="J162" s="23" t="n">
        <v>5000</v>
      </c>
      <c r="K162" s="6" t="n">
        <v>500</v>
      </c>
      <c r="L162" s="6"/>
      <c r="M162" s="6" t="n">
        <v>1</v>
      </c>
      <c r="N162" s="6" t="n">
        <v>0</v>
      </c>
      <c r="O162" s="6" t="n">
        <v>1</v>
      </c>
      <c r="P162" s="6" t="n">
        <v>0</v>
      </c>
      <c r="Q162" s="6" t="n">
        <v>0</v>
      </c>
      <c r="R162" s="6" t="s">
        <v>306</v>
      </c>
      <c r="S162" s="5"/>
      <c r="T162" s="32"/>
      <c r="U162" s="17"/>
      <c r="V162" s="33" t="n">
        <f aca="false">MATCH($B162,Home_Data!$B$5:$B$56,0)</f>
        <v>5</v>
      </c>
      <c r="W162" s="34" t="n">
        <f aca="false">MIN(MAX($I162,50000),3000000)</f>
        <v>635000</v>
      </c>
      <c r="X162" s="35" t="n">
        <f aca="false">IFERROR(MIN(3,MAX(1,MATCH(W162,Home_Data!$C$4:$F$4,1))),1)</f>
        <v>3</v>
      </c>
      <c r="Y162" s="36" t="n">
        <f aca="false">INDEX(Home_Data!$C$5:$F$56,V162,X162)</f>
        <v>2090</v>
      </c>
      <c r="Z162" s="36" t="n">
        <f aca="false">INDEX(Home_Data!$C$5:$F$56,V162,X162+1)</f>
        <v>3092</v>
      </c>
      <c r="AA162" s="36" t="n">
        <f aca="false">INDEX(Home_Data!$C$4:$F$4,X162)</f>
        <v>400000</v>
      </c>
      <c r="AB162" s="36" t="n">
        <f aca="false">INDEX(Home_Data!$C$4:$F$4,X162+1)</f>
        <v>600000</v>
      </c>
      <c r="AC162" s="36" t="n">
        <f aca="false">IF($I162&lt;200000,INDEX(Home_Data!$C$5:$F$56,V162,1)*(MAX($I162,Home_Data!$B$90)/200000)^Home_Data!$B$89,Y162*(W162/AA162)^(LN(Z162/Y162)/LN(AB162/AA162)))</f>
        <v>3266.05327005106</v>
      </c>
      <c r="AD162" s="37" t="n">
        <f aca="false">IF($K162=100,Home_Data!$B$67,IF($K162=500,Home_Data!$B$69,Home_Data!$B$68))</f>
        <v>1.005</v>
      </c>
      <c r="AE162" s="37" t="n">
        <f aca="false">IF($J162&lt;=Home_Data!$B$61,Home_Data!$B$64,IF($J162&gt;=Home_Data!$B$63,Home_Data!$B$66,IF($J162&lt;=Home_Data!$B$62,Home_Data!$B$64+(Home_Data!$B$65-Home_Data!$B$64)*(LN($J162)-LN(Home_Data!$B$61))/(LN(Home_Data!$B$62)-LN(Home_Data!$B$61)),Home_Data!$B$65+(Home_Data!$B$66-Home_Data!$B$65)*(LN($J162)-LN(Home_Data!$B$62))/(LN(Home_Data!$B$63)-LN(Home_Data!$B$62)))))</f>
        <v>0.84</v>
      </c>
      <c r="AF162" s="38" t="n">
        <f aca="false">IF($E162&gt;=20,Home_Data!$B$80,IF($E162&gt;=10,Home_Data!$B$79,1))</f>
        <v>1.1</v>
      </c>
      <c r="AG162" s="38" t="n">
        <f aca="false">IF($D162&lt;1960,Home_Data!$B$81,IF($D162&lt;1980,Home_Data!$B$82,IF($D162&gt;=2000,Home_Data!$B$83,1)))</f>
        <v>1</v>
      </c>
      <c r="AH162" s="38" t="n">
        <f aca="false">IF($F162="brick",Home_Data!$B$78,1)</f>
        <v>1</v>
      </c>
      <c r="AI162" s="38" t="n">
        <f aca="false">IF($G162="rental",Home_Data!$B$84,IF($G162="vacation",Home_Data!$B$85,1))</f>
        <v>1</v>
      </c>
      <c r="AJ162" s="38" t="n">
        <f aca="false">INDEX(Home_Data!$B$70:$B$73,MIN(3,MAX(0,$H162))+1)</f>
        <v>1</v>
      </c>
      <c r="AK162" s="38" t="n">
        <f aca="false">IF(INDEX(Home_Data!$H$5:$H$56,V162)="Yes",1,IF($L162="poor",Home_Data!$B$74,IF($L162="fair",Home_Data!$B$75,IF($L162="excellent",Home_Data!$B$77,Home_Data!$B$76))))</f>
        <v>1</v>
      </c>
      <c r="AL162" s="38" t="n">
        <f aca="false">IF(($N162=1),Home_Data!$B$86,1)*IF(($O162=1),Home_Data!$B$87,1)*IF(($P162=1),Home_Data!$B$88,1)</f>
        <v>1.15</v>
      </c>
      <c r="AM162" s="34" t="n">
        <f aca="false">AC162*AD162*AE162*AF162*AG162*AH162*AI162*AJ162*AK162*AL162</f>
        <v>3487.86074578004</v>
      </c>
      <c r="AN162" s="34" t="n">
        <f aca="false">AM162*EXP(-Car_Data!$B$123*Home_Data!$B$91)</f>
        <v>2540.29038387463</v>
      </c>
      <c r="AO162" s="34" t="n">
        <f aca="false">AM162*EXP(Car_Data!$B$123*Home_Data!$B$91)</f>
        <v>4788.89053754481</v>
      </c>
      <c r="AP162" s="39" t="str">
        <f aca="false">IF($U162&gt;0,IF(AND($U162&gt;=AN162,$U162&lt;=AO162),1,0),"")</f>
        <v/>
      </c>
      <c r="AQ162" s="40" t="str">
        <f aca="false">IF($U162&gt;0,$U162/AM162-1,"")</f>
        <v/>
      </c>
    </row>
    <row r="163" customFormat="false" ht="15" hidden="false" customHeight="false" outlineLevel="0" collapsed="false">
      <c r="A163" s="6" t="s">
        <v>434</v>
      </c>
      <c r="B163" s="6" t="s">
        <v>397</v>
      </c>
      <c r="C163" s="6" t="n">
        <v>2300</v>
      </c>
      <c r="D163" s="6" t="n">
        <v>1990</v>
      </c>
      <c r="E163" s="6" t="n">
        <v>0</v>
      </c>
      <c r="F163" s="6" t="s">
        <v>133</v>
      </c>
      <c r="G163" s="6" t="s">
        <v>136</v>
      </c>
      <c r="H163" s="6" t="n">
        <v>0</v>
      </c>
      <c r="I163" s="23" t="n">
        <v>645000</v>
      </c>
      <c r="J163" s="23" t="n">
        <v>2500</v>
      </c>
      <c r="K163" s="6" t="n">
        <v>300</v>
      </c>
      <c r="L163" s="6"/>
      <c r="M163" s="6" t="n">
        <v>1</v>
      </c>
      <c r="N163" s="6" t="n">
        <v>0</v>
      </c>
      <c r="O163" s="6" t="n">
        <v>1</v>
      </c>
      <c r="P163" s="6" t="n">
        <v>0</v>
      </c>
      <c r="Q163" s="6" t="n">
        <v>0</v>
      </c>
      <c r="R163" s="6" t="s">
        <v>306</v>
      </c>
      <c r="S163" s="5"/>
      <c r="T163" s="32"/>
      <c r="U163" s="17"/>
      <c r="V163" s="33" t="n">
        <f aca="false">MATCH($B163,Home_Data!$B$5:$B$56,0)</f>
        <v>5</v>
      </c>
      <c r="W163" s="34" t="n">
        <f aca="false">MIN(MAX($I163,50000),3000000)</f>
        <v>645000</v>
      </c>
      <c r="X163" s="35" t="n">
        <f aca="false">IFERROR(MIN(3,MAX(1,MATCH(W163,Home_Data!$C$4:$F$4,1))),1)</f>
        <v>3</v>
      </c>
      <c r="Y163" s="36" t="n">
        <f aca="false">INDEX(Home_Data!$C$5:$F$56,V163,X163)</f>
        <v>2090</v>
      </c>
      <c r="Z163" s="36" t="n">
        <f aca="false">INDEX(Home_Data!$C$5:$F$56,V163,X163+1)</f>
        <v>3092</v>
      </c>
      <c r="AA163" s="36" t="n">
        <f aca="false">INDEX(Home_Data!$C$4:$F$4,X163)</f>
        <v>400000</v>
      </c>
      <c r="AB163" s="36" t="n">
        <f aca="false">INDEX(Home_Data!$C$4:$F$4,X163+1)</f>
        <v>600000</v>
      </c>
      <c r="AC163" s="36" t="n">
        <f aca="false">IF($I163&lt;200000,INDEX(Home_Data!$C$5:$F$56,V163,1)*(MAX($I163,Home_Data!$B$90)/200000)^Home_Data!$B$89,Y163*(W163/AA163)^(LN(Z163/Y163)/LN(AB163/AA163)))</f>
        <v>3315.72197319048</v>
      </c>
      <c r="AD163" s="37" t="n">
        <f aca="false">IF($K163=100,Home_Data!$B$67,IF($K163=500,Home_Data!$B$69,Home_Data!$B$68))</f>
        <v>1</v>
      </c>
      <c r="AE163" s="37" t="n">
        <f aca="false">IF($J163&lt;=Home_Data!$B$61,Home_Data!$B$64,IF($J163&gt;=Home_Data!$B$63,Home_Data!$B$66,IF($J163&lt;=Home_Data!$B$62,Home_Data!$B$64+(Home_Data!$B$65-Home_Data!$B$64)*(LN($J163)-LN(Home_Data!$B$61))/(LN(Home_Data!$B$62)-LN(Home_Data!$B$61)),Home_Data!$B$65+(Home_Data!$B$66-Home_Data!$B$65)*(LN($J163)-LN(Home_Data!$B$62))/(LN(Home_Data!$B$63)-LN(Home_Data!$B$62)))))</f>
        <v>0.91</v>
      </c>
      <c r="AF163" s="38" t="n">
        <f aca="false">IF($E163&gt;=20,Home_Data!$B$80,IF($E163&gt;=10,Home_Data!$B$79,1))</f>
        <v>1</v>
      </c>
      <c r="AG163" s="38" t="n">
        <f aca="false">IF($D163&lt;1960,Home_Data!$B$81,IF($D163&lt;1980,Home_Data!$B$82,IF($D163&gt;=2000,Home_Data!$B$83,1)))</f>
        <v>1</v>
      </c>
      <c r="AH163" s="38" t="n">
        <f aca="false">IF($F163="brick",Home_Data!$B$78,1)</f>
        <v>1</v>
      </c>
      <c r="AI163" s="38" t="n">
        <f aca="false">IF($G163="rental",Home_Data!$B$84,IF($G163="vacation",Home_Data!$B$85,1))</f>
        <v>1</v>
      </c>
      <c r="AJ163" s="38" t="n">
        <f aca="false">INDEX(Home_Data!$B$70:$B$73,MIN(3,MAX(0,$H163))+1)</f>
        <v>1</v>
      </c>
      <c r="AK163" s="38" t="n">
        <f aca="false">IF(INDEX(Home_Data!$H$5:$H$56,V163)="Yes",1,IF($L163="poor",Home_Data!$B$74,IF($L163="fair",Home_Data!$B$75,IF($L163="excellent",Home_Data!$B$77,Home_Data!$B$76))))</f>
        <v>1</v>
      </c>
      <c r="AL163" s="38" t="n">
        <f aca="false">IF(($N163=1),Home_Data!$B$86,1)*IF(($O163=1),Home_Data!$B$87,1)*IF(($P163=1),Home_Data!$B$88,1)</f>
        <v>1.15</v>
      </c>
      <c r="AM163" s="34" t="n">
        <f aca="false">AC163*AD163*AE163*AF163*AG163*AH163*AI163*AJ163*AK163*AL163</f>
        <v>3469.90304494384</v>
      </c>
      <c r="AN163" s="34" t="n">
        <f aca="false">AM163*EXP(-Car_Data!$B$123*Home_Data!$B$91)</f>
        <v>2527.21137124321</v>
      </c>
      <c r="AO163" s="34" t="n">
        <f aca="false">AM163*EXP(Car_Data!$B$123*Home_Data!$B$91)</f>
        <v>4764.23431704788</v>
      </c>
      <c r="AP163" s="39" t="str">
        <f aca="false">IF($U163&gt;0,IF(AND($U163&gt;=AN163,$U163&lt;=AO163),1,0),"")</f>
        <v/>
      </c>
      <c r="AQ163" s="40" t="str">
        <f aca="false">IF($U163&gt;0,$U163/AM163-1,"")</f>
        <v/>
      </c>
    </row>
    <row r="164" customFormat="false" ht="15" hidden="false" customHeight="false" outlineLevel="0" collapsed="false">
      <c r="A164" s="6" t="s">
        <v>435</v>
      </c>
      <c r="B164" s="6" t="s">
        <v>397</v>
      </c>
      <c r="C164" s="6" t="n">
        <v>3800</v>
      </c>
      <c r="D164" s="6" t="n">
        <v>2023</v>
      </c>
      <c r="E164" s="6" t="n">
        <v>2</v>
      </c>
      <c r="F164" s="6" t="s">
        <v>133</v>
      </c>
      <c r="G164" s="6" t="s">
        <v>136</v>
      </c>
      <c r="H164" s="6" t="n">
        <v>0</v>
      </c>
      <c r="I164" s="23" t="n">
        <v>1085000</v>
      </c>
      <c r="J164" s="23" t="n">
        <v>1000</v>
      </c>
      <c r="K164" s="6" t="n">
        <v>300</v>
      </c>
      <c r="L164" s="6"/>
      <c r="M164" s="6" t="n">
        <v>0</v>
      </c>
      <c r="N164" s="6" t="n">
        <v>0</v>
      </c>
      <c r="O164" s="6" t="n">
        <v>1</v>
      </c>
      <c r="P164" s="6" t="n">
        <v>0</v>
      </c>
      <c r="Q164" s="6" t="n">
        <v>0</v>
      </c>
      <c r="R164" s="6" t="s">
        <v>279</v>
      </c>
      <c r="S164" s="5"/>
      <c r="T164" s="32"/>
      <c r="U164" s="17"/>
      <c r="V164" s="33" t="n">
        <f aca="false">MATCH($B164,Home_Data!$B$5:$B$56,0)</f>
        <v>5</v>
      </c>
      <c r="W164" s="34" t="n">
        <f aca="false">MIN(MAX($I164,50000),3000000)</f>
        <v>1085000</v>
      </c>
      <c r="X164" s="35" t="n">
        <f aca="false">IFERROR(MIN(3,MAX(1,MATCH(W164,Home_Data!$C$4:$F$4,1))),1)</f>
        <v>3</v>
      </c>
      <c r="Y164" s="36" t="n">
        <f aca="false">INDEX(Home_Data!$C$5:$F$56,V164,X164)</f>
        <v>2090</v>
      </c>
      <c r="Z164" s="36" t="n">
        <f aca="false">INDEX(Home_Data!$C$5:$F$56,V164,X164+1)</f>
        <v>3092</v>
      </c>
      <c r="AA164" s="36" t="n">
        <f aca="false">INDEX(Home_Data!$C$4:$F$4,X164)</f>
        <v>400000</v>
      </c>
      <c r="AB164" s="36" t="n">
        <f aca="false">INDEX(Home_Data!$C$4:$F$4,X164+1)</f>
        <v>600000</v>
      </c>
      <c r="AC164" s="36" t="n">
        <f aca="false">IF($I164&lt;200000,INDEX(Home_Data!$C$5:$F$56,V164,1)*(MAX($I164,Home_Data!$B$90)/200000)^Home_Data!$B$89,Y164*(W164/AA164)^(LN(Z164/Y164)/LN(AB164/AA164)))</f>
        <v>5479.67114343562</v>
      </c>
      <c r="AD164" s="37" t="n">
        <f aca="false">IF($K164=100,Home_Data!$B$67,IF($K164=500,Home_Data!$B$69,Home_Data!$B$68))</f>
        <v>1</v>
      </c>
      <c r="AE164" s="37" t="n">
        <f aca="false">IF($J164&lt;=Home_Data!$B$61,Home_Data!$B$64,IF($J164&gt;=Home_Data!$B$63,Home_Data!$B$66,IF($J164&lt;=Home_Data!$B$62,Home_Data!$B$64+(Home_Data!$B$65-Home_Data!$B$64)*(LN($J164)-LN(Home_Data!$B$61))/(LN(Home_Data!$B$62)-LN(Home_Data!$B$61)),Home_Data!$B$65+(Home_Data!$B$66-Home_Data!$B$65)*(LN($J164)-LN(Home_Data!$B$62))/(LN(Home_Data!$B$63)-LN(Home_Data!$B$62)))))</f>
        <v>1</v>
      </c>
      <c r="AF164" s="38" t="n">
        <f aca="false">IF($E164&gt;=20,Home_Data!$B$80,IF($E164&gt;=10,Home_Data!$B$79,1))</f>
        <v>1</v>
      </c>
      <c r="AG164" s="38" t="n">
        <f aca="false">IF($D164&lt;1960,Home_Data!$B$81,IF($D164&lt;1980,Home_Data!$B$82,IF($D164&gt;=2000,Home_Data!$B$83,1)))</f>
        <v>0.95</v>
      </c>
      <c r="AH164" s="38" t="n">
        <f aca="false">IF($F164="brick",Home_Data!$B$78,1)</f>
        <v>1</v>
      </c>
      <c r="AI164" s="38" t="n">
        <f aca="false">IF($G164="rental",Home_Data!$B$84,IF($G164="vacation",Home_Data!$B$85,1))</f>
        <v>1</v>
      </c>
      <c r="AJ164" s="38" t="n">
        <f aca="false">INDEX(Home_Data!$B$70:$B$73,MIN(3,MAX(0,$H164))+1)</f>
        <v>1</v>
      </c>
      <c r="AK164" s="38" t="n">
        <f aca="false">IF(INDEX(Home_Data!$H$5:$H$56,V164)="Yes",1,IF($L164="poor",Home_Data!$B$74,IF($L164="fair",Home_Data!$B$75,IF($L164="excellent",Home_Data!$B$77,Home_Data!$B$76))))</f>
        <v>1</v>
      </c>
      <c r="AL164" s="38" t="n">
        <f aca="false">IF(($N164=1),Home_Data!$B$86,1)*IF(($O164=1),Home_Data!$B$87,1)*IF(($P164=1),Home_Data!$B$88,1)</f>
        <v>1.15</v>
      </c>
      <c r="AM164" s="34" t="n">
        <f aca="false">AC164*AD164*AE164*AF164*AG164*AH164*AI164*AJ164*AK164*AL164</f>
        <v>5986.54072420341</v>
      </c>
      <c r="AN164" s="34" t="n">
        <f aca="false">AM164*EXP(-Car_Data!$B$123*Home_Data!$B$91)</f>
        <v>4360.13732852362</v>
      </c>
      <c r="AO164" s="34" t="n">
        <f aca="false">AM164*EXP(Car_Data!$B$123*Home_Data!$B$91)</f>
        <v>8219.6195078748</v>
      </c>
      <c r="AP164" s="39" t="str">
        <f aca="false">IF($U164&gt;0,IF(AND($U164&gt;=AN164,$U164&lt;=AO164),1,0),"")</f>
        <v/>
      </c>
      <c r="AQ164" s="40" t="str">
        <f aca="false">IF($U164&gt;0,$U164/AM164-1,"")</f>
        <v/>
      </c>
    </row>
    <row r="165" customFormat="false" ht="15" hidden="false" customHeight="false" outlineLevel="0" collapsed="false">
      <c r="A165" s="6" t="s">
        <v>436</v>
      </c>
      <c r="B165" s="6" t="s">
        <v>397</v>
      </c>
      <c r="C165" s="6" t="n">
        <v>1550</v>
      </c>
      <c r="D165" s="6" t="n">
        <v>1961</v>
      </c>
      <c r="E165" s="6" t="n">
        <v>4</v>
      </c>
      <c r="F165" s="6" t="s">
        <v>133</v>
      </c>
      <c r="G165" s="6" t="s">
        <v>136</v>
      </c>
      <c r="H165" s="6" t="n">
        <v>1</v>
      </c>
      <c r="I165" s="23" t="n">
        <v>375000</v>
      </c>
      <c r="J165" s="23" t="n">
        <v>1000</v>
      </c>
      <c r="K165" s="6" t="n">
        <v>300</v>
      </c>
      <c r="L165" s="6"/>
      <c r="M165" s="6" t="n">
        <v>0</v>
      </c>
      <c r="N165" s="6" t="n">
        <v>0</v>
      </c>
      <c r="O165" s="6" t="n">
        <v>0</v>
      </c>
      <c r="P165" s="6" t="n">
        <v>0</v>
      </c>
      <c r="Q165" s="6" t="n">
        <v>0</v>
      </c>
      <c r="R165" s="6" t="s">
        <v>267</v>
      </c>
      <c r="S165" s="5"/>
      <c r="T165" s="32"/>
      <c r="U165" s="17"/>
      <c r="V165" s="33" t="n">
        <f aca="false">MATCH($B165,Home_Data!$B$5:$B$56,0)</f>
        <v>5</v>
      </c>
      <c r="W165" s="34" t="n">
        <f aca="false">MIN(MAX($I165,50000),3000000)</f>
        <v>375000</v>
      </c>
      <c r="X165" s="35" t="n">
        <f aca="false">IFERROR(MIN(3,MAX(1,MATCH(W165,Home_Data!$C$4:$F$4,1))),1)</f>
        <v>2</v>
      </c>
      <c r="Y165" s="36" t="n">
        <f aca="false">INDEX(Home_Data!$C$5:$F$56,V165,X165)</f>
        <v>1653</v>
      </c>
      <c r="Z165" s="36" t="n">
        <f aca="false">INDEX(Home_Data!$C$5:$F$56,V165,X165+1)</f>
        <v>2090</v>
      </c>
      <c r="AA165" s="36" t="n">
        <f aca="false">INDEX(Home_Data!$C$4:$F$4,X165)</f>
        <v>300000</v>
      </c>
      <c r="AB165" s="36" t="n">
        <f aca="false">INDEX(Home_Data!$C$4:$F$4,X165+1)</f>
        <v>400000</v>
      </c>
      <c r="AC165" s="36" t="n">
        <f aca="false">IF($I165&lt;200000,INDEX(Home_Data!$C$5:$F$56,V165,1)*(MAX($I165,Home_Data!$B$90)/200000)^Home_Data!$B$89,Y165*(W165/AA165)^(LN(Z165/Y165)/LN(AB165/AA165)))</f>
        <v>1982.85988551027</v>
      </c>
      <c r="AD165" s="37" t="n">
        <f aca="false">IF($K165=100,Home_Data!$B$67,IF($K165=500,Home_Data!$B$69,Home_Data!$B$68))</f>
        <v>1</v>
      </c>
      <c r="AE165" s="37" t="n">
        <f aca="false">IF($J165&lt;=Home_Data!$B$61,Home_Data!$B$64,IF($J165&gt;=Home_Data!$B$63,Home_Data!$B$66,IF($J165&lt;=Home_Data!$B$62,Home_Data!$B$64+(Home_Data!$B$65-Home_Data!$B$64)*(LN($J165)-LN(Home_Data!$B$61))/(LN(Home_Data!$B$62)-LN(Home_Data!$B$61)),Home_Data!$B$65+(Home_Data!$B$66-Home_Data!$B$65)*(LN($J165)-LN(Home_Data!$B$62))/(LN(Home_Data!$B$63)-LN(Home_Data!$B$62)))))</f>
        <v>1</v>
      </c>
      <c r="AF165" s="38" t="n">
        <f aca="false">IF($E165&gt;=20,Home_Data!$B$80,IF($E165&gt;=10,Home_Data!$B$79,1))</f>
        <v>1</v>
      </c>
      <c r="AG165" s="38" t="n">
        <f aca="false">IF($D165&lt;1960,Home_Data!$B$81,IF($D165&lt;1980,Home_Data!$B$82,IF($D165&gt;=2000,Home_Data!$B$83,1)))</f>
        <v>1.08</v>
      </c>
      <c r="AH165" s="38" t="n">
        <f aca="false">IF($F165="brick",Home_Data!$B$78,1)</f>
        <v>1</v>
      </c>
      <c r="AI165" s="38" t="n">
        <f aca="false">IF($G165="rental",Home_Data!$B$84,IF($G165="vacation",Home_Data!$B$85,1))</f>
        <v>1</v>
      </c>
      <c r="AJ165" s="38" t="n">
        <f aca="false">INDEX(Home_Data!$B$70:$B$73,MIN(3,MAX(0,$H165))+1)</f>
        <v>1.16</v>
      </c>
      <c r="AK165" s="38" t="n">
        <f aca="false">IF(INDEX(Home_Data!$H$5:$H$56,V165)="Yes",1,IF($L165="poor",Home_Data!$B$74,IF($L165="fair",Home_Data!$B$75,IF($L165="excellent",Home_Data!$B$77,Home_Data!$B$76))))</f>
        <v>1</v>
      </c>
      <c r="AL165" s="38" t="n">
        <f aca="false">IF(($N165=1),Home_Data!$B$86,1)*IF(($O165=1),Home_Data!$B$87,1)*IF(($P165=1),Home_Data!$B$88,1)</f>
        <v>1</v>
      </c>
      <c r="AM165" s="34" t="n">
        <f aca="false">AC165*AD165*AE165*AF165*AG165*AH165*AI165*AJ165*AK165*AL165</f>
        <v>2484.12686456727</v>
      </c>
      <c r="AN165" s="34" t="n">
        <f aca="false">AM165*EXP(-Car_Data!$B$123*Home_Data!$B$91)</f>
        <v>1809.24757217438</v>
      </c>
      <c r="AO165" s="34" t="n">
        <f aca="false">AM165*EXP(Car_Data!$B$123*Home_Data!$B$91)</f>
        <v>3410.74730411191</v>
      </c>
      <c r="AP165" s="39" t="str">
        <f aca="false">IF($U165&gt;0,IF(AND($U165&gt;=AN165,$U165&lt;=AO165),1,0),"")</f>
        <v/>
      </c>
      <c r="AQ165" s="40" t="str">
        <f aca="false">IF($U165&gt;0,$U165/AM165-1,"")</f>
        <v/>
      </c>
    </row>
    <row r="166" customFormat="false" ht="15" hidden="false" customHeight="false" outlineLevel="0" collapsed="false">
      <c r="A166" s="6" t="s">
        <v>437</v>
      </c>
      <c r="B166" s="6" t="s">
        <v>397</v>
      </c>
      <c r="C166" s="6" t="n">
        <v>3250</v>
      </c>
      <c r="D166" s="6" t="n">
        <v>1984</v>
      </c>
      <c r="E166" s="6" t="n">
        <v>12</v>
      </c>
      <c r="F166" s="6" t="s">
        <v>133</v>
      </c>
      <c r="G166" s="6" t="s">
        <v>136</v>
      </c>
      <c r="H166" s="6" t="n">
        <v>0</v>
      </c>
      <c r="I166" s="23" t="n">
        <v>805000</v>
      </c>
      <c r="J166" s="23" t="n">
        <v>1000</v>
      </c>
      <c r="K166" s="6" t="n">
        <v>500</v>
      </c>
      <c r="L166" s="6"/>
      <c r="M166" s="6" t="n">
        <v>0</v>
      </c>
      <c r="N166" s="6" t="n">
        <v>0</v>
      </c>
      <c r="O166" s="6" t="n">
        <v>0</v>
      </c>
      <c r="P166" s="6" t="n">
        <v>0</v>
      </c>
      <c r="Q166" s="6" t="n">
        <v>1</v>
      </c>
      <c r="R166" s="6" t="s">
        <v>403</v>
      </c>
      <c r="S166" s="5"/>
      <c r="T166" s="32"/>
      <c r="U166" s="17"/>
      <c r="V166" s="33" t="n">
        <f aca="false">MATCH($B166,Home_Data!$B$5:$B$56,0)</f>
        <v>5</v>
      </c>
      <c r="W166" s="34" t="n">
        <f aca="false">MIN(MAX($I166,50000),3000000)</f>
        <v>805000</v>
      </c>
      <c r="X166" s="35" t="n">
        <f aca="false">IFERROR(MIN(3,MAX(1,MATCH(W166,Home_Data!$C$4:$F$4,1))),1)</f>
        <v>3</v>
      </c>
      <c r="Y166" s="36" t="n">
        <f aca="false">INDEX(Home_Data!$C$5:$F$56,V166,X166)</f>
        <v>2090</v>
      </c>
      <c r="Z166" s="36" t="n">
        <f aca="false">INDEX(Home_Data!$C$5:$F$56,V166,X166+1)</f>
        <v>3092</v>
      </c>
      <c r="AA166" s="36" t="n">
        <f aca="false">INDEX(Home_Data!$C$4:$F$4,X166)</f>
        <v>400000</v>
      </c>
      <c r="AB166" s="36" t="n">
        <f aca="false">INDEX(Home_Data!$C$4:$F$4,X166+1)</f>
        <v>600000</v>
      </c>
      <c r="AC166" s="36" t="n">
        <f aca="false">IF($I166&lt;200000,INDEX(Home_Data!$C$5:$F$56,V166,1)*(MAX($I166,Home_Data!$B$90)/200000)^Home_Data!$B$89,Y166*(W166/AA166)^(LN(Z166/Y166)/LN(AB166/AA166)))</f>
        <v>4107.10924914185</v>
      </c>
      <c r="AD166" s="37" t="n">
        <f aca="false">IF($K166=100,Home_Data!$B$67,IF($K166=500,Home_Data!$B$69,Home_Data!$B$68))</f>
        <v>1.005</v>
      </c>
      <c r="AE166" s="37" t="n">
        <f aca="false">IF($J166&lt;=Home_Data!$B$61,Home_Data!$B$64,IF($J166&gt;=Home_Data!$B$63,Home_Data!$B$66,IF($J166&lt;=Home_Data!$B$62,Home_Data!$B$64+(Home_Data!$B$65-Home_Data!$B$64)*(LN($J166)-LN(Home_Data!$B$61))/(LN(Home_Data!$B$62)-LN(Home_Data!$B$61)),Home_Data!$B$65+(Home_Data!$B$66-Home_Data!$B$65)*(LN($J166)-LN(Home_Data!$B$62))/(LN(Home_Data!$B$63)-LN(Home_Data!$B$62)))))</f>
        <v>1</v>
      </c>
      <c r="AF166" s="38" t="n">
        <f aca="false">IF($E166&gt;=20,Home_Data!$B$80,IF($E166&gt;=10,Home_Data!$B$79,1))</f>
        <v>1.1</v>
      </c>
      <c r="AG166" s="38" t="n">
        <f aca="false">IF($D166&lt;1960,Home_Data!$B$81,IF($D166&lt;1980,Home_Data!$B$82,IF($D166&gt;=2000,Home_Data!$B$83,1)))</f>
        <v>1</v>
      </c>
      <c r="AH166" s="38" t="n">
        <f aca="false">IF($F166="brick",Home_Data!$B$78,1)</f>
        <v>1</v>
      </c>
      <c r="AI166" s="38" t="n">
        <f aca="false">IF($G166="rental",Home_Data!$B$84,IF($G166="vacation",Home_Data!$B$85,1))</f>
        <v>1</v>
      </c>
      <c r="AJ166" s="38" t="n">
        <f aca="false">INDEX(Home_Data!$B$70:$B$73,MIN(3,MAX(0,$H166))+1)</f>
        <v>1</v>
      </c>
      <c r="AK166" s="38" t="n">
        <f aca="false">IF(INDEX(Home_Data!$H$5:$H$56,V166)="Yes",1,IF($L166="poor",Home_Data!$B$74,IF($L166="fair",Home_Data!$B$75,IF($L166="excellent",Home_Data!$B$77,Home_Data!$B$76))))</f>
        <v>1</v>
      </c>
      <c r="AL166" s="38" t="n">
        <f aca="false">IF(($N166=1),Home_Data!$B$86,1)*IF(($O166=1),Home_Data!$B$87,1)*IF(($P166=1),Home_Data!$B$88,1)</f>
        <v>1</v>
      </c>
      <c r="AM166" s="34" t="n">
        <f aca="false">AC166*AD166*AE166*AF166*AG166*AH166*AI166*AJ166*AK166*AL166</f>
        <v>4540.40927492631</v>
      </c>
      <c r="AN166" s="34" t="n">
        <f aca="false">AM166*EXP(-Car_Data!$B$123*Home_Data!$B$91)</f>
        <v>3306.8860429435</v>
      </c>
      <c r="AO166" s="34" t="n">
        <f aca="false">AM166*EXP(Car_Data!$B$123*Home_Data!$B$91)</f>
        <v>6234.0570906057</v>
      </c>
      <c r="AP166" s="39" t="str">
        <f aca="false">IF($U166&gt;0,IF(AND($U166&gt;=AN166,$U166&lt;=AO166),1,0),"")</f>
        <v/>
      </c>
      <c r="AQ166" s="40" t="str">
        <f aca="false">IF($U166&gt;0,$U166/AM166-1,"")</f>
        <v/>
      </c>
    </row>
    <row r="167" customFormat="false" ht="15" hidden="false" customHeight="false" outlineLevel="0" collapsed="false">
      <c r="A167" s="6" t="s">
        <v>438</v>
      </c>
      <c r="B167" s="6" t="s">
        <v>397</v>
      </c>
      <c r="C167" s="6" t="n">
        <v>1150</v>
      </c>
      <c r="D167" s="6" t="n">
        <v>1986</v>
      </c>
      <c r="E167" s="6" t="n">
        <v>21</v>
      </c>
      <c r="F167" s="6" t="s">
        <v>261</v>
      </c>
      <c r="G167" s="6" t="s">
        <v>136</v>
      </c>
      <c r="H167" s="6" t="n">
        <v>0</v>
      </c>
      <c r="I167" s="23" t="n">
        <v>245000</v>
      </c>
      <c r="J167" s="23" t="n">
        <v>2500</v>
      </c>
      <c r="K167" s="6" t="n">
        <v>300</v>
      </c>
      <c r="L167" s="6"/>
      <c r="M167" s="6" t="n">
        <v>0</v>
      </c>
      <c r="N167" s="6" t="n">
        <v>0</v>
      </c>
      <c r="O167" s="6" t="n">
        <v>0</v>
      </c>
      <c r="P167" s="6" t="n">
        <v>0</v>
      </c>
      <c r="Q167" s="6" t="n">
        <v>1</v>
      </c>
      <c r="R167" s="6" t="s">
        <v>403</v>
      </c>
      <c r="S167" s="5"/>
      <c r="T167" s="32"/>
      <c r="U167" s="17"/>
      <c r="V167" s="33" t="n">
        <f aca="false">MATCH($B167,Home_Data!$B$5:$B$56,0)</f>
        <v>5</v>
      </c>
      <c r="W167" s="34" t="n">
        <f aca="false">MIN(MAX($I167,50000),3000000)</f>
        <v>245000</v>
      </c>
      <c r="X167" s="35" t="n">
        <f aca="false">IFERROR(MIN(3,MAX(1,MATCH(W167,Home_Data!$C$4:$F$4,1))),1)</f>
        <v>1</v>
      </c>
      <c r="Y167" s="36" t="n">
        <f aca="false">INDEX(Home_Data!$C$5:$F$56,V167,X167)</f>
        <v>1244</v>
      </c>
      <c r="Z167" s="36" t="n">
        <f aca="false">INDEX(Home_Data!$C$5:$F$56,V167,X167+1)</f>
        <v>1653</v>
      </c>
      <c r="AA167" s="36" t="n">
        <f aca="false">INDEX(Home_Data!$C$4:$F$4,X167)</f>
        <v>200000</v>
      </c>
      <c r="AB167" s="36" t="n">
        <f aca="false">INDEX(Home_Data!$C$4:$F$4,X167+1)</f>
        <v>300000</v>
      </c>
      <c r="AC167" s="36" t="n">
        <f aca="false">IF($I167&lt;200000,INDEX(Home_Data!$C$5:$F$56,V167,1)*(MAX($I167,Home_Data!$B$90)/200000)^Home_Data!$B$89,Y167*(W167/AA167)^(LN(Z167/Y167)/LN(AB167/AA167)))</f>
        <v>1434.20104717829</v>
      </c>
      <c r="AD167" s="37" t="n">
        <f aca="false">IF($K167=100,Home_Data!$B$67,IF($K167=500,Home_Data!$B$69,Home_Data!$B$68))</f>
        <v>1</v>
      </c>
      <c r="AE167" s="37" t="n">
        <f aca="false">IF($J167&lt;=Home_Data!$B$61,Home_Data!$B$64,IF($J167&gt;=Home_Data!$B$63,Home_Data!$B$66,IF($J167&lt;=Home_Data!$B$62,Home_Data!$B$64+(Home_Data!$B$65-Home_Data!$B$64)*(LN($J167)-LN(Home_Data!$B$61))/(LN(Home_Data!$B$62)-LN(Home_Data!$B$61)),Home_Data!$B$65+(Home_Data!$B$66-Home_Data!$B$65)*(LN($J167)-LN(Home_Data!$B$62))/(LN(Home_Data!$B$63)-LN(Home_Data!$B$62)))))</f>
        <v>0.91</v>
      </c>
      <c r="AF167" s="38" t="n">
        <f aca="false">IF($E167&gt;=20,Home_Data!$B$80,IF($E167&gt;=10,Home_Data!$B$79,1))</f>
        <v>1.3</v>
      </c>
      <c r="AG167" s="38" t="n">
        <f aca="false">IF($D167&lt;1960,Home_Data!$B$81,IF($D167&lt;1980,Home_Data!$B$82,IF($D167&gt;=2000,Home_Data!$B$83,1)))</f>
        <v>1</v>
      </c>
      <c r="AH167" s="38" t="n">
        <f aca="false">IF($F167="brick",Home_Data!$B$78,1)</f>
        <v>0.98</v>
      </c>
      <c r="AI167" s="38" t="n">
        <f aca="false">IF($G167="rental",Home_Data!$B$84,IF($G167="vacation",Home_Data!$B$85,1))</f>
        <v>1</v>
      </c>
      <c r="AJ167" s="38" t="n">
        <f aca="false">INDEX(Home_Data!$B$70:$B$73,MIN(3,MAX(0,$H167))+1)</f>
        <v>1</v>
      </c>
      <c r="AK167" s="38" t="n">
        <f aca="false">IF(INDEX(Home_Data!$H$5:$H$56,V167)="Yes",1,IF($L167="poor",Home_Data!$B$74,IF($L167="fair",Home_Data!$B$75,IF($L167="excellent",Home_Data!$B$77,Home_Data!$B$76))))</f>
        <v>1</v>
      </c>
      <c r="AL167" s="38" t="n">
        <f aca="false">IF(($N167=1),Home_Data!$B$86,1)*IF(($O167=1),Home_Data!$B$87,1)*IF(($P167=1),Home_Data!$B$88,1)</f>
        <v>1</v>
      </c>
      <c r="AM167" s="34" t="n">
        <f aca="false">AC167*AD167*AE167*AF167*AG167*AH167*AI167*AJ167*AK167*AL167</f>
        <v>1662.72664203568</v>
      </c>
      <c r="AN167" s="34" t="n">
        <f aca="false">AM167*EXP(-Car_Data!$B$123*Home_Data!$B$91)</f>
        <v>1211.00261955291</v>
      </c>
      <c r="AO167" s="34" t="n">
        <f aca="false">AM167*EXP(Car_Data!$B$123*Home_Data!$B$91)</f>
        <v>2282.95120216662</v>
      </c>
      <c r="AP167" s="39" t="str">
        <f aca="false">IF($U167&gt;0,IF(AND($U167&gt;=AN167,$U167&lt;=AO167),1,0),"")</f>
        <v/>
      </c>
      <c r="AQ167" s="40" t="str">
        <f aca="false">IF($U167&gt;0,$U167/AM167-1,"")</f>
        <v/>
      </c>
    </row>
    <row r="168" customFormat="false" ht="15" hidden="false" customHeight="false" outlineLevel="0" collapsed="false">
      <c r="A168" s="6" t="s">
        <v>439</v>
      </c>
      <c r="B168" s="6" t="s">
        <v>397</v>
      </c>
      <c r="C168" s="6" t="n">
        <v>2600</v>
      </c>
      <c r="D168" s="6" t="n">
        <v>2018</v>
      </c>
      <c r="E168" s="6" t="n">
        <v>0</v>
      </c>
      <c r="F168" s="6" t="s">
        <v>261</v>
      </c>
      <c r="G168" s="6" t="s">
        <v>136</v>
      </c>
      <c r="H168" s="6" t="n">
        <v>1</v>
      </c>
      <c r="I168" s="23" t="n">
        <v>625000</v>
      </c>
      <c r="J168" s="23" t="n">
        <v>1000</v>
      </c>
      <c r="K168" s="6" t="n">
        <v>300</v>
      </c>
      <c r="L168" s="6"/>
      <c r="M168" s="6" t="n">
        <v>0</v>
      </c>
      <c r="N168" s="6" t="n">
        <v>0</v>
      </c>
      <c r="O168" s="6" t="n">
        <v>0</v>
      </c>
      <c r="P168" s="6" t="n">
        <v>0</v>
      </c>
      <c r="Q168" s="6" t="n">
        <v>1</v>
      </c>
      <c r="R168" s="6" t="s">
        <v>403</v>
      </c>
      <c r="S168" s="5"/>
      <c r="T168" s="32"/>
      <c r="U168" s="17"/>
      <c r="V168" s="33" t="n">
        <f aca="false">MATCH($B168,Home_Data!$B$5:$B$56,0)</f>
        <v>5</v>
      </c>
      <c r="W168" s="34" t="n">
        <f aca="false">MIN(MAX($I168,50000),3000000)</f>
        <v>625000</v>
      </c>
      <c r="X168" s="35" t="n">
        <f aca="false">IFERROR(MIN(3,MAX(1,MATCH(W168,Home_Data!$C$4:$F$4,1))),1)</f>
        <v>3</v>
      </c>
      <c r="Y168" s="36" t="n">
        <f aca="false">INDEX(Home_Data!$C$5:$F$56,V168,X168)</f>
        <v>2090</v>
      </c>
      <c r="Z168" s="36" t="n">
        <f aca="false">INDEX(Home_Data!$C$5:$F$56,V168,X168+1)</f>
        <v>3092</v>
      </c>
      <c r="AA168" s="36" t="n">
        <f aca="false">INDEX(Home_Data!$C$4:$F$4,X168)</f>
        <v>400000</v>
      </c>
      <c r="AB168" s="36" t="n">
        <f aca="false">INDEX(Home_Data!$C$4:$F$4,X168+1)</f>
        <v>600000</v>
      </c>
      <c r="AC168" s="36" t="n">
        <f aca="false">IF($I168&lt;200000,INDEX(Home_Data!$C$5:$F$56,V168,1)*(MAX($I168,Home_Data!$B$90)/200000)^Home_Data!$B$89,Y168*(W168/AA168)^(LN(Z168/Y168)/LN(AB168/AA168)))</f>
        <v>3216.35791570691</v>
      </c>
      <c r="AD168" s="37" t="n">
        <f aca="false">IF($K168=100,Home_Data!$B$67,IF($K168=500,Home_Data!$B$69,Home_Data!$B$68))</f>
        <v>1</v>
      </c>
      <c r="AE168" s="37" t="n">
        <f aca="false">IF($J168&lt;=Home_Data!$B$61,Home_Data!$B$64,IF($J168&gt;=Home_Data!$B$63,Home_Data!$B$66,IF($J168&lt;=Home_Data!$B$62,Home_Data!$B$64+(Home_Data!$B$65-Home_Data!$B$64)*(LN($J168)-LN(Home_Data!$B$61))/(LN(Home_Data!$B$62)-LN(Home_Data!$B$61)),Home_Data!$B$65+(Home_Data!$B$66-Home_Data!$B$65)*(LN($J168)-LN(Home_Data!$B$62))/(LN(Home_Data!$B$63)-LN(Home_Data!$B$62)))))</f>
        <v>1</v>
      </c>
      <c r="AF168" s="38" t="n">
        <f aca="false">IF($E168&gt;=20,Home_Data!$B$80,IF($E168&gt;=10,Home_Data!$B$79,1))</f>
        <v>1</v>
      </c>
      <c r="AG168" s="38" t="n">
        <f aca="false">IF($D168&lt;1960,Home_Data!$B$81,IF($D168&lt;1980,Home_Data!$B$82,IF($D168&gt;=2000,Home_Data!$B$83,1)))</f>
        <v>0.95</v>
      </c>
      <c r="AH168" s="38" t="n">
        <f aca="false">IF($F168="brick",Home_Data!$B$78,1)</f>
        <v>0.98</v>
      </c>
      <c r="AI168" s="38" t="n">
        <f aca="false">IF($G168="rental",Home_Data!$B$84,IF($G168="vacation",Home_Data!$B$85,1))</f>
        <v>1</v>
      </c>
      <c r="AJ168" s="38" t="n">
        <f aca="false">INDEX(Home_Data!$B$70:$B$73,MIN(3,MAX(0,$H168))+1)</f>
        <v>1.16</v>
      </c>
      <c r="AK168" s="38" t="n">
        <f aca="false">IF(INDEX(Home_Data!$H$5:$H$56,V168)="Yes",1,IF($L168="poor",Home_Data!$B$74,IF($L168="fair",Home_Data!$B$75,IF($L168="excellent",Home_Data!$B$77,Home_Data!$B$76))))</f>
        <v>1</v>
      </c>
      <c r="AL168" s="38" t="n">
        <f aca="false">IF(($N168=1),Home_Data!$B$86,1)*IF(($O168=1),Home_Data!$B$87,1)*IF(($P168=1),Home_Data!$B$88,1)</f>
        <v>1</v>
      </c>
      <c r="AM168" s="34" t="n">
        <f aca="false">AC168*AD168*AE168*AF168*AG168*AH168*AI168*AJ168*AK168*AL168</f>
        <v>3473.53789464683</v>
      </c>
      <c r="AN168" s="34" t="n">
        <f aca="false">AM168*EXP(-Car_Data!$B$123*Home_Data!$B$91)</f>
        <v>2529.85871711518</v>
      </c>
      <c r="AO168" s="34" t="n">
        <f aca="false">AM168*EXP(Car_Data!$B$123*Home_Data!$B$91)</f>
        <v>4769.22502585675</v>
      </c>
      <c r="AP168" s="39" t="str">
        <f aca="false">IF($U168&gt;0,IF(AND($U168&gt;=AN168,$U168&lt;=AO168),1,0),"")</f>
        <v/>
      </c>
      <c r="AQ168" s="40" t="str">
        <f aca="false">IF($U168&gt;0,$U168/AM168-1,"")</f>
        <v/>
      </c>
    </row>
    <row r="169" customFormat="false" ht="15" hidden="false" customHeight="false" outlineLevel="0" collapsed="false">
      <c r="A169" s="6" t="s">
        <v>440</v>
      </c>
      <c r="B169" s="6" t="s">
        <v>397</v>
      </c>
      <c r="C169" s="6" t="n">
        <v>1150</v>
      </c>
      <c r="D169" s="6" t="n">
        <v>2019</v>
      </c>
      <c r="E169" s="6" t="n">
        <v>7</v>
      </c>
      <c r="F169" s="6" t="s">
        <v>133</v>
      </c>
      <c r="G169" s="6" t="s">
        <v>136</v>
      </c>
      <c r="H169" s="6" t="n">
        <v>0</v>
      </c>
      <c r="I169" s="23" t="n">
        <v>330000</v>
      </c>
      <c r="J169" s="23" t="n">
        <v>2500</v>
      </c>
      <c r="K169" s="6" t="n">
        <v>500</v>
      </c>
      <c r="L169" s="6"/>
      <c r="M169" s="6" t="n">
        <v>0</v>
      </c>
      <c r="N169" s="6" t="n">
        <v>0</v>
      </c>
      <c r="O169" s="6" t="n">
        <v>1</v>
      </c>
      <c r="P169" s="6" t="n">
        <v>0</v>
      </c>
      <c r="Q169" s="6" t="n">
        <v>0</v>
      </c>
      <c r="R169" s="6" t="s">
        <v>279</v>
      </c>
      <c r="S169" s="5"/>
      <c r="T169" s="32"/>
      <c r="U169" s="17"/>
      <c r="V169" s="33" t="n">
        <f aca="false">MATCH($B169,Home_Data!$B$5:$B$56,0)</f>
        <v>5</v>
      </c>
      <c r="W169" s="34" t="n">
        <f aca="false">MIN(MAX($I169,50000),3000000)</f>
        <v>330000</v>
      </c>
      <c r="X169" s="35" t="n">
        <f aca="false">IFERROR(MIN(3,MAX(1,MATCH(W169,Home_Data!$C$4:$F$4,1))),1)</f>
        <v>2</v>
      </c>
      <c r="Y169" s="36" t="n">
        <f aca="false">INDEX(Home_Data!$C$5:$F$56,V169,X169)</f>
        <v>1653</v>
      </c>
      <c r="Z169" s="36" t="n">
        <f aca="false">INDEX(Home_Data!$C$5:$F$56,V169,X169+1)</f>
        <v>2090</v>
      </c>
      <c r="AA169" s="36" t="n">
        <f aca="false">INDEX(Home_Data!$C$4:$F$4,X169)</f>
        <v>300000</v>
      </c>
      <c r="AB169" s="36" t="n">
        <f aca="false">INDEX(Home_Data!$C$4:$F$4,X169+1)</f>
        <v>400000</v>
      </c>
      <c r="AC169" s="36" t="n">
        <f aca="false">IF($I169&lt;200000,INDEX(Home_Data!$C$5:$F$56,V169,1)*(MAX($I169,Home_Data!$B$90)/200000)^Home_Data!$B$89,Y169*(W169/AA169)^(LN(Z169/Y169)/LN(AB169/AA169)))</f>
        <v>1786.58595105157</v>
      </c>
      <c r="AD169" s="37" t="n">
        <f aca="false">IF($K169=100,Home_Data!$B$67,IF($K169=500,Home_Data!$B$69,Home_Data!$B$68))</f>
        <v>1.005</v>
      </c>
      <c r="AE169" s="37" t="n">
        <f aca="false">IF($J169&lt;=Home_Data!$B$61,Home_Data!$B$64,IF($J169&gt;=Home_Data!$B$63,Home_Data!$B$66,IF($J169&lt;=Home_Data!$B$62,Home_Data!$B$64+(Home_Data!$B$65-Home_Data!$B$64)*(LN($J169)-LN(Home_Data!$B$61))/(LN(Home_Data!$B$62)-LN(Home_Data!$B$61)),Home_Data!$B$65+(Home_Data!$B$66-Home_Data!$B$65)*(LN($J169)-LN(Home_Data!$B$62))/(LN(Home_Data!$B$63)-LN(Home_Data!$B$62)))))</f>
        <v>0.91</v>
      </c>
      <c r="AF169" s="38" t="n">
        <f aca="false">IF($E169&gt;=20,Home_Data!$B$80,IF($E169&gt;=10,Home_Data!$B$79,1))</f>
        <v>1</v>
      </c>
      <c r="AG169" s="38" t="n">
        <f aca="false">IF($D169&lt;1960,Home_Data!$B$81,IF($D169&lt;1980,Home_Data!$B$82,IF($D169&gt;=2000,Home_Data!$B$83,1)))</f>
        <v>0.95</v>
      </c>
      <c r="AH169" s="38" t="n">
        <f aca="false">IF($F169="brick",Home_Data!$B$78,1)</f>
        <v>1</v>
      </c>
      <c r="AI169" s="38" t="n">
        <f aca="false">IF($G169="rental",Home_Data!$B$84,IF($G169="vacation",Home_Data!$B$85,1))</f>
        <v>1</v>
      </c>
      <c r="AJ169" s="38" t="n">
        <f aca="false">INDEX(Home_Data!$B$70:$B$73,MIN(3,MAX(0,$H169))+1)</f>
        <v>1</v>
      </c>
      <c r="AK169" s="38" t="n">
        <f aca="false">IF(INDEX(Home_Data!$H$5:$H$56,V169)="Yes",1,IF($L169="poor",Home_Data!$B$74,IF($L169="fair",Home_Data!$B$75,IF($L169="excellent",Home_Data!$B$77,Home_Data!$B$76))))</f>
        <v>1</v>
      </c>
      <c r="AL169" s="38" t="n">
        <f aca="false">IF(($N169=1),Home_Data!$B$86,1)*IF(($O169=1),Home_Data!$B$87,1)*IF(($P169=1),Home_Data!$B$88,1)</f>
        <v>1.15</v>
      </c>
      <c r="AM169" s="34" t="n">
        <f aca="false">AC169*AD169*AE169*AF169*AG169*AH169*AI169*AJ169*AK169*AL169</f>
        <v>1785.05998332613</v>
      </c>
      <c r="AN169" s="34" t="n">
        <f aca="false">AM169*EXP(-Car_Data!$B$123*Home_Data!$B$91)</f>
        <v>1300.1008471365</v>
      </c>
      <c r="AO169" s="34" t="n">
        <f aca="false">AM169*EXP(Car_Data!$B$123*Home_Data!$B$91)</f>
        <v>2450.91690470818</v>
      </c>
      <c r="AP169" s="39" t="str">
        <f aca="false">IF($U169&gt;0,IF(AND($U169&gt;=AN169,$U169&lt;=AO169),1,0),"")</f>
        <v/>
      </c>
      <c r="AQ169" s="40" t="str">
        <f aca="false">IF($U169&gt;0,$U169/AM169-1,"")</f>
        <v/>
      </c>
    </row>
    <row r="170" customFormat="false" ht="15" hidden="false" customHeight="false" outlineLevel="0" collapsed="false">
      <c r="A170" s="6" t="s">
        <v>441</v>
      </c>
      <c r="B170" s="6" t="s">
        <v>397</v>
      </c>
      <c r="C170" s="6" t="n">
        <v>1450</v>
      </c>
      <c r="D170" s="6" t="n">
        <v>2018</v>
      </c>
      <c r="E170" s="6" t="n">
        <v>3</v>
      </c>
      <c r="F170" s="6" t="s">
        <v>261</v>
      </c>
      <c r="G170" s="6" t="s">
        <v>136</v>
      </c>
      <c r="H170" s="6" t="n">
        <v>1</v>
      </c>
      <c r="I170" s="23" t="n">
        <v>320000</v>
      </c>
      <c r="J170" s="23" t="n">
        <v>1000</v>
      </c>
      <c r="K170" s="6" t="n">
        <v>300</v>
      </c>
      <c r="L170" s="6"/>
      <c r="M170" s="6" t="n">
        <v>0</v>
      </c>
      <c r="N170" s="6" t="n">
        <v>0</v>
      </c>
      <c r="O170" s="6" t="n">
        <v>0</v>
      </c>
      <c r="P170" s="6" t="n">
        <v>0</v>
      </c>
      <c r="Q170" s="6" t="n">
        <v>1</v>
      </c>
      <c r="R170" s="6" t="s">
        <v>403</v>
      </c>
      <c r="S170" s="5"/>
      <c r="T170" s="32"/>
      <c r="U170" s="17"/>
      <c r="V170" s="33" t="n">
        <f aca="false">MATCH($B170,Home_Data!$B$5:$B$56,0)</f>
        <v>5</v>
      </c>
      <c r="W170" s="34" t="n">
        <f aca="false">MIN(MAX($I170,50000),3000000)</f>
        <v>320000</v>
      </c>
      <c r="X170" s="35" t="n">
        <f aca="false">IFERROR(MIN(3,MAX(1,MATCH(W170,Home_Data!$C$4:$F$4,1))),1)</f>
        <v>2</v>
      </c>
      <c r="Y170" s="36" t="n">
        <f aca="false">INDEX(Home_Data!$C$5:$F$56,V170,X170)</f>
        <v>1653</v>
      </c>
      <c r="Z170" s="36" t="n">
        <f aca="false">INDEX(Home_Data!$C$5:$F$56,V170,X170+1)</f>
        <v>2090</v>
      </c>
      <c r="AA170" s="36" t="n">
        <f aca="false">INDEX(Home_Data!$C$4:$F$4,X170)</f>
        <v>300000</v>
      </c>
      <c r="AB170" s="36" t="n">
        <f aca="false">INDEX(Home_Data!$C$4:$F$4,X170+1)</f>
        <v>400000</v>
      </c>
      <c r="AC170" s="36" t="n">
        <f aca="false">IF($I170&lt;200000,INDEX(Home_Data!$C$5:$F$56,V170,1)*(MAX($I170,Home_Data!$B$90)/200000)^Home_Data!$B$89,Y170*(W170/AA170)^(LN(Z170/Y170)/LN(AB170/AA170)))</f>
        <v>1742.31675432324</v>
      </c>
      <c r="AD170" s="37" t="n">
        <f aca="false">IF($K170=100,Home_Data!$B$67,IF($K170=500,Home_Data!$B$69,Home_Data!$B$68))</f>
        <v>1</v>
      </c>
      <c r="AE170" s="37" t="n">
        <f aca="false">IF($J170&lt;=Home_Data!$B$61,Home_Data!$B$64,IF($J170&gt;=Home_Data!$B$63,Home_Data!$B$66,IF($J170&lt;=Home_Data!$B$62,Home_Data!$B$64+(Home_Data!$B$65-Home_Data!$B$64)*(LN($J170)-LN(Home_Data!$B$61))/(LN(Home_Data!$B$62)-LN(Home_Data!$B$61)),Home_Data!$B$65+(Home_Data!$B$66-Home_Data!$B$65)*(LN($J170)-LN(Home_Data!$B$62))/(LN(Home_Data!$B$63)-LN(Home_Data!$B$62)))))</f>
        <v>1</v>
      </c>
      <c r="AF170" s="38" t="n">
        <f aca="false">IF($E170&gt;=20,Home_Data!$B$80,IF($E170&gt;=10,Home_Data!$B$79,1))</f>
        <v>1</v>
      </c>
      <c r="AG170" s="38" t="n">
        <f aca="false">IF($D170&lt;1960,Home_Data!$B$81,IF($D170&lt;1980,Home_Data!$B$82,IF($D170&gt;=2000,Home_Data!$B$83,1)))</f>
        <v>0.95</v>
      </c>
      <c r="AH170" s="38" t="n">
        <f aca="false">IF($F170="brick",Home_Data!$B$78,1)</f>
        <v>0.98</v>
      </c>
      <c r="AI170" s="38" t="n">
        <f aca="false">IF($G170="rental",Home_Data!$B$84,IF($G170="vacation",Home_Data!$B$85,1))</f>
        <v>1</v>
      </c>
      <c r="AJ170" s="38" t="n">
        <f aca="false">INDEX(Home_Data!$B$70:$B$73,MIN(3,MAX(0,$H170))+1)</f>
        <v>1.16</v>
      </c>
      <c r="AK170" s="38" t="n">
        <f aca="false">IF(INDEX(Home_Data!$H$5:$H$56,V170)="Yes",1,IF($L170="poor",Home_Data!$B$74,IF($L170="fair",Home_Data!$B$75,IF($L170="excellent",Home_Data!$B$77,Home_Data!$B$76))))</f>
        <v>1</v>
      </c>
      <c r="AL170" s="38" t="n">
        <f aca="false">IF(($N170=1),Home_Data!$B$86,1)*IF(($O170=1),Home_Data!$B$87,1)*IF(($P170=1),Home_Data!$B$88,1)</f>
        <v>1</v>
      </c>
      <c r="AM170" s="34" t="n">
        <f aca="false">AC170*AD170*AE170*AF170*AG170*AH170*AI170*AJ170*AK170*AL170</f>
        <v>1881.63240199892</v>
      </c>
      <c r="AN170" s="34" t="n">
        <f aca="false">AM170*EXP(-Car_Data!$B$123*Home_Data!$B$91)</f>
        <v>1370.43679354687</v>
      </c>
      <c r="AO170" s="34" t="n">
        <f aca="false">AM170*EXP(Car_Data!$B$123*Home_Data!$B$91)</f>
        <v>2583.51243408232</v>
      </c>
      <c r="AP170" s="39" t="str">
        <f aca="false">IF($U170&gt;0,IF(AND($U170&gt;=AN170,$U170&lt;=AO170),1,0),"")</f>
        <v/>
      </c>
      <c r="AQ170" s="40" t="str">
        <f aca="false">IF($U170&gt;0,$U170/AM170-1,"")</f>
        <v/>
      </c>
    </row>
    <row r="171" customFormat="false" ht="15" hidden="false" customHeight="false" outlineLevel="0" collapsed="false">
      <c r="A171" s="6" t="s">
        <v>442</v>
      </c>
      <c r="B171" s="6" t="s">
        <v>397</v>
      </c>
      <c r="C171" s="6" t="n">
        <v>2000</v>
      </c>
      <c r="D171" s="6" t="n">
        <v>2012</v>
      </c>
      <c r="E171" s="6" t="n">
        <v>5</v>
      </c>
      <c r="F171" s="6" t="s">
        <v>133</v>
      </c>
      <c r="G171" s="6" t="s">
        <v>136</v>
      </c>
      <c r="H171" s="6" t="n">
        <v>0</v>
      </c>
      <c r="I171" s="23" t="n">
        <v>420000</v>
      </c>
      <c r="J171" s="23" t="n">
        <v>1000</v>
      </c>
      <c r="K171" s="6" t="n">
        <v>300</v>
      </c>
      <c r="L171" s="6"/>
      <c r="M171" s="6" t="n">
        <v>0</v>
      </c>
      <c r="N171" s="6" t="n">
        <v>0</v>
      </c>
      <c r="O171" s="6" t="n">
        <v>0</v>
      </c>
      <c r="P171" s="6" t="n">
        <v>0</v>
      </c>
      <c r="Q171" s="6" t="n">
        <v>0</v>
      </c>
      <c r="R171" s="6" t="s">
        <v>267</v>
      </c>
      <c r="S171" s="5"/>
      <c r="T171" s="32"/>
      <c r="U171" s="17"/>
      <c r="V171" s="33" t="n">
        <f aca="false">MATCH($B171,Home_Data!$B$5:$B$56,0)</f>
        <v>5</v>
      </c>
      <c r="W171" s="34" t="n">
        <f aca="false">MIN(MAX($I171,50000),3000000)</f>
        <v>420000</v>
      </c>
      <c r="X171" s="35" t="n">
        <f aca="false">IFERROR(MIN(3,MAX(1,MATCH(W171,Home_Data!$C$4:$F$4,1))),1)</f>
        <v>3</v>
      </c>
      <c r="Y171" s="36" t="n">
        <f aca="false">INDEX(Home_Data!$C$5:$F$56,V171,X171)</f>
        <v>2090</v>
      </c>
      <c r="Z171" s="36" t="n">
        <f aca="false">INDEX(Home_Data!$C$5:$F$56,V171,X171+1)</f>
        <v>3092</v>
      </c>
      <c r="AA171" s="36" t="n">
        <f aca="false">INDEX(Home_Data!$C$4:$F$4,X171)</f>
        <v>400000</v>
      </c>
      <c r="AB171" s="36" t="n">
        <f aca="false">INDEX(Home_Data!$C$4:$F$4,X171+1)</f>
        <v>600000</v>
      </c>
      <c r="AC171" s="36" t="n">
        <f aca="false">IF($I171&lt;200000,INDEX(Home_Data!$C$5:$F$56,V171,1)*(MAX($I171,Home_Data!$B$90)/200000)^Home_Data!$B$89,Y171*(W171/AA171)^(LN(Z171/Y171)/LN(AB171/AA171)))</f>
        <v>2190.85598598498</v>
      </c>
      <c r="AD171" s="37" t="n">
        <f aca="false">IF($K171=100,Home_Data!$B$67,IF($K171=500,Home_Data!$B$69,Home_Data!$B$68))</f>
        <v>1</v>
      </c>
      <c r="AE171" s="37" t="n">
        <f aca="false">IF($J171&lt;=Home_Data!$B$61,Home_Data!$B$64,IF($J171&gt;=Home_Data!$B$63,Home_Data!$B$66,IF($J171&lt;=Home_Data!$B$62,Home_Data!$B$64+(Home_Data!$B$65-Home_Data!$B$64)*(LN($J171)-LN(Home_Data!$B$61))/(LN(Home_Data!$B$62)-LN(Home_Data!$B$61)),Home_Data!$B$65+(Home_Data!$B$66-Home_Data!$B$65)*(LN($J171)-LN(Home_Data!$B$62))/(LN(Home_Data!$B$63)-LN(Home_Data!$B$62)))))</f>
        <v>1</v>
      </c>
      <c r="AF171" s="38" t="n">
        <f aca="false">IF($E171&gt;=20,Home_Data!$B$80,IF($E171&gt;=10,Home_Data!$B$79,1))</f>
        <v>1</v>
      </c>
      <c r="AG171" s="38" t="n">
        <f aca="false">IF($D171&lt;1960,Home_Data!$B$81,IF($D171&lt;1980,Home_Data!$B$82,IF($D171&gt;=2000,Home_Data!$B$83,1)))</f>
        <v>0.95</v>
      </c>
      <c r="AH171" s="38" t="n">
        <f aca="false">IF($F171="brick",Home_Data!$B$78,1)</f>
        <v>1</v>
      </c>
      <c r="AI171" s="38" t="n">
        <f aca="false">IF($G171="rental",Home_Data!$B$84,IF($G171="vacation",Home_Data!$B$85,1))</f>
        <v>1</v>
      </c>
      <c r="AJ171" s="38" t="n">
        <f aca="false">INDEX(Home_Data!$B$70:$B$73,MIN(3,MAX(0,$H171))+1)</f>
        <v>1</v>
      </c>
      <c r="AK171" s="38" t="n">
        <f aca="false">IF(INDEX(Home_Data!$H$5:$H$56,V171)="Yes",1,IF($L171="poor",Home_Data!$B$74,IF($L171="fair",Home_Data!$B$75,IF($L171="excellent",Home_Data!$B$77,Home_Data!$B$76))))</f>
        <v>1</v>
      </c>
      <c r="AL171" s="38" t="n">
        <f aca="false">IF(($N171=1),Home_Data!$B$86,1)*IF(($O171=1),Home_Data!$B$87,1)*IF(($P171=1),Home_Data!$B$88,1)</f>
        <v>1</v>
      </c>
      <c r="AM171" s="34" t="n">
        <f aca="false">AC171*AD171*AE171*AF171*AG171*AH171*AI171*AJ171*AK171*AL171</f>
        <v>2081.31318668573</v>
      </c>
      <c r="AN171" s="34" t="n">
        <f aca="false">AM171*EXP(-Car_Data!$B$123*Home_Data!$B$91)</f>
        <v>1515.86896935783</v>
      </c>
      <c r="AO171" s="34" t="n">
        <f aca="false">AM171*EXP(Car_Data!$B$123*Home_Data!$B$91)</f>
        <v>2857.67745671779</v>
      </c>
      <c r="AP171" s="39" t="str">
        <f aca="false">IF($U171&gt;0,IF(AND($U171&gt;=AN171,$U171&lt;=AO171),1,0),"")</f>
        <v/>
      </c>
      <c r="AQ171" s="40" t="str">
        <f aca="false">IF($U171&gt;0,$U171/AM171-1,"")</f>
        <v/>
      </c>
    </row>
    <row r="172" customFormat="false" ht="15" hidden="false" customHeight="false" outlineLevel="0" collapsed="false">
      <c r="A172" s="6" t="s">
        <v>443</v>
      </c>
      <c r="B172" s="6" t="s">
        <v>397</v>
      </c>
      <c r="C172" s="6" t="n">
        <v>2500</v>
      </c>
      <c r="D172" s="6" t="n">
        <v>1979</v>
      </c>
      <c r="E172" s="6" t="n">
        <v>16</v>
      </c>
      <c r="F172" s="6" t="s">
        <v>133</v>
      </c>
      <c r="G172" s="6" t="s">
        <v>136</v>
      </c>
      <c r="H172" s="6" t="n">
        <v>1</v>
      </c>
      <c r="I172" s="23" t="n">
        <v>685000</v>
      </c>
      <c r="J172" s="23" t="n">
        <v>2500</v>
      </c>
      <c r="K172" s="6" t="n">
        <v>300</v>
      </c>
      <c r="L172" s="6"/>
      <c r="M172" s="6" t="n">
        <v>0</v>
      </c>
      <c r="N172" s="6" t="n">
        <v>0</v>
      </c>
      <c r="O172" s="6" t="n">
        <v>0</v>
      </c>
      <c r="P172" s="6" t="n">
        <v>0</v>
      </c>
      <c r="Q172" s="6" t="n">
        <v>1</v>
      </c>
      <c r="R172" s="6" t="s">
        <v>403</v>
      </c>
      <c r="S172" s="5"/>
      <c r="T172" s="32"/>
      <c r="U172" s="17"/>
      <c r="V172" s="33" t="n">
        <f aca="false">MATCH($B172,Home_Data!$B$5:$B$56,0)</f>
        <v>5</v>
      </c>
      <c r="W172" s="34" t="n">
        <f aca="false">MIN(MAX($I172,50000),3000000)</f>
        <v>685000</v>
      </c>
      <c r="X172" s="35" t="n">
        <f aca="false">IFERROR(MIN(3,MAX(1,MATCH(W172,Home_Data!$C$4:$F$4,1))),1)</f>
        <v>3</v>
      </c>
      <c r="Y172" s="36" t="n">
        <f aca="false">INDEX(Home_Data!$C$5:$F$56,V172,X172)</f>
        <v>2090</v>
      </c>
      <c r="Z172" s="36" t="n">
        <f aca="false">INDEX(Home_Data!$C$5:$F$56,V172,X172+1)</f>
        <v>3092</v>
      </c>
      <c r="AA172" s="36" t="n">
        <f aca="false">INDEX(Home_Data!$C$4:$F$4,X172)</f>
        <v>400000</v>
      </c>
      <c r="AB172" s="36" t="n">
        <f aca="false">INDEX(Home_Data!$C$4:$F$4,X172+1)</f>
        <v>600000</v>
      </c>
      <c r="AC172" s="36" t="n">
        <f aca="false">IF($I172&lt;200000,INDEX(Home_Data!$C$5:$F$56,V172,1)*(MAX($I172,Home_Data!$B$90)/200000)^Home_Data!$B$89,Y172*(W172/AA172)^(LN(Z172/Y172)/LN(AB172/AA172)))</f>
        <v>3514.13862219193</v>
      </c>
      <c r="AD172" s="37" t="n">
        <f aca="false">IF($K172=100,Home_Data!$B$67,IF($K172=500,Home_Data!$B$69,Home_Data!$B$68))</f>
        <v>1</v>
      </c>
      <c r="AE172" s="37" t="n">
        <f aca="false">IF($J172&lt;=Home_Data!$B$61,Home_Data!$B$64,IF($J172&gt;=Home_Data!$B$63,Home_Data!$B$66,IF($J172&lt;=Home_Data!$B$62,Home_Data!$B$64+(Home_Data!$B$65-Home_Data!$B$64)*(LN($J172)-LN(Home_Data!$B$61))/(LN(Home_Data!$B$62)-LN(Home_Data!$B$61)),Home_Data!$B$65+(Home_Data!$B$66-Home_Data!$B$65)*(LN($J172)-LN(Home_Data!$B$62))/(LN(Home_Data!$B$63)-LN(Home_Data!$B$62)))))</f>
        <v>0.91</v>
      </c>
      <c r="AF172" s="38" t="n">
        <f aca="false">IF($E172&gt;=20,Home_Data!$B$80,IF($E172&gt;=10,Home_Data!$B$79,1))</f>
        <v>1.1</v>
      </c>
      <c r="AG172" s="38" t="n">
        <f aca="false">IF($D172&lt;1960,Home_Data!$B$81,IF($D172&lt;1980,Home_Data!$B$82,IF($D172&gt;=2000,Home_Data!$B$83,1)))</f>
        <v>1.08</v>
      </c>
      <c r="AH172" s="38" t="n">
        <f aca="false">IF($F172="brick",Home_Data!$B$78,1)</f>
        <v>1</v>
      </c>
      <c r="AI172" s="38" t="n">
        <f aca="false">IF($G172="rental",Home_Data!$B$84,IF($G172="vacation",Home_Data!$B$85,1))</f>
        <v>1</v>
      </c>
      <c r="AJ172" s="38" t="n">
        <f aca="false">INDEX(Home_Data!$B$70:$B$73,MIN(3,MAX(0,$H172))+1)</f>
        <v>1.16</v>
      </c>
      <c r="AK172" s="38" t="n">
        <f aca="false">IF(INDEX(Home_Data!$H$5:$H$56,V172)="Yes",1,IF($L172="poor",Home_Data!$B$74,IF($L172="fair",Home_Data!$B$75,IF($L172="excellent",Home_Data!$B$77,Home_Data!$B$76))))</f>
        <v>1</v>
      </c>
      <c r="AL172" s="38" t="n">
        <f aca="false">IF(($N172=1),Home_Data!$B$86,1)*IF(($O172=1),Home_Data!$B$87,1)*IF(($P172=1),Home_Data!$B$88,1)</f>
        <v>1</v>
      </c>
      <c r="AM172" s="34" t="n">
        <f aca="false">AC172*AD172*AE172*AF172*AG172*AH172*AI172*AJ172*AK172*AL172</f>
        <v>4406.91537874794</v>
      </c>
      <c r="AN172" s="34" t="n">
        <f aca="false">AM172*EXP(-Car_Data!$B$123*Home_Data!$B$91)</f>
        <v>3209.65932276031</v>
      </c>
      <c r="AO172" s="34" t="n">
        <f aca="false">AM172*EXP(Car_Data!$B$123*Home_Data!$B$91)</f>
        <v>6050.76776146545</v>
      </c>
      <c r="AP172" s="39" t="str">
        <f aca="false">IF($U172&gt;0,IF(AND($U172&gt;=AN172,$U172&lt;=AO172),1,0),"")</f>
        <v/>
      </c>
      <c r="AQ172" s="40" t="str">
        <f aca="false">IF($U172&gt;0,$U172/AM172-1,"")</f>
        <v/>
      </c>
    </row>
    <row r="173" customFormat="false" ht="15" hidden="false" customHeight="false" outlineLevel="0" collapsed="false">
      <c r="A173" s="6" t="s">
        <v>444</v>
      </c>
      <c r="B173" s="6" t="s">
        <v>397</v>
      </c>
      <c r="C173" s="6" t="n">
        <v>1300</v>
      </c>
      <c r="D173" s="6" t="n">
        <v>1998</v>
      </c>
      <c r="E173" s="6" t="n">
        <v>9</v>
      </c>
      <c r="F173" s="6" t="s">
        <v>261</v>
      </c>
      <c r="G173" s="6" t="s">
        <v>136</v>
      </c>
      <c r="H173" s="6" t="n">
        <v>0</v>
      </c>
      <c r="I173" s="23" t="n">
        <v>330000</v>
      </c>
      <c r="J173" s="23" t="n">
        <v>2500</v>
      </c>
      <c r="K173" s="6" t="n">
        <v>300</v>
      </c>
      <c r="L173" s="6"/>
      <c r="M173" s="6" t="n">
        <v>0</v>
      </c>
      <c r="N173" s="6" t="n">
        <v>0</v>
      </c>
      <c r="O173" s="6" t="n">
        <v>1</v>
      </c>
      <c r="P173" s="6" t="n">
        <v>0</v>
      </c>
      <c r="Q173" s="6" t="n">
        <v>1</v>
      </c>
      <c r="R173" s="6" t="s">
        <v>398</v>
      </c>
      <c r="S173" s="5"/>
      <c r="T173" s="32"/>
      <c r="U173" s="17"/>
      <c r="V173" s="33" t="n">
        <f aca="false">MATCH($B173,Home_Data!$B$5:$B$56,0)</f>
        <v>5</v>
      </c>
      <c r="W173" s="34" t="n">
        <f aca="false">MIN(MAX($I173,50000),3000000)</f>
        <v>330000</v>
      </c>
      <c r="X173" s="35" t="n">
        <f aca="false">IFERROR(MIN(3,MAX(1,MATCH(W173,Home_Data!$C$4:$F$4,1))),1)</f>
        <v>2</v>
      </c>
      <c r="Y173" s="36" t="n">
        <f aca="false">INDEX(Home_Data!$C$5:$F$56,V173,X173)</f>
        <v>1653</v>
      </c>
      <c r="Z173" s="36" t="n">
        <f aca="false">INDEX(Home_Data!$C$5:$F$56,V173,X173+1)</f>
        <v>2090</v>
      </c>
      <c r="AA173" s="36" t="n">
        <f aca="false">INDEX(Home_Data!$C$4:$F$4,X173)</f>
        <v>300000</v>
      </c>
      <c r="AB173" s="36" t="n">
        <f aca="false">INDEX(Home_Data!$C$4:$F$4,X173+1)</f>
        <v>400000</v>
      </c>
      <c r="AC173" s="36" t="n">
        <f aca="false">IF($I173&lt;200000,INDEX(Home_Data!$C$5:$F$56,V173,1)*(MAX($I173,Home_Data!$B$90)/200000)^Home_Data!$B$89,Y173*(W173/AA173)^(LN(Z173/Y173)/LN(AB173/AA173)))</f>
        <v>1786.58595105157</v>
      </c>
      <c r="AD173" s="37" t="n">
        <f aca="false">IF($K173=100,Home_Data!$B$67,IF($K173=500,Home_Data!$B$69,Home_Data!$B$68))</f>
        <v>1</v>
      </c>
      <c r="AE173" s="37" t="n">
        <f aca="false">IF($J173&lt;=Home_Data!$B$61,Home_Data!$B$64,IF($J173&gt;=Home_Data!$B$63,Home_Data!$B$66,IF($J173&lt;=Home_Data!$B$62,Home_Data!$B$64+(Home_Data!$B$65-Home_Data!$B$64)*(LN($J173)-LN(Home_Data!$B$61))/(LN(Home_Data!$B$62)-LN(Home_Data!$B$61)),Home_Data!$B$65+(Home_Data!$B$66-Home_Data!$B$65)*(LN($J173)-LN(Home_Data!$B$62))/(LN(Home_Data!$B$63)-LN(Home_Data!$B$62)))))</f>
        <v>0.91</v>
      </c>
      <c r="AF173" s="38" t="n">
        <f aca="false">IF($E173&gt;=20,Home_Data!$B$80,IF($E173&gt;=10,Home_Data!$B$79,1))</f>
        <v>1</v>
      </c>
      <c r="AG173" s="38" t="n">
        <f aca="false">IF($D173&lt;1960,Home_Data!$B$81,IF($D173&lt;1980,Home_Data!$B$82,IF($D173&gt;=2000,Home_Data!$B$83,1)))</f>
        <v>1</v>
      </c>
      <c r="AH173" s="38" t="n">
        <f aca="false">IF($F173="brick",Home_Data!$B$78,1)</f>
        <v>0.98</v>
      </c>
      <c r="AI173" s="38" t="n">
        <f aca="false">IF($G173="rental",Home_Data!$B$84,IF($G173="vacation",Home_Data!$B$85,1))</f>
        <v>1</v>
      </c>
      <c r="AJ173" s="38" t="n">
        <f aca="false">INDEX(Home_Data!$B$70:$B$73,MIN(3,MAX(0,$H173))+1)</f>
        <v>1</v>
      </c>
      <c r="AK173" s="38" t="n">
        <f aca="false">IF(INDEX(Home_Data!$H$5:$H$56,V173)="Yes",1,IF($L173="poor",Home_Data!$B$74,IF($L173="fair",Home_Data!$B$75,IF($L173="excellent",Home_Data!$B$77,Home_Data!$B$76))))</f>
        <v>1</v>
      </c>
      <c r="AL173" s="38" t="n">
        <f aca="false">IF(($N173=1),Home_Data!$B$86,1)*IF(($O173=1),Home_Data!$B$87,1)*IF(($P173=1),Home_Data!$B$88,1)</f>
        <v>1.15</v>
      </c>
      <c r="AM173" s="34" t="n">
        <f aca="false">AC173*AD173*AE173*AF173*AG173*AH173*AI173*AJ173*AK173*AL173</f>
        <v>1832.26895381996</v>
      </c>
      <c r="AN173" s="34" t="n">
        <f aca="false">AM173*EXP(-Car_Data!$B$123*Home_Data!$B$91)</f>
        <v>1334.48424215111</v>
      </c>
      <c r="AO173" s="34" t="n">
        <f aca="false">AM173*EXP(Car_Data!$B$123*Home_Data!$B$91)</f>
        <v>2515.73560263317</v>
      </c>
      <c r="AP173" s="39" t="str">
        <f aca="false">IF($U173&gt;0,IF(AND($U173&gt;=AN173,$U173&lt;=AO173),1,0),"")</f>
        <v/>
      </c>
      <c r="AQ173" s="40" t="str">
        <f aca="false">IF($U173&gt;0,$U173/AM173-1,"")</f>
        <v/>
      </c>
    </row>
    <row r="174" customFormat="false" ht="15" hidden="false" customHeight="false" outlineLevel="0" collapsed="false">
      <c r="A174" s="6" t="s">
        <v>445</v>
      </c>
      <c r="B174" s="6" t="s">
        <v>397</v>
      </c>
      <c r="C174" s="6" t="n">
        <v>1600</v>
      </c>
      <c r="D174" s="6" t="n">
        <v>1977</v>
      </c>
      <c r="E174" s="6" t="n">
        <v>20</v>
      </c>
      <c r="F174" s="6" t="s">
        <v>133</v>
      </c>
      <c r="G174" s="6" t="s">
        <v>136</v>
      </c>
      <c r="H174" s="6" t="n">
        <v>0</v>
      </c>
      <c r="I174" s="23" t="n">
        <v>400000</v>
      </c>
      <c r="J174" s="23" t="n">
        <v>2500</v>
      </c>
      <c r="K174" s="6" t="n">
        <v>300</v>
      </c>
      <c r="L174" s="6"/>
      <c r="M174" s="6" t="n">
        <v>0</v>
      </c>
      <c r="N174" s="6" t="n">
        <v>0</v>
      </c>
      <c r="O174" s="6" t="n">
        <v>1</v>
      </c>
      <c r="P174" s="6" t="n">
        <v>0</v>
      </c>
      <c r="Q174" s="6" t="n">
        <v>0</v>
      </c>
      <c r="R174" s="6" t="s">
        <v>279</v>
      </c>
      <c r="S174" s="5"/>
      <c r="T174" s="32"/>
      <c r="U174" s="17"/>
      <c r="V174" s="33" t="n">
        <f aca="false">MATCH($B174,Home_Data!$B$5:$B$56,0)</f>
        <v>5</v>
      </c>
      <c r="W174" s="34" t="n">
        <f aca="false">MIN(MAX($I174,50000),3000000)</f>
        <v>400000</v>
      </c>
      <c r="X174" s="35" t="n">
        <f aca="false">IFERROR(MIN(3,MAX(1,MATCH(W174,Home_Data!$C$4:$F$4,1))),1)</f>
        <v>3</v>
      </c>
      <c r="Y174" s="36" t="n">
        <f aca="false">INDEX(Home_Data!$C$5:$F$56,V174,X174)</f>
        <v>2090</v>
      </c>
      <c r="Z174" s="36" t="n">
        <f aca="false">INDEX(Home_Data!$C$5:$F$56,V174,X174+1)</f>
        <v>3092</v>
      </c>
      <c r="AA174" s="36" t="n">
        <f aca="false">INDEX(Home_Data!$C$4:$F$4,X174)</f>
        <v>400000</v>
      </c>
      <c r="AB174" s="36" t="n">
        <f aca="false">INDEX(Home_Data!$C$4:$F$4,X174+1)</f>
        <v>600000</v>
      </c>
      <c r="AC174" s="36" t="n">
        <f aca="false">IF($I174&lt;200000,INDEX(Home_Data!$C$5:$F$56,V174,1)*(MAX($I174,Home_Data!$B$90)/200000)^Home_Data!$B$89,Y174*(W174/AA174)^(LN(Z174/Y174)/LN(AB174/AA174)))</f>
        <v>2090</v>
      </c>
      <c r="AD174" s="37" t="n">
        <f aca="false">IF($K174=100,Home_Data!$B$67,IF($K174=500,Home_Data!$B$69,Home_Data!$B$68))</f>
        <v>1</v>
      </c>
      <c r="AE174" s="37" t="n">
        <f aca="false">IF($J174&lt;=Home_Data!$B$61,Home_Data!$B$64,IF($J174&gt;=Home_Data!$B$63,Home_Data!$B$66,IF($J174&lt;=Home_Data!$B$62,Home_Data!$B$64+(Home_Data!$B$65-Home_Data!$B$64)*(LN($J174)-LN(Home_Data!$B$61))/(LN(Home_Data!$B$62)-LN(Home_Data!$B$61)),Home_Data!$B$65+(Home_Data!$B$66-Home_Data!$B$65)*(LN($J174)-LN(Home_Data!$B$62))/(LN(Home_Data!$B$63)-LN(Home_Data!$B$62)))))</f>
        <v>0.91</v>
      </c>
      <c r="AF174" s="38" t="n">
        <f aca="false">IF($E174&gt;=20,Home_Data!$B$80,IF($E174&gt;=10,Home_Data!$B$79,1))</f>
        <v>1.3</v>
      </c>
      <c r="AG174" s="38" t="n">
        <f aca="false">IF($D174&lt;1960,Home_Data!$B$81,IF($D174&lt;1980,Home_Data!$B$82,IF($D174&gt;=2000,Home_Data!$B$83,1)))</f>
        <v>1.08</v>
      </c>
      <c r="AH174" s="38" t="n">
        <f aca="false">IF($F174="brick",Home_Data!$B$78,1)</f>
        <v>1</v>
      </c>
      <c r="AI174" s="38" t="n">
        <f aca="false">IF($G174="rental",Home_Data!$B$84,IF($G174="vacation",Home_Data!$B$85,1))</f>
        <v>1</v>
      </c>
      <c r="AJ174" s="38" t="n">
        <f aca="false">INDEX(Home_Data!$B$70:$B$73,MIN(3,MAX(0,$H174))+1)</f>
        <v>1</v>
      </c>
      <c r="AK174" s="38" t="n">
        <f aca="false">IF(INDEX(Home_Data!$H$5:$H$56,V174)="Yes",1,IF($L174="poor",Home_Data!$B$74,IF($L174="fair",Home_Data!$B$75,IF($L174="excellent",Home_Data!$B$77,Home_Data!$B$76))))</f>
        <v>1</v>
      </c>
      <c r="AL174" s="38" t="n">
        <f aca="false">IF(($N174=1),Home_Data!$B$86,1)*IF(($O174=1),Home_Data!$B$87,1)*IF(($P174=1),Home_Data!$B$88,1)</f>
        <v>1.15</v>
      </c>
      <c r="AM174" s="34" t="n">
        <f aca="false">AC174*AD174*AE174*AF174*AG174*AH174*AI174*AJ174*AK174*AL174</f>
        <v>3070.80774</v>
      </c>
      <c r="AN174" s="34" t="n">
        <f aca="false">AM174*EXP(-Car_Data!$B$123*Home_Data!$B$91)</f>
        <v>2236.5409462198</v>
      </c>
      <c r="AO174" s="34" t="n">
        <f aca="false">AM174*EXP(Car_Data!$B$123*Home_Data!$B$91)</f>
        <v>4216.26985724641</v>
      </c>
      <c r="AP174" s="39" t="str">
        <f aca="false">IF($U174&gt;0,IF(AND($U174&gt;=AN174,$U174&lt;=AO174),1,0),"")</f>
        <v/>
      </c>
      <c r="AQ174" s="40" t="str">
        <f aca="false">IF($U174&gt;0,$U174/AM174-1,"")</f>
        <v/>
      </c>
    </row>
    <row r="175" customFormat="false" ht="15" hidden="false" customHeight="false" outlineLevel="0" collapsed="false">
      <c r="A175" s="6" t="s">
        <v>446</v>
      </c>
      <c r="B175" s="6" t="s">
        <v>397</v>
      </c>
      <c r="C175" s="6" t="n">
        <v>3450</v>
      </c>
      <c r="D175" s="6" t="n">
        <v>1966</v>
      </c>
      <c r="E175" s="6" t="n">
        <v>23</v>
      </c>
      <c r="F175" s="6" t="s">
        <v>133</v>
      </c>
      <c r="G175" s="6" t="s">
        <v>136</v>
      </c>
      <c r="H175" s="6" t="n">
        <v>0</v>
      </c>
      <c r="I175" s="23" t="n">
        <v>870000</v>
      </c>
      <c r="J175" s="23" t="n">
        <v>1000</v>
      </c>
      <c r="K175" s="6" t="n">
        <v>300</v>
      </c>
      <c r="L175" s="6"/>
      <c r="M175" s="6" t="n">
        <v>0</v>
      </c>
      <c r="N175" s="6" t="n">
        <v>0</v>
      </c>
      <c r="O175" s="6" t="n">
        <v>0</v>
      </c>
      <c r="P175" s="6" t="n">
        <v>0</v>
      </c>
      <c r="Q175" s="6" t="n">
        <v>1</v>
      </c>
      <c r="R175" s="6" t="s">
        <v>403</v>
      </c>
      <c r="S175" s="5"/>
      <c r="T175" s="32"/>
      <c r="U175" s="17"/>
      <c r="V175" s="33" t="n">
        <f aca="false">MATCH($B175,Home_Data!$B$5:$B$56,0)</f>
        <v>5</v>
      </c>
      <c r="W175" s="34" t="n">
        <f aca="false">MIN(MAX($I175,50000),3000000)</f>
        <v>870000</v>
      </c>
      <c r="X175" s="35" t="n">
        <f aca="false">IFERROR(MIN(3,MAX(1,MATCH(W175,Home_Data!$C$4:$F$4,1))),1)</f>
        <v>3</v>
      </c>
      <c r="Y175" s="36" t="n">
        <f aca="false">INDEX(Home_Data!$C$5:$F$56,V175,X175)</f>
        <v>2090</v>
      </c>
      <c r="Z175" s="36" t="n">
        <f aca="false">INDEX(Home_Data!$C$5:$F$56,V175,X175+1)</f>
        <v>3092</v>
      </c>
      <c r="AA175" s="36" t="n">
        <f aca="false">INDEX(Home_Data!$C$4:$F$4,X175)</f>
        <v>400000</v>
      </c>
      <c r="AB175" s="36" t="n">
        <f aca="false">INDEX(Home_Data!$C$4:$F$4,X175+1)</f>
        <v>600000</v>
      </c>
      <c r="AC175" s="36" t="n">
        <f aca="false">IF($I175&lt;200000,INDEX(Home_Data!$C$5:$F$56,V175,1)*(MAX($I175,Home_Data!$B$90)/200000)^Home_Data!$B$89,Y175*(W175/AA175)^(LN(Z175/Y175)/LN(AB175/AA175)))</f>
        <v>4427.01439794226</v>
      </c>
      <c r="AD175" s="37" t="n">
        <f aca="false">IF($K175=100,Home_Data!$B$67,IF($K175=500,Home_Data!$B$69,Home_Data!$B$68))</f>
        <v>1</v>
      </c>
      <c r="AE175" s="37" t="n">
        <f aca="false">IF($J175&lt;=Home_Data!$B$61,Home_Data!$B$64,IF($J175&gt;=Home_Data!$B$63,Home_Data!$B$66,IF($J175&lt;=Home_Data!$B$62,Home_Data!$B$64+(Home_Data!$B$65-Home_Data!$B$64)*(LN($J175)-LN(Home_Data!$B$61))/(LN(Home_Data!$B$62)-LN(Home_Data!$B$61)),Home_Data!$B$65+(Home_Data!$B$66-Home_Data!$B$65)*(LN($J175)-LN(Home_Data!$B$62))/(LN(Home_Data!$B$63)-LN(Home_Data!$B$62)))))</f>
        <v>1</v>
      </c>
      <c r="AF175" s="38" t="n">
        <f aca="false">IF($E175&gt;=20,Home_Data!$B$80,IF($E175&gt;=10,Home_Data!$B$79,1))</f>
        <v>1.3</v>
      </c>
      <c r="AG175" s="38" t="n">
        <f aca="false">IF($D175&lt;1960,Home_Data!$B$81,IF($D175&lt;1980,Home_Data!$B$82,IF($D175&gt;=2000,Home_Data!$B$83,1)))</f>
        <v>1.08</v>
      </c>
      <c r="AH175" s="38" t="n">
        <f aca="false">IF($F175="brick",Home_Data!$B$78,1)</f>
        <v>1</v>
      </c>
      <c r="AI175" s="38" t="n">
        <f aca="false">IF($G175="rental",Home_Data!$B$84,IF($G175="vacation",Home_Data!$B$85,1))</f>
        <v>1</v>
      </c>
      <c r="AJ175" s="38" t="n">
        <f aca="false">INDEX(Home_Data!$B$70:$B$73,MIN(3,MAX(0,$H175))+1)</f>
        <v>1</v>
      </c>
      <c r="AK175" s="38" t="n">
        <f aca="false">IF(INDEX(Home_Data!$H$5:$H$56,V175)="Yes",1,IF($L175="poor",Home_Data!$B$74,IF($L175="fair",Home_Data!$B$75,IF($L175="excellent",Home_Data!$B$77,Home_Data!$B$76))))</f>
        <v>1</v>
      </c>
      <c r="AL175" s="38" t="n">
        <f aca="false">IF(($N175=1),Home_Data!$B$86,1)*IF(($O175=1),Home_Data!$B$87,1)*IF(($P175=1),Home_Data!$B$88,1)</f>
        <v>1</v>
      </c>
      <c r="AM175" s="34" t="n">
        <f aca="false">AC175*AD175*AE175*AF175*AG175*AH175*AI175*AJ175*AK175*AL175</f>
        <v>6215.52821471093</v>
      </c>
      <c r="AN175" s="34" t="n">
        <f aca="false">AM175*EXP(-Car_Data!$B$123*Home_Data!$B$91)</f>
        <v>4526.91426216916</v>
      </c>
      <c r="AO175" s="34" t="n">
        <f aca="false">AM175*EXP(Car_Data!$B$123*Home_Data!$B$91)</f>
        <v>8534.02312270787</v>
      </c>
      <c r="AP175" s="39" t="str">
        <f aca="false">IF($U175&gt;0,IF(AND($U175&gt;=AN175,$U175&lt;=AO175),1,0),"")</f>
        <v/>
      </c>
      <c r="AQ175" s="40" t="str">
        <f aca="false">IF($U175&gt;0,$U175/AM175-1,"")</f>
        <v/>
      </c>
    </row>
    <row r="176" customFormat="false" ht="15" hidden="false" customHeight="false" outlineLevel="0" collapsed="false">
      <c r="A176" s="6" t="s">
        <v>447</v>
      </c>
      <c r="B176" s="6" t="s">
        <v>397</v>
      </c>
      <c r="C176" s="6" t="n">
        <v>3350</v>
      </c>
      <c r="D176" s="6" t="n">
        <v>1977</v>
      </c>
      <c r="E176" s="6" t="n">
        <v>11</v>
      </c>
      <c r="F176" s="6" t="s">
        <v>133</v>
      </c>
      <c r="G176" s="6" t="s">
        <v>136</v>
      </c>
      <c r="H176" s="6" t="n">
        <v>0</v>
      </c>
      <c r="I176" s="23" t="n">
        <v>685000</v>
      </c>
      <c r="J176" s="23" t="n">
        <v>1000</v>
      </c>
      <c r="K176" s="6" t="n">
        <v>300</v>
      </c>
      <c r="L176" s="6"/>
      <c r="M176" s="6" t="n">
        <v>0</v>
      </c>
      <c r="N176" s="6" t="n">
        <v>0</v>
      </c>
      <c r="O176" s="6" t="n">
        <v>0</v>
      </c>
      <c r="P176" s="6" t="n">
        <v>0</v>
      </c>
      <c r="Q176" s="6" t="n">
        <v>1</v>
      </c>
      <c r="R176" s="6" t="s">
        <v>403</v>
      </c>
      <c r="S176" s="5"/>
      <c r="T176" s="32"/>
      <c r="U176" s="17"/>
      <c r="V176" s="33" t="n">
        <f aca="false">MATCH($B176,Home_Data!$B$5:$B$56,0)</f>
        <v>5</v>
      </c>
      <c r="W176" s="34" t="n">
        <f aca="false">MIN(MAX($I176,50000),3000000)</f>
        <v>685000</v>
      </c>
      <c r="X176" s="35" t="n">
        <f aca="false">IFERROR(MIN(3,MAX(1,MATCH(W176,Home_Data!$C$4:$F$4,1))),1)</f>
        <v>3</v>
      </c>
      <c r="Y176" s="36" t="n">
        <f aca="false">INDEX(Home_Data!$C$5:$F$56,V176,X176)</f>
        <v>2090</v>
      </c>
      <c r="Z176" s="36" t="n">
        <f aca="false">INDEX(Home_Data!$C$5:$F$56,V176,X176+1)</f>
        <v>3092</v>
      </c>
      <c r="AA176" s="36" t="n">
        <f aca="false">INDEX(Home_Data!$C$4:$F$4,X176)</f>
        <v>400000</v>
      </c>
      <c r="AB176" s="36" t="n">
        <f aca="false">INDEX(Home_Data!$C$4:$F$4,X176+1)</f>
        <v>600000</v>
      </c>
      <c r="AC176" s="36" t="n">
        <f aca="false">IF($I176&lt;200000,INDEX(Home_Data!$C$5:$F$56,V176,1)*(MAX($I176,Home_Data!$B$90)/200000)^Home_Data!$B$89,Y176*(W176/AA176)^(LN(Z176/Y176)/LN(AB176/AA176)))</f>
        <v>3514.13862219193</v>
      </c>
      <c r="AD176" s="37" t="n">
        <f aca="false">IF($K176=100,Home_Data!$B$67,IF($K176=500,Home_Data!$B$69,Home_Data!$B$68))</f>
        <v>1</v>
      </c>
      <c r="AE176" s="37" t="n">
        <f aca="false">IF($J176&lt;=Home_Data!$B$61,Home_Data!$B$64,IF($J176&gt;=Home_Data!$B$63,Home_Data!$B$66,IF($J176&lt;=Home_Data!$B$62,Home_Data!$B$64+(Home_Data!$B$65-Home_Data!$B$64)*(LN($J176)-LN(Home_Data!$B$61))/(LN(Home_Data!$B$62)-LN(Home_Data!$B$61)),Home_Data!$B$65+(Home_Data!$B$66-Home_Data!$B$65)*(LN($J176)-LN(Home_Data!$B$62))/(LN(Home_Data!$B$63)-LN(Home_Data!$B$62)))))</f>
        <v>1</v>
      </c>
      <c r="AF176" s="38" t="n">
        <f aca="false">IF($E176&gt;=20,Home_Data!$B$80,IF($E176&gt;=10,Home_Data!$B$79,1))</f>
        <v>1.1</v>
      </c>
      <c r="AG176" s="38" t="n">
        <f aca="false">IF($D176&lt;1960,Home_Data!$B$81,IF($D176&lt;1980,Home_Data!$B$82,IF($D176&gt;=2000,Home_Data!$B$83,1)))</f>
        <v>1.08</v>
      </c>
      <c r="AH176" s="38" t="n">
        <f aca="false">IF($F176="brick",Home_Data!$B$78,1)</f>
        <v>1</v>
      </c>
      <c r="AI176" s="38" t="n">
        <f aca="false">IF($G176="rental",Home_Data!$B$84,IF($G176="vacation",Home_Data!$B$85,1))</f>
        <v>1</v>
      </c>
      <c r="AJ176" s="38" t="n">
        <f aca="false">INDEX(Home_Data!$B$70:$B$73,MIN(3,MAX(0,$H176))+1)</f>
        <v>1</v>
      </c>
      <c r="AK176" s="38" t="n">
        <f aca="false">IF(INDEX(Home_Data!$H$5:$H$56,V176)="Yes",1,IF($L176="poor",Home_Data!$B$74,IF($L176="fair",Home_Data!$B$75,IF($L176="excellent",Home_Data!$B$77,Home_Data!$B$76))))</f>
        <v>1</v>
      </c>
      <c r="AL176" s="38" t="n">
        <f aca="false">IF(($N176=1),Home_Data!$B$86,1)*IF(($O176=1),Home_Data!$B$87,1)*IF(($P176=1),Home_Data!$B$88,1)</f>
        <v>1</v>
      </c>
      <c r="AM176" s="34" t="n">
        <f aca="false">AC176*AD176*AE176*AF176*AG176*AH176*AI176*AJ176*AK176*AL176</f>
        <v>4174.79668316402</v>
      </c>
      <c r="AN176" s="34" t="n">
        <f aca="false">AM176*EXP(-Car_Data!$B$123*Home_Data!$B$91)</f>
        <v>3040.60185937884</v>
      </c>
      <c r="AO176" s="34" t="n">
        <f aca="false">AM176*EXP(Car_Data!$B$123*Home_Data!$B$91)</f>
        <v>5732.06495023252</v>
      </c>
      <c r="AP176" s="39" t="str">
        <f aca="false">IF($U176&gt;0,IF(AND($U176&gt;=AN176,$U176&lt;=AO176),1,0),"")</f>
        <v/>
      </c>
      <c r="AQ176" s="40" t="str">
        <f aca="false">IF($U176&gt;0,$U176/AM176-1,"")</f>
        <v/>
      </c>
    </row>
    <row r="177" customFormat="false" ht="15" hidden="false" customHeight="false" outlineLevel="0" collapsed="false">
      <c r="A177" s="6" t="s">
        <v>448</v>
      </c>
      <c r="B177" s="6" t="s">
        <v>397</v>
      </c>
      <c r="C177" s="6" t="n">
        <v>3150</v>
      </c>
      <c r="D177" s="6" t="n">
        <v>1968</v>
      </c>
      <c r="E177" s="6" t="n">
        <v>20</v>
      </c>
      <c r="F177" s="6" t="s">
        <v>133</v>
      </c>
      <c r="G177" s="6" t="s">
        <v>136</v>
      </c>
      <c r="H177" s="6" t="n">
        <v>2</v>
      </c>
      <c r="I177" s="23" t="n">
        <v>645000</v>
      </c>
      <c r="J177" s="23" t="n">
        <v>1000</v>
      </c>
      <c r="K177" s="6" t="n">
        <v>300</v>
      </c>
      <c r="L177" s="6"/>
      <c r="M177" s="6" t="n">
        <v>0</v>
      </c>
      <c r="N177" s="6" t="n">
        <v>0</v>
      </c>
      <c r="O177" s="6" t="n">
        <v>1</v>
      </c>
      <c r="P177" s="6" t="n">
        <v>0</v>
      </c>
      <c r="Q177" s="6" t="n">
        <v>0</v>
      </c>
      <c r="R177" s="6" t="s">
        <v>279</v>
      </c>
      <c r="S177" s="5"/>
      <c r="T177" s="32"/>
      <c r="U177" s="17"/>
      <c r="V177" s="33" t="n">
        <f aca="false">MATCH($B177,Home_Data!$B$5:$B$56,0)</f>
        <v>5</v>
      </c>
      <c r="W177" s="34" t="n">
        <f aca="false">MIN(MAX($I177,50000),3000000)</f>
        <v>645000</v>
      </c>
      <c r="X177" s="35" t="n">
        <f aca="false">IFERROR(MIN(3,MAX(1,MATCH(W177,Home_Data!$C$4:$F$4,1))),1)</f>
        <v>3</v>
      </c>
      <c r="Y177" s="36" t="n">
        <f aca="false">INDEX(Home_Data!$C$5:$F$56,V177,X177)</f>
        <v>2090</v>
      </c>
      <c r="Z177" s="36" t="n">
        <f aca="false">INDEX(Home_Data!$C$5:$F$56,V177,X177+1)</f>
        <v>3092</v>
      </c>
      <c r="AA177" s="36" t="n">
        <f aca="false">INDEX(Home_Data!$C$4:$F$4,X177)</f>
        <v>400000</v>
      </c>
      <c r="AB177" s="36" t="n">
        <f aca="false">INDEX(Home_Data!$C$4:$F$4,X177+1)</f>
        <v>600000</v>
      </c>
      <c r="AC177" s="36" t="n">
        <f aca="false">IF($I177&lt;200000,INDEX(Home_Data!$C$5:$F$56,V177,1)*(MAX($I177,Home_Data!$B$90)/200000)^Home_Data!$B$89,Y177*(W177/AA177)^(LN(Z177/Y177)/LN(AB177/AA177)))</f>
        <v>3315.72197319048</v>
      </c>
      <c r="AD177" s="37" t="n">
        <f aca="false">IF($K177=100,Home_Data!$B$67,IF($K177=500,Home_Data!$B$69,Home_Data!$B$68))</f>
        <v>1</v>
      </c>
      <c r="AE177" s="37" t="n">
        <f aca="false">IF($J177&lt;=Home_Data!$B$61,Home_Data!$B$64,IF($J177&gt;=Home_Data!$B$63,Home_Data!$B$66,IF($J177&lt;=Home_Data!$B$62,Home_Data!$B$64+(Home_Data!$B$65-Home_Data!$B$64)*(LN($J177)-LN(Home_Data!$B$61))/(LN(Home_Data!$B$62)-LN(Home_Data!$B$61)),Home_Data!$B$65+(Home_Data!$B$66-Home_Data!$B$65)*(LN($J177)-LN(Home_Data!$B$62))/(LN(Home_Data!$B$63)-LN(Home_Data!$B$62)))))</f>
        <v>1</v>
      </c>
      <c r="AF177" s="38" t="n">
        <f aca="false">IF($E177&gt;=20,Home_Data!$B$80,IF($E177&gt;=10,Home_Data!$B$79,1))</f>
        <v>1.3</v>
      </c>
      <c r="AG177" s="38" t="n">
        <f aca="false">IF($D177&lt;1960,Home_Data!$B$81,IF($D177&lt;1980,Home_Data!$B$82,IF($D177&gt;=2000,Home_Data!$B$83,1)))</f>
        <v>1.08</v>
      </c>
      <c r="AH177" s="38" t="n">
        <f aca="false">IF($F177="brick",Home_Data!$B$78,1)</f>
        <v>1</v>
      </c>
      <c r="AI177" s="38" t="n">
        <f aca="false">IF($G177="rental",Home_Data!$B$84,IF($G177="vacation",Home_Data!$B$85,1))</f>
        <v>1</v>
      </c>
      <c r="AJ177" s="38" t="n">
        <f aca="false">INDEX(Home_Data!$B$70:$B$73,MIN(3,MAX(0,$H177))+1)</f>
        <v>1.29</v>
      </c>
      <c r="AK177" s="38" t="n">
        <f aca="false">IF(INDEX(Home_Data!$H$5:$H$56,V177)="Yes",1,IF($L177="poor",Home_Data!$B$74,IF($L177="fair",Home_Data!$B$75,IF($L177="excellent",Home_Data!$B$77,Home_Data!$B$76))))</f>
        <v>1</v>
      </c>
      <c r="AL177" s="38" t="n">
        <f aca="false">IF(($N177=1),Home_Data!$B$86,1)*IF(($O177=1),Home_Data!$B$87,1)*IF(($P177=1),Home_Data!$B$88,1)</f>
        <v>1.15</v>
      </c>
      <c r="AM177" s="34" t="n">
        <f aca="false">AC177*AD177*AE177*AF177*AG177*AH177*AI177*AJ177*AK177*AL177</f>
        <v>6906.09846030822</v>
      </c>
      <c r="AN177" s="34" t="n">
        <f aca="false">AM177*EXP(-Car_Data!$B$123*Home_Data!$B$91)</f>
        <v>5029.87268916577</v>
      </c>
      <c r="AO177" s="34" t="n">
        <f aca="false">AM177*EXP(Car_Data!$B$123*Home_Data!$B$91)</f>
        <v>9482.18750073015</v>
      </c>
      <c r="AP177" s="39" t="str">
        <f aca="false">IF($U177&gt;0,IF(AND($U177&gt;=AN177,$U177&lt;=AO177),1,0),"")</f>
        <v/>
      </c>
      <c r="AQ177" s="40" t="str">
        <f aca="false">IF($U177&gt;0,$U177/AM177-1,"")</f>
        <v/>
      </c>
    </row>
    <row r="178" customFormat="false" ht="15" hidden="false" customHeight="false" outlineLevel="0" collapsed="false">
      <c r="A178" s="6" t="s">
        <v>449</v>
      </c>
      <c r="B178" s="6" t="s">
        <v>397</v>
      </c>
      <c r="C178" s="6" t="n">
        <v>2600</v>
      </c>
      <c r="D178" s="6" t="n">
        <v>1975</v>
      </c>
      <c r="E178" s="6" t="n">
        <v>15</v>
      </c>
      <c r="F178" s="6" t="s">
        <v>133</v>
      </c>
      <c r="G178" s="6" t="s">
        <v>136</v>
      </c>
      <c r="H178" s="6" t="n">
        <v>0</v>
      </c>
      <c r="I178" s="23" t="n">
        <v>525000</v>
      </c>
      <c r="J178" s="23" t="n">
        <v>5000</v>
      </c>
      <c r="K178" s="6" t="n">
        <v>300</v>
      </c>
      <c r="L178" s="6"/>
      <c r="M178" s="6" t="n">
        <v>0</v>
      </c>
      <c r="N178" s="6" t="n">
        <v>0</v>
      </c>
      <c r="O178" s="6" t="n">
        <v>0</v>
      </c>
      <c r="P178" s="6" t="n">
        <v>0</v>
      </c>
      <c r="Q178" s="6" t="n">
        <v>0</v>
      </c>
      <c r="R178" s="6" t="s">
        <v>267</v>
      </c>
      <c r="S178" s="5"/>
      <c r="T178" s="32"/>
      <c r="U178" s="17"/>
      <c r="V178" s="33" t="n">
        <f aca="false">MATCH($B178,Home_Data!$B$5:$B$56,0)</f>
        <v>5</v>
      </c>
      <c r="W178" s="34" t="n">
        <f aca="false">MIN(MAX($I178,50000),3000000)</f>
        <v>525000</v>
      </c>
      <c r="X178" s="35" t="n">
        <f aca="false">IFERROR(MIN(3,MAX(1,MATCH(W178,Home_Data!$C$4:$F$4,1))),1)</f>
        <v>3</v>
      </c>
      <c r="Y178" s="36" t="n">
        <f aca="false">INDEX(Home_Data!$C$5:$F$56,V178,X178)</f>
        <v>2090</v>
      </c>
      <c r="Z178" s="36" t="n">
        <f aca="false">INDEX(Home_Data!$C$5:$F$56,V178,X178+1)</f>
        <v>3092</v>
      </c>
      <c r="AA178" s="36" t="n">
        <f aca="false">INDEX(Home_Data!$C$4:$F$4,X178)</f>
        <v>400000</v>
      </c>
      <c r="AB178" s="36" t="n">
        <f aca="false">INDEX(Home_Data!$C$4:$F$4,X178+1)</f>
        <v>600000</v>
      </c>
      <c r="AC178" s="36" t="n">
        <f aca="false">IF($I178&lt;200000,INDEX(Home_Data!$C$5:$F$56,V178,1)*(MAX($I178,Home_Data!$B$90)/200000)^Home_Data!$B$89,Y178*(W178/AA178)^(LN(Z178/Y178)/LN(AB178/AA178)))</f>
        <v>2717.83365964675</v>
      </c>
      <c r="AD178" s="37" t="n">
        <f aca="false">IF($K178=100,Home_Data!$B$67,IF($K178=500,Home_Data!$B$69,Home_Data!$B$68))</f>
        <v>1</v>
      </c>
      <c r="AE178" s="37" t="n">
        <f aca="false">IF($J178&lt;=Home_Data!$B$61,Home_Data!$B$64,IF($J178&gt;=Home_Data!$B$63,Home_Data!$B$66,IF($J178&lt;=Home_Data!$B$62,Home_Data!$B$64+(Home_Data!$B$65-Home_Data!$B$64)*(LN($J178)-LN(Home_Data!$B$61))/(LN(Home_Data!$B$62)-LN(Home_Data!$B$61)),Home_Data!$B$65+(Home_Data!$B$66-Home_Data!$B$65)*(LN($J178)-LN(Home_Data!$B$62))/(LN(Home_Data!$B$63)-LN(Home_Data!$B$62)))))</f>
        <v>0.84</v>
      </c>
      <c r="AF178" s="38" t="n">
        <f aca="false">IF($E178&gt;=20,Home_Data!$B$80,IF($E178&gt;=10,Home_Data!$B$79,1))</f>
        <v>1.1</v>
      </c>
      <c r="AG178" s="38" t="n">
        <f aca="false">IF($D178&lt;1960,Home_Data!$B$81,IF($D178&lt;1980,Home_Data!$B$82,IF($D178&gt;=2000,Home_Data!$B$83,1)))</f>
        <v>1.08</v>
      </c>
      <c r="AH178" s="38" t="n">
        <f aca="false">IF($F178="brick",Home_Data!$B$78,1)</f>
        <v>1</v>
      </c>
      <c r="AI178" s="38" t="n">
        <f aca="false">IF($G178="rental",Home_Data!$B$84,IF($G178="vacation",Home_Data!$B$85,1))</f>
        <v>1</v>
      </c>
      <c r="AJ178" s="38" t="n">
        <f aca="false">INDEX(Home_Data!$B$70:$B$73,MIN(3,MAX(0,$H178))+1)</f>
        <v>1</v>
      </c>
      <c r="AK178" s="38" t="n">
        <f aca="false">IF(INDEX(Home_Data!$H$5:$H$56,V178)="Yes",1,IF($L178="poor",Home_Data!$B$74,IF($L178="fair",Home_Data!$B$75,IF($L178="excellent",Home_Data!$B$77,Home_Data!$B$76))))</f>
        <v>1</v>
      </c>
      <c r="AL178" s="38" t="n">
        <f aca="false">IF(($N178=1),Home_Data!$B$86,1)*IF(($O178=1),Home_Data!$B$87,1)*IF(($P178=1),Home_Data!$B$88,1)</f>
        <v>1</v>
      </c>
      <c r="AM178" s="34" t="n">
        <f aca="false">AC178*AD178*AE178*AF178*AG178*AH178*AI178*AJ178*AK178*AL178</f>
        <v>2712.18056563468</v>
      </c>
      <c r="AN178" s="34" t="n">
        <f aca="false">AM178*EXP(-Car_Data!$B$123*Home_Data!$B$91)</f>
        <v>1975.3444051771</v>
      </c>
      <c r="AO178" s="34" t="n">
        <f aca="false">AM178*EXP(Car_Data!$B$123*Home_Data!$B$91)</f>
        <v>3723.86881058696</v>
      </c>
      <c r="AP178" s="39" t="str">
        <f aca="false">IF($U178&gt;0,IF(AND($U178&gt;=AN178,$U178&lt;=AO178),1,0),"")</f>
        <v/>
      </c>
      <c r="AQ178" s="40" t="str">
        <f aca="false">IF($U178&gt;0,$U178/AM178-1,"")</f>
        <v/>
      </c>
    </row>
    <row r="179" customFormat="false" ht="15" hidden="false" customHeight="false" outlineLevel="0" collapsed="false">
      <c r="A179" s="6" t="s">
        <v>450</v>
      </c>
      <c r="B179" s="6" t="s">
        <v>397</v>
      </c>
      <c r="C179" s="6" t="n">
        <v>1400</v>
      </c>
      <c r="D179" s="6" t="n">
        <v>2015</v>
      </c>
      <c r="E179" s="6" t="n">
        <v>5</v>
      </c>
      <c r="F179" s="6" t="s">
        <v>133</v>
      </c>
      <c r="G179" s="6" t="s">
        <v>136</v>
      </c>
      <c r="H179" s="6" t="n">
        <v>0</v>
      </c>
      <c r="I179" s="23" t="n">
        <v>285000</v>
      </c>
      <c r="J179" s="23" t="n">
        <v>1000</v>
      </c>
      <c r="K179" s="6" t="n">
        <v>300</v>
      </c>
      <c r="L179" s="6"/>
      <c r="M179" s="6" t="n">
        <v>0</v>
      </c>
      <c r="N179" s="6" t="n">
        <v>0</v>
      </c>
      <c r="O179" s="6" t="n">
        <v>0</v>
      </c>
      <c r="P179" s="6" t="n">
        <v>0</v>
      </c>
      <c r="Q179" s="6" t="n">
        <v>1</v>
      </c>
      <c r="R179" s="6" t="s">
        <v>403</v>
      </c>
      <c r="S179" s="5"/>
      <c r="T179" s="32"/>
      <c r="U179" s="17"/>
      <c r="V179" s="33" t="n">
        <f aca="false">MATCH($B179,Home_Data!$B$5:$B$56,0)</f>
        <v>5</v>
      </c>
      <c r="W179" s="34" t="n">
        <f aca="false">MIN(MAX($I179,50000),3000000)</f>
        <v>285000</v>
      </c>
      <c r="X179" s="35" t="n">
        <f aca="false">IFERROR(MIN(3,MAX(1,MATCH(W179,Home_Data!$C$4:$F$4,1))),1)</f>
        <v>1</v>
      </c>
      <c r="Y179" s="36" t="n">
        <f aca="false">INDEX(Home_Data!$C$5:$F$56,V179,X179)</f>
        <v>1244</v>
      </c>
      <c r="Z179" s="36" t="n">
        <f aca="false">INDEX(Home_Data!$C$5:$F$56,V179,X179+1)</f>
        <v>1653</v>
      </c>
      <c r="AA179" s="36" t="n">
        <f aca="false">INDEX(Home_Data!$C$4:$F$4,X179)</f>
        <v>200000</v>
      </c>
      <c r="AB179" s="36" t="n">
        <f aca="false">INDEX(Home_Data!$C$4:$F$4,X179+1)</f>
        <v>300000</v>
      </c>
      <c r="AC179" s="36" t="n">
        <f aca="false">IF($I179&lt;200000,INDEX(Home_Data!$C$5:$F$56,V179,1)*(MAX($I179,Home_Data!$B$90)/200000)^Home_Data!$B$89,Y179*(W179/AA179)^(LN(Z179/Y179)/LN(AB179/AA179)))</f>
        <v>1594.61380467951</v>
      </c>
      <c r="AD179" s="37" t="n">
        <f aca="false">IF($K179=100,Home_Data!$B$67,IF($K179=500,Home_Data!$B$69,Home_Data!$B$68))</f>
        <v>1</v>
      </c>
      <c r="AE179" s="37" t="n">
        <f aca="false">IF($J179&lt;=Home_Data!$B$61,Home_Data!$B$64,IF($J179&gt;=Home_Data!$B$63,Home_Data!$B$66,IF($J179&lt;=Home_Data!$B$62,Home_Data!$B$64+(Home_Data!$B$65-Home_Data!$B$64)*(LN($J179)-LN(Home_Data!$B$61))/(LN(Home_Data!$B$62)-LN(Home_Data!$B$61)),Home_Data!$B$65+(Home_Data!$B$66-Home_Data!$B$65)*(LN($J179)-LN(Home_Data!$B$62))/(LN(Home_Data!$B$63)-LN(Home_Data!$B$62)))))</f>
        <v>1</v>
      </c>
      <c r="AF179" s="38" t="n">
        <f aca="false">IF($E179&gt;=20,Home_Data!$B$80,IF($E179&gt;=10,Home_Data!$B$79,1))</f>
        <v>1</v>
      </c>
      <c r="AG179" s="38" t="n">
        <f aca="false">IF($D179&lt;1960,Home_Data!$B$81,IF($D179&lt;1980,Home_Data!$B$82,IF($D179&gt;=2000,Home_Data!$B$83,1)))</f>
        <v>0.95</v>
      </c>
      <c r="AH179" s="38" t="n">
        <f aca="false">IF($F179="brick",Home_Data!$B$78,1)</f>
        <v>1</v>
      </c>
      <c r="AI179" s="38" t="n">
        <f aca="false">IF($G179="rental",Home_Data!$B$84,IF($G179="vacation",Home_Data!$B$85,1))</f>
        <v>1</v>
      </c>
      <c r="AJ179" s="38" t="n">
        <f aca="false">INDEX(Home_Data!$B$70:$B$73,MIN(3,MAX(0,$H179))+1)</f>
        <v>1</v>
      </c>
      <c r="AK179" s="38" t="n">
        <f aca="false">IF(INDEX(Home_Data!$H$5:$H$56,V179)="Yes",1,IF($L179="poor",Home_Data!$B$74,IF($L179="fair",Home_Data!$B$75,IF($L179="excellent",Home_Data!$B$77,Home_Data!$B$76))))</f>
        <v>1</v>
      </c>
      <c r="AL179" s="38" t="n">
        <f aca="false">IF(($N179=1),Home_Data!$B$86,1)*IF(($O179=1),Home_Data!$B$87,1)*IF(($P179=1),Home_Data!$B$88,1)</f>
        <v>1</v>
      </c>
      <c r="AM179" s="34" t="n">
        <f aca="false">AC179*AD179*AE179*AF179*AG179*AH179*AI179*AJ179*AK179*AL179</f>
        <v>1514.88311444553</v>
      </c>
      <c r="AN179" s="34" t="n">
        <f aca="false">AM179*EXP(-Car_Data!$B$123*Home_Data!$B$91)</f>
        <v>1103.32472790837</v>
      </c>
      <c r="AO179" s="34" t="n">
        <f aca="false">AM179*EXP(Car_Data!$B$123*Home_Data!$B$91)</f>
        <v>2079.95959157257</v>
      </c>
      <c r="AP179" s="39" t="str">
        <f aca="false">IF($U179&gt;0,IF(AND($U179&gt;=AN179,$U179&lt;=AO179),1,0),"")</f>
        <v/>
      </c>
      <c r="AQ179" s="40" t="str">
        <f aca="false">IF($U179&gt;0,$U179/AM179-1,"")</f>
        <v/>
      </c>
    </row>
    <row r="180" customFormat="false" ht="15" hidden="false" customHeight="false" outlineLevel="0" collapsed="false">
      <c r="A180" s="6" t="s">
        <v>451</v>
      </c>
      <c r="B180" s="6" t="s">
        <v>397</v>
      </c>
      <c r="C180" s="6" t="n">
        <v>3000</v>
      </c>
      <c r="D180" s="6" t="n">
        <v>2002</v>
      </c>
      <c r="E180" s="6" t="n">
        <v>14</v>
      </c>
      <c r="F180" s="6" t="s">
        <v>133</v>
      </c>
      <c r="G180" s="6" t="s">
        <v>136</v>
      </c>
      <c r="H180" s="6" t="n">
        <v>0</v>
      </c>
      <c r="I180" s="23" t="n">
        <v>635000</v>
      </c>
      <c r="J180" s="23" t="n">
        <v>5000</v>
      </c>
      <c r="K180" s="6" t="n">
        <v>300</v>
      </c>
      <c r="L180" s="6"/>
      <c r="M180" s="6" t="n">
        <v>0</v>
      </c>
      <c r="N180" s="6" t="n">
        <v>0</v>
      </c>
      <c r="O180" s="6" t="n">
        <v>1</v>
      </c>
      <c r="P180" s="6" t="n">
        <v>0</v>
      </c>
      <c r="Q180" s="6" t="n">
        <v>0</v>
      </c>
      <c r="R180" s="6" t="s">
        <v>279</v>
      </c>
      <c r="S180" s="5"/>
      <c r="T180" s="32"/>
      <c r="U180" s="17"/>
      <c r="V180" s="33" t="n">
        <f aca="false">MATCH($B180,Home_Data!$B$5:$B$56,0)</f>
        <v>5</v>
      </c>
      <c r="W180" s="34" t="n">
        <f aca="false">MIN(MAX($I180,50000),3000000)</f>
        <v>635000</v>
      </c>
      <c r="X180" s="35" t="n">
        <f aca="false">IFERROR(MIN(3,MAX(1,MATCH(W180,Home_Data!$C$4:$F$4,1))),1)</f>
        <v>3</v>
      </c>
      <c r="Y180" s="36" t="n">
        <f aca="false">INDEX(Home_Data!$C$5:$F$56,V180,X180)</f>
        <v>2090</v>
      </c>
      <c r="Z180" s="36" t="n">
        <f aca="false">INDEX(Home_Data!$C$5:$F$56,V180,X180+1)</f>
        <v>3092</v>
      </c>
      <c r="AA180" s="36" t="n">
        <f aca="false">INDEX(Home_Data!$C$4:$F$4,X180)</f>
        <v>400000</v>
      </c>
      <c r="AB180" s="36" t="n">
        <f aca="false">INDEX(Home_Data!$C$4:$F$4,X180+1)</f>
        <v>600000</v>
      </c>
      <c r="AC180" s="36" t="n">
        <f aca="false">IF($I180&lt;200000,INDEX(Home_Data!$C$5:$F$56,V180,1)*(MAX($I180,Home_Data!$B$90)/200000)^Home_Data!$B$89,Y180*(W180/AA180)^(LN(Z180/Y180)/LN(AB180/AA180)))</f>
        <v>3266.05327005106</v>
      </c>
      <c r="AD180" s="37" t="n">
        <f aca="false">IF($K180=100,Home_Data!$B$67,IF($K180=500,Home_Data!$B$69,Home_Data!$B$68))</f>
        <v>1</v>
      </c>
      <c r="AE180" s="37" t="n">
        <f aca="false">IF($J180&lt;=Home_Data!$B$61,Home_Data!$B$64,IF($J180&gt;=Home_Data!$B$63,Home_Data!$B$66,IF($J180&lt;=Home_Data!$B$62,Home_Data!$B$64+(Home_Data!$B$65-Home_Data!$B$64)*(LN($J180)-LN(Home_Data!$B$61))/(LN(Home_Data!$B$62)-LN(Home_Data!$B$61)),Home_Data!$B$65+(Home_Data!$B$66-Home_Data!$B$65)*(LN($J180)-LN(Home_Data!$B$62))/(LN(Home_Data!$B$63)-LN(Home_Data!$B$62)))))</f>
        <v>0.84</v>
      </c>
      <c r="AF180" s="38" t="n">
        <f aca="false">IF($E180&gt;=20,Home_Data!$B$80,IF($E180&gt;=10,Home_Data!$B$79,1))</f>
        <v>1.1</v>
      </c>
      <c r="AG180" s="38" t="n">
        <f aca="false">IF($D180&lt;1960,Home_Data!$B$81,IF($D180&lt;1980,Home_Data!$B$82,IF($D180&gt;=2000,Home_Data!$B$83,1)))</f>
        <v>0.95</v>
      </c>
      <c r="AH180" s="38" t="n">
        <f aca="false">IF($F180="brick",Home_Data!$B$78,1)</f>
        <v>1</v>
      </c>
      <c r="AI180" s="38" t="n">
        <f aca="false">IF($G180="rental",Home_Data!$B$84,IF($G180="vacation",Home_Data!$B$85,1))</f>
        <v>1</v>
      </c>
      <c r="AJ180" s="38" t="n">
        <f aca="false">INDEX(Home_Data!$B$70:$B$73,MIN(3,MAX(0,$H180))+1)</f>
        <v>1</v>
      </c>
      <c r="AK180" s="38" t="n">
        <f aca="false">IF(INDEX(Home_Data!$H$5:$H$56,V180)="Yes",1,IF($L180="poor",Home_Data!$B$74,IF($L180="fair",Home_Data!$B$75,IF($L180="excellent",Home_Data!$B$77,Home_Data!$B$76))))</f>
        <v>1</v>
      </c>
      <c r="AL180" s="38" t="n">
        <f aca="false">IF(($N180=1),Home_Data!$B$86,1)*IF(($O180=1),Home_Data!$B$87,1)*IF(($P180=1),Home_Data!$B$88,1)</f>
        <v>1.15</v>
      </c>
      <c r="AM180" s="34" t="n">
        <f aca="false">AC180*AD180*AE180*AF180*AG180*AH180*AI180*AJ180*AK180*AL180</f>
        <v>3296.98279451844</v>
      </c>
      <c r="AN180" s="34" t="n">
        <f aca="false">AM180*EXP(-Car_Data!$B$123*Home_Data!$B$91)</f>
        <v>2401.26951709542</v>
      </c>
      <c r="AO180" s="34" t="n">
        <f aca="false">AM180*EXP(Car_Data!$B$123*Home_Data!$B$91)</f>
        <v>4526.811950913</v>
      </c>
      <c r="AP180" s="39" t="str">
        <f aca="false">IF($U180&gt;0,IF(AND($U180&gt;=AN180,$U180&lt;=AO180),1,0),"")</f>
        <v/>
      </c>
      <c r="AQ180" s="40" t="str">
        <f aca="false">IF($U180&gt;0,$U180/AM180-1,"")</f>
        <v/>
      </c>
    </row>
    <row r="181" customFormat="false" ht="15" hidden="false" customHeight="false" outlineLevel="0" collapsed="false">
      <c r="A181" s="6" t="s">
        <v>452</v>
      </c>
      <c r="B181" s="6" t="s">
        <v>397</v>
      </c>
      <c r="C181" s="6" t="n">
        <v>3000</v>
      </c>
      <c r="D181" s="6" t="n">
        <v>2004</v>
      </c>
      <c r="E181" s="6" t="n">
        <v>9</v>
      </c>
      <c r="F181" s="6" t="s">
        <v>133</v>
      </c>
      <c r="G181" s="6" t="s">
        <v>136</v>
      </c>
      <c r="H181" s="6" t="n">
        <v>0</v>
      </c>
      <c r="I181" s="23" t="n">
        <v>865000</v>
      </c>
      <c r="J181" s="23" t="n">
        <v>2500</v>
      </c>
      <c r="K181" s="6" t="n">
        <v>100</v>
      </c>
      <c r="L181" s="6"/>
      <c r="M181" s="6" t="n">
        <v>1</v>
      </c>
      <c r="N181" s="6" t="n">
        <v>0</v>
      </c>
      <c r="O181" s="6" t="n">
        <v>0</v>
      </c>
      <c r="P181" s="6" t="n">
        <v>0</v>
      </c>
      <c r="Q181" s="6" t="n">
        <v>1</v>
      </c>
      <c r="R181" s="6" t="s">
        <v>453</v>
      </c>
      <c r="S181" s="5"/>
      <c r="T181" s="32"/>
      <c r="U181" s="17"/>
      <c r="V181" s="33" t="n">
        <f aca="false">MATCH($B181,Home_Data!$B$5:$B$56,0)</f>
        <v>5</v>
      </c>
      <c r="W181" s="34" t="n">
        <f aca="false">MIN(MAX($I181,50000),3000000)</f>
        <v>865000</v>
      </c>
      <c r="X181" s="35" t="n">
        <f aca="false">IFERROR(MIN(3,MAX(1,MATCH(W181,Home_Data!$C$4:$F$4,1))),1)</f>
        <v>3</v>
      </c>
      <c r="Y181" s="36" t="n">
        <f aca="false">INDEX(Home_Data!$C$5:$F$56,V181,X181)</f>
        <v>2090</v>
      </c>
      <c r="Z181" s="36" t="n">
        <f aca="false">INDEX(Home_Data!$C$5:$F$56,V181,X181+1)</f>
        <v>3092</v>
      </c>
      <c r="AA181" s="36" t="n">
        <f aca="false">INDEX(Home_Data!$C$4:$F$4,X181)</f>
        <v>400000</v>
      </c>
      <c r="AB181" s="36" t="n">
        <f aca="false">INDEX(Home_Data!$C$4:$F$4,X181+1)</f>
        <v>600000</v>
      </c>
      <c r="AC181" s="36" t="n">
        <f aca="false">IF($I181&lt;200000,INDEX(Home_Data!$C$5:$F$56,V181,1)*(MAX($I181,Home_Data!$B$90)/200000)^Home_Data!$B$89,Y181*(W181/AA181)^(LN(Z181/Y181)/LN(AB181/AA181)))</f>
        <v>4402.43600811782</v>
      </c>
      <c r="AD181" s="37" t="n">
        <f aca="false">IF($K181=100,Home_Data!$B$67,IF($K181=500,Home_Data!$B$69,Home_Data!$B$68))</f>
        <v>0.991</v>
      </c>
      <c r="AE181" s="37" t="n">
        <f aca="false">IF($J181&lt;=Home_Data!$B$61,Home_Data!$B$64,IF($J181&gt;=Home_Data!$B$63,Home_Data!$B$66,IF($J181&lt;=Home_Data!$B$62,Home_Data!$B$64+(Home_Data!$B$65-Home_Data!$B$64)*(LN($J181)-LN(Home_Data!$B$61))/(LN(Home_Data!$B$62)-LN(Home_Data!$B$61)),Home_Data!$B$65+(Home_Data!$B$66-Home_Data!$B$65)*(LN($J181)-LN(Home_Data!$B$62))/(LN(Home_Data!$B$63)-LN(Home_Data!$B$62)))))</f>
        <v>0.91</v>
      </c>
      <c r="AF181" s="38" t="n">
        <f aca="false">IF($E181&gt;=20,Home_Data!$B$80,IF($E181&gt;=10,Home_Data!$B$79,1))</f>
        <v>1</v>
      </c>
      <c r="AG181" s="38" t="n">
        <f aca="false">IF($D181&lt;1960,Home_Data!$B$81,IF($D181&lt;1980,Home_Data!$B$82,IF($D181&gt;=2000,Home_Data!$B$83,1)))</f>
        <v>0.95</v>
      </c>
      <c r="AH181" s="38" t="n">
        <f aca="false">IF($F181="brick",Home_Data!$B$78,1)</f>
        <v>1</v>
      </c>
      <c r="AI181" s="38" t="n">
        <f aca="false">IF($G181="rental",Home_Data!$B$84,IF($G181="vacation",Home_Data!$B$85,1))</f>
        <v>1</v>
      </c>
      <c r="AJ181" s="38" t="n">
        <f aca="false">INDEX(Home_Data!$B$70:$B$73,MIN(3,MAX(0,$H181))+1)</f>
        <v>1</v>
      </c>
      <c r="AK181" s="38" t="n">
        <f aca="false">IF(INDEX(Home_Data!$H$5:$H$56,V181)="Yes",1,IF($L181="poor",Home_Data!$B$74,IF($L181="fair",Home_Data!$B$75,IF($L181="excellent",Home_Data!$B$77,Home_Data!$B$76))))</f>
        <v>1</v>
      </c>
      <c r="AL181" s="38" t="n">
        <f aca="false">IF(($N181=1),Home_Data!$B$86,1)*IF(($O181=1),Home_Data!$B$87,1)*IF(($P181=1),Home_Data!$B$88,1)</f>
        <v>1</v>
      </c>
      <c r="AM181" s="34" t="n">
        <f aca="false">AC181*AD181*AE181*AF181*AG181*AH181*AI181*AJ181*AK181*AL181</f>
        <v>3771.65277565669</v>
      </c>
      <c r="AN181" s="34" t="n">
        <f aca="false">AM181*EXP(-Car_Data!$B$123*Home_Data!$B$91)</f>
        <v>2746.98274261864</v>
      </c>
      <c r="AO181" s="34" t="n">
        <f aca="false">AM181*EXP(Car_Data!$B$123*Home_Data!$B$91)</f>
        <v>5178.54169209599</v>
      </c>
      <c r="AP181" s="39" t="str">
        <f aca="false">IF($U181&gt;0,IF(AND($U181&gt;=AN181,$U181&lt;=AO181),1,0),"")</f>
        <v/>
      </c>
      <c r="AQ181" s="40" t="str">
        <f aca="false">IF($U181&gt;0,$U181/AM181-1,"")</f>
        <v/>
      </c>
    </row>
    <row r="182" customFormat="false" ht="15" hidden="false" customHeight="false" outlineLevel="0" collapsed="false">
      <c r="A182" s="6" t="s">
        <v>454</v>
      </c>
      <c r="B182" s="6" t="s">
        <v>397</v>
      </c>
      <c r="C182" s="6" t="n">
        <v>2300</v>
      </c>
      <c r="D182" s="6" t="n">
        <v>1990</v>
      </c>
      <c r="E182" s="6" t="n">
        <v>16</v>
      </c>
      <c r="F182" s="6" t="s">
        <v>261</v>
      </c>
      <c r="G182" s="6" t="s">
        <v>136</v>
      </c>
      <c r="H182" s="6" t="n">
        <v>0</v>
      </c>
      <c r="I182" s="23" t="n">
        <v>560000</v>
      </c>
      <c r="J182" s="23" t="n">
        <v>1000</v>
      </c>
      <c r="K182" s="6" t="n">
        <v>300</v>
      </c>
      <c r="L182" s="6"/>
      <c r="M182" s="6" t="n">
        <v>0</v>
      </c>
      <c r="N182" s="6" t="n">
        <v>0</v>
      </c>
      <c r="O182" s="6" t="n">
        <v>0</v>
      </c>
      <c r="P182" s="6" t="n">
        <v>0</v>
      </c>
      <c r="Q182" s="6" t="n">
        <v>1</v>
      </c>
      <c r="R182" s="6" t="s">
        <v>403</v>
      </c>
      <c r="S182" s="5"/>
      <c r="T182" s="32"/>
      <c r="U182" s="17"/>
      <c r="V182" s="33" t="n">
        <f aca="false">MATCH($B182,Home_Data!$B$5:$B$56,0)</f>
        <v>5</v>
      </c>
      <c r="W182" s="34" t="n">
        <f aca="false">MIN(MAX($I182,50000),3000000)</f>
        <v>560000</v>
      </c>
      <c r="X182" s="35" t="n">
        <f aca="false">IFERROR(MIN(3,MAX(1,MATCH(W182,Home_Data!$C$4:$F$4,1))),1)</f>
        <v>3</v>
      </c>
      <c r="Y182" s="36" t="n">
        <f aca="false">INDEX(Home_Data!$C$5:$F$56,V182,X182)</f>
        <v>2090</v>
      </c>
      <c r="Z182" s="36" t="n">
        <f aca="false">INDEX(Home_Data!$C$5:$F$56,V182,X182+1)</f>
        <v>3092</v>
      </c>
      <c r="AA182" s="36" t="n">
        <f aca="false">INDEX(Home_Data!$C$4:$F$4,X182)</f>
        <v>400000</v>
      </c>
      <c r="AB182" s="36" t="n">
        <f aca="false">INDEX(Home_Data!$C$4:$F$4,X182+1)</f>
        <v>600000</v>
      </c>
      <c r="AC182" s="36" t="n">
        <f aca="false">IF($I182&lt;200000,INDEX(Home_Data!$C$5:$F$56,V182,1)*(MAX($I182,Home_Data!$B$90)/200000)^Home_Data!$B$89,Y182*(W182/AA182)^(LN(Z182/Y182)/LN(AB182/AA182)))</f>
        <v>2892.65657468258</v>
      </c>
      <c r="AD182" s="37" t="n">
        <f aca="false">IF($K182=100,Home_Data!$B$67,IF($K182=500,Home_Data!$B$69,Home_Data!$B$68))</f>
        <v>1</v>
      </c>
      <c r="AE182" s="37" t="n">
        <f aca="false">IF($J182&lt;=Home_Data!$B$61,Home_Data!$B$64,IF($J182&gt;=Home_Data!$B$63,Home_Data!$B$66,IF($J182&lt;=Home_Data!$B$62,Home_Data!$B$64+(Home_Data!$B$65-Home_Data!$B$64)*(LN($J182)-LN(Home_Data!$B$61))/(LN(Home_Data!$B$62)-LN(Home_Data!$B$61)),Home_Data!$B$65+(Home_Data!$B$66-Home_Data!$B$65)*(LN($J182)-LN(Home_Data!$B$62))/(LN(Home_Data!$B$63)-LN(Home_Data!$B$62)))))</f>
        <v>1</v>
      </c>
      <c r="AF182" s="38" t="n">
        <f aca="false">IF($E182&gt;=20,Home_Data!$B$80,IF($E182&gt;=10,Home_Data!$B$79,1))</f>
        <v>1.1</v>
      </c>
      <c r="AG182" s="38" t="n">
        <f aca="false">IF($D182&lt;1960,Home_Data!$B$81,IF($D182&lt;1980,Home_Data!$B$82,IF($D182&gt;=2000,Home_Data!$B$83,1)))</f>
        <v>1</v>
      </c>
      <c r="AH182" s="38" t="n">
        <f aca="false">IF($F182="brick",Home_Data!$B$78,1)</f>
        <v>0.98</v>
      </c>
      <c r="AI182" s="38" t="n">
        <f aca="false">IF($G182="rental",Home_Data!$B$84,IF($G182="vacation",Home_Data!$B$85,1))</f>
        <v>1</v>
      </c>
      <c r="AJ182" s="38" t="n">
        <f aca="false">INDEX(Home_Data!$B$70:$B$73,MIN(3,MAX(0,$H182))+1)</f>
        <v>1</v>
      </c>
      <c r="AK182" s="38" t="n">
        <f aca="false">IF(INDEX(Home_Data!$H$5:$H$56,V182)="Yes",1,IF($L182="poor",Home_Data!$B$74,IF($L182="fair",Home_Data!$B$75,IF($L182="excellent",Home_Data!$B$77,Home_Data!$B$76))))</f>
        <v>1</v>
      </c>
      <c r="AL182" s="38" t="n">
        <f aca="false">IF(($N182=1),Home_Data!$B$86,1)*IF(($O182=1),Home_Data!$B$87,1)*IF(($P182=1),Home_Data!$B$88,1)</f>
        <v>1</v>
      </c>
      <c r="AM182" s="34" t="n">
        <f aca="false">AC182*AD182*AE182*AF182*AG182*AH182*AI182*AJ182*AK182*AL182</f>
        <v>3118.28378750782</v>
      </c>
      <c r="AN182" s="34" t="n">
        <f aca="false">AM182*EXP(-Car_Data!$B$123*Home_Data!$B$91)</f>
        <v>2271.11885965697</v>
      </c>
      <c r="AO182" s="34" t="n">
        <f aca="false">AM182*EXP(Car_Data!$B$123*Home_Data!$B$91)</f>
        <v>4281.45525633245</v>
      </c>
      <c r="AP182" s="39" t="str">
        <f aca="false">IF($U182&gt;0,IF(AND($U182&gt;=AN182,$U182&lt;=AO182),1,0),"")</f>
        <v/>
      </c>
      <c r="AQ182" s="40" t="str">
        <f aca="false">IF($U182&gt;0,$U182/AM182-1,"")</f>
        <v/>
      </c>
    </row>
    <row r="183" customFormat="false" ht="15" hidden="false" customHeight="false" outlineLevel="0" collapsed="false">
      <c r="A183" s="6" t="s">
        <v>455</v>
      </c>
      <c r="B183" s="6" t="s">
        <v>397</v>
      </c>
      <c r="C183" s="6" t="n">
        <v>1450</v>
      </c>
      <c r="D183" s="6" t="n">
        <v>2021</v>
      </c>
      <c r="E183" s="6" t="n">
        <v>3</v>
      </c>
      <c r="F183" s="6" t="s">
        <v>133</v>
      </c>
      <c r="G183" s="6" t="s">
        <v>136</v>
      </c>
      <c r="H183" s="6" t="n">
        <v>1</v>
      </c>
      <c r="I183" s="23" t="n">
        <v>290000</v>
      </c>
      <c r="J183" s="23" t="n">
        <v>2500</v>
      </c>
      <c r="K183" s="6" t="n">
        <v>300</v>
      </c>
      <c r="L183" s="6"/>
      <c r="M183" s="6" t="n">
        <v>0</v>
      </c>
      <c r="N183" s="6" t="n">
        <v>0</v>
      </c>
      <c r="O183" s="6" t="n">
        <v>0</v>
      </c>
      <c r="P183" s="6" t="n">
        <v>0</v>
      </c>
      <c r="Q183" s="6" t="n">
        <v>1</v>
      </c>
      <c r="R183" s="6" t="s">
        <v>403</v>
      </c>
      <c r="S183" s="5"/>
      <c r="T183" s="32"/>
      <c r="U183" s="17"/>
      <c r="V183" s="33" t="n">
        <f aca="false">MATCH($B183,Home_Data!$B$5:$B$56,0)</f>
        <v>5</v>
      </c>
      <c r="W183" s="34" t="n">
        <f aca="false">MIN(MAX($I183,50000),3000000)</f>
        <v>290000</v>
      </c>
      <c r="X183" s="35" t="n">
        <f aca="false">IFERROR(MIN(3,MAX(1,MATCH(W183,Home_Data!$C$4:$F$4,1))),1)</f>
        <v>1</v>
      </c>
      <c r="Y183" s="36" t="n">
        <f aca="false">INDEX(Home_Data!$C$5:$F$56,V183,X183)</f>
        <v>1244</v>
      </c>
      <c r="Z183" s="36" t="n">
        <f aca="false">INDEX(Home_Data!$C$5:$F$56,V183,X183+1)</f>
        <v>1653</v>
      </c>
      <c r="AA183" s="36" t="n">
        <f aca="false">INDEX(Home_Data!$C$4:$F$4,X183)</f>
        <v>200000</v>
      </c>
      <c r="AB183" s="36" t="n">
        <f aca="false">INDEX(Home_Data!$C$4:$F$4,X183+1)</f>
        <v>300000</v>
      </c>
      <c r="AC183" s="36" t="n">
        <f aca="false">IF($I183&lt;200000,INDEX(Home_Data!$C$5:$F$56,V183,1)*(MAX($I183,Home_Data!$B$90)/200000)^Home_Data!$B$89,Y183*(W183/AA183)^(LN(Z183/Y183)/LN(AB183/AA183)))</f>
        <v>1614.17570091064</v>
      </c>
      <c r="AD183" s="37" t="n">
        <f aca="false">IF($K183=100,Home_Data!$B$67,IF($K183=500,Home_Data!$B$69,Home_Data!$B$68))</f>
        <v>1</v>
      </c>
      <c r="AE183" s="37" t="n">
        <f aca="false">IF($J183&lt;=Home_Data!$B$61,Home_Data!$B$64,IF($J183&gt;=Home_Data!$B$63,Home_Data!$B$66,IF($J183&lt;=Home_Data!$B$62,Home_Data!$B$64+(Home_Data!$B$65-Home_Data!$B$64)*(LN($J183)-LN(Home_Data!$B$61))/(LN(Home_Data!$B$62)-LN(Home_Data!$B$61)),Home_Data!$B$65+(Home_Data!$B$66-Home_Data!$B$65)*(LN($J183)-LN(Home_Data!$B$62))/(LN(Home_Data!$B$63)-LN(Home_Data!$B$62)))))</f>
        <v>0.91</v>
      </c>
      <c r="AF183" s="38" t="n">
        <f aca="false">IF($E183&gt;=20,Home_Data!$B$80,IF($E183&gt;=10,Home_Data!$B$79,1))</f>
        <v>1</v>
      </c>
      <c r="AG183" s="38" t="n">
        <f aca="false">IF($D183&lt;1960,Home_Data!$B$81,IF($D183&lt;1980,Home_Data!$B$82,IF($D183&gt;=2000,Home_Data!$B$83,1)))</f>
        <v>0.95</v>
      </c>
      <c r="AH183" s="38" t="n">
        <f aca="false">IF($F183="brick",Home_Data!$B$78,1)</f>
        <v>1</v>
      </c>
      <c r="AI183" s="38" t="n">
        <f aca="false">IF($G183="rental",Home_Data!$B$84,IF($G183="vacation",Home_Data!$B$85,1))</f>
        <v>1</v>
      </c>
      <c r="AJ183" s="38" t="n">
        <f aca="false">INDEX(Home_Data!$B$70:$B$73,MIN(3,MAX(0,$H183))+1)</f>
        <v>1.16</v>
      </c>
      <c r="AK183" s="38" t="n">
        <f aca="false">IF(INDEX(Home_Data!$H$5:$H$56,V183)="Yes",1,IF($L183="poor",Home_Data!$B$74,IF($L183="fair",Home_Data!$B$75,IF($L183="excellent",Home_Data!$B$77,Home_Data!$B$76))))</f>
        <v>1</v>
      </c>
      <c r="AL183" s="38" t="n">
        <f aca="false">IF(($N183=1),Home_Data!$B$86,1)*IF(($O183=1),Home_Data!$B$87,1)*IF(($P183=1),Home_Data!$B$88,1)</f>
        <v>1</v>
      </c>
      <c r="AM183" s="34" t="n">
        <f aca="false">AC183*AD183*AE183*AF183*AG183*AH183*AI183*AJ183*AK183*AL183</f>
        <v>1618.72767638721</v>
      </c>
      <c r="AN183" s="34" t="n">
        <f aca="false">AM183*EXP(-Car_Data!$B$123*Home_Data!$B$91)</f>
        <v>1178.95714598506</v>
      </c>
      <c r="AO183" s="34" t="n">
        <f aca="false">AM183*EXP(Car_Data!$B$123*Home_Data!$B$91)</f>
        <v>2222.53989402863</v>
      </c>
      <c r="AP183" s="39" t="str">
        <f aca="false">IF($U183&gt;0,IF(AND($U183&gt;=AN183,$U183&lt;=AO183),1,0),"")</f>
        <v/>
      </c>
      <c r="AQ183" s="40" t="str">
        <f aca="false">IF($U183&gt;0,$U183/AM183-1,"")</f>
        <v/>
      </c>
    </row>
    <row r="184" customFormat="false" ht="15" hidden="false" customHeight="false" outlineLevel="0" collapsed="false">
      <c r="A184" s="6" t="s">
        <v>456</v>
      </c>
      <c r="B184" s="6" t="s">
        <v>397</v>
      </c>
      <c r="C184" s="6" t="n">
        <v>2600</v>
      </c>
      <c r="D184" s="6" t="n">
        <v>1992</v>
      </c>
      <c r="E184" s="6" t="n">
        <v>17</v>
      </c>
      <c r="F184" s="6" t="s">
        <v>133</v>
      </c>
      <c r="G184" s="6" t="s">
        <v>136</v>
      </c>
      <c r="H184" s="6" t="n">
        <v>0</v>
      </c>
      <c r="I184" s="23" t="n">
        <v>615000</v>
      </c>
      <c r="J184" s="23" t="n">
        <v>1000</v>
      </c>
      <c r="K184" s="6" t="n">
        <v>300</v>
      </c>
      <c r="L184" s="6"/>
      <c r="M184" s="6" t="n">
        <v>0</v>
      </c>
      <c r="N184" s="6" t="n">
        <v>0</v>
      </c>
      <c r="O184" s="6" t="n">
        <v>0</v>
      </c>
      <c r="P184" s="6" t="n">
        <v>0</v>
      </c>
      <c r="Q184" s="6" t="n">
        <v>1</v>
      </c>
      <c r="R184" s="6" t="s">
        <v>403</v>
      </c>
      <c r="S184" s="5"/>
      <c r="T184" s="32"/>
      <c r="U184" s="17"/>
      <c r="V184" s="33" t="n">
        <f aca="false">MATCH($B184,Home_Data!$B$5:$B$56,0)</f>
        <v>5</v>
      </c>
      <c r="W184" s="34" t="n">
        <f aca="false">MIN(MAX($I184,50000),3000000)</f>
        <v>615000</v>
      </c>
      <c r="X184" s="35" t="n">
        <f aca="false">IFERROR(MIN(3,MAX(1,MATCH(W184,Home_Data!$C$4:$F$4,1))),1)</f>
        <v>3</v>
      </c>
      <c r="Y184" s="36" t="n">
        <f aca="false">INDEX(Home_Data!$C$5:$F$56,V184,X184)</f>
        <v>2090</v>
      </c>
      <c r="Z184" s="36" t="n">
        <f aca="false">INDEX(Home_Data!$C$5:$F$56,V184,X184+1)</f>
        <v>3092</v>
      </c>
      <c r="AA184" s="36" t="n">
        <f aca="false">INDEX(Home_Data!$C$4:$F$4,X184)</f>
        <v>400000</v>
      </c>
      <c r="AB184" s="36" t="n">
        <f aca="false">INDEX(Home_Data!$C$4:$F$4,X184+1)</f>
        <v>600000</v>
      </c>
      <c r="AC184" s="36" t="n">
        <f aca="false">IF($I184&lt;200000,INDEX(Home_Data!$C$5:$F$56,V184,1)*(MAX($I184,Home_Data!$B$90)/200000)^Home_Data!$B$89,Y184*(W184/AA184)^(LN(Z184/Y184)/LN(AB184/AA184)))</f>
        <v>3166.63546905643</v>
      </c>
      <c r="AD184" s="37" t="n">
        <f aca="false">IF($K184=100,Home_Data!$B$67,IF($K184=500,Home_Data!$B$69,Home_Data!$B$68))</f>
        <v>1</v>
      </c>
      <c r="AE184" s="37" t="n">
        <f aca="false">IF($J184&lt;=Home_Data!$B$61,Home_Data!$B$64,IF($J184&gt;=Home_Data!$B$63,Home_Data!$B$66,IF($J184&lt;=Home_Data!$B$62,Home_Data!$B$64+(Home_Data!$B$65-Home_Data!$B$64)*(LN($J184)-LN(Home_Data!$B$61))/(LN(Home_Data!$B$62)-LN(Home_Data!$B$61)),Home_Data!$B$65+(Home_Data!$B$66-Home_Data!$B$65)*(LN($J184)-LN(Home_Data!$B$62))/(LN(Home_Data!$B$63)-LN(Home_Data!$B$62)))))</f>
        <v>1</v>
      </c>
      <c r="AF184" s="38" t="n">
        <f aca="false">IF($E184&gt;=20,Home_Data!$B$80,IF($E184&gt;=10,Home_Data!$B$79,1))</f>
        <v>1.1</v>
      </c>
      <c r="AG184" s="38" t="n">
        <f aca="false">IF($D184&lt;1960,Home_Data!$B$81,IF($D184&lt;1980,Home_Data!$B$82,IF($D184&gt;=2000,Home_Data!$B$83,1)))</f>
        <v>1</v>
      </c>
      <c r="AH184" s="38" t="n">
        <f aca="false">IF($F184="brick",Home_Data!$B$78,1)</f>
        <v>1</v>
      </c>
      <c r="AI184" s="38" t="n">
        <f aca="false">IF($G184="rental",Home_Data!$B$84,IF($G184="vacation",Home_Data!$B$85,1))</f>
        <v>1</v>
      </c>
      <c r="AJ184" s="38" t="n">
        <f aca="false">INDEX(Home_Data!$B$70:$B$73,MIN(3,MAX(0,$H184))+1)</f>
        <v>1</v>
      </c>
      <c r="AK184" s="38" t="n">
        <f aca="false">IF(INDEX(Home_Data!$H$5:$H$56,V184)="Yes",1,IF($L184="poor",Home_Data!$B$74,IF($L184="fair",Home_Data!$B$75,IF($L184="excellent",Home_Data!$B$77,Home_Data!$B$76))))</f>
        <v>1</v>
      </c>
      <c r="AL184" s="38" t="n">
        <f aca="false">IF(($N184=1),Home_Data!$B$86,1)*IF(($O184=1),Home_Data!$B$87,1)*IF(($P184=1),Home_Data!$B$88,1)</f>
        <v>1</v>
      </c>
      <c r="AM184" s="34" t="n">
        <f aca="false">AC184*AD184*AE184*AF184*AG184*AH184*AI184*AJ184*AK184*AL184</f>
        <v>3483.29901596208</v>
      </c>
      <c r="AN184" s="34" t="n">
        <f aca="false">AM184*EXP(-Car_Data!$B$123*Home_Data!$B$91)</f>
        <v>2536.9679695826</v>
      </c>
      <c r="AO184" s="34" t="n">
        <f aca="false">AM184*EXP(Car_Data!$B$123*Home_Data!$B$91)</f>
        <v>4782.6272069957</v>
      </c>
      <c r="AP184" s="39" t="str">
        <f aca="false">IF($U184&gt;0,IF(AND($U184&gt;=AN184,$U184&lt;=AO184),1,0),"")</f>
        <v/>
      </c>
      <c r="AQ184" s="40" t="str">
        <f aca="false">IF($U184&gt;0,$U184/AM184-1,"")</f>
        <v/>
      </c>
    </row>
    <row r="185" customFormat="false" ht="15" hidden="false" customHeight="false" outlineLevel="0" collapsed="false">
      <c r="A185" s="6" t="s">
        <v>457</v>
      </c>
      <c r="B185" s="6" t="s">
        <v>397</v>
      </c>
      <c r="C185" s="6" t="n">
        <v>2100</v>
      </c>
      <c r="D185" s="6" t="n">
        <v>2017</v>
      </c>
      <c r="E185" s="6" t="n">
        <v>2</v>
      </c>
      <c r="F185" s="6" t="s">
        <v>261</v>
      </c>
      <c r="G185" s="6" t="s">
        <v>136</v>
      </c>
      <c r="H185" s="6" t="n">
        <v>1</v>
      </c>
      <c r="I185" s="23" t="n">
        <v>530000</v>
      </c>
      <c r="J185" s="23" t="n">
        <v>1000</v>
      </c>
      <c r="K185" s="6" t="n">
        <v>300</v>
      </c>
      <c r="L185" s="6"/>
      <c r="M185" s="6" t="n">
        <v>1</v>
      </c>
      <c r="N185" s="6" t="n">
        <v>0</v>
      </c>
      <c r="O185" s="6" t="n">
        <v>1</v>
      </c>
      <c r="P185" s="6" t="n">
        <v>0</v>
      </c>
      <c r="Q185" s="6" t="n">
        <v>0</v>
      </c>
      <c r="R185" s="6" t="s">
        <v>306</v>
      </c>
      <c r="S185" s="5"/>
      <c r="T185" s="32"/>
      <c r="U185" s="17"/>
      <c r="V185" s="33" t="n">
        <f aca="false">MATCH($B185,Home_Data!$B$5:$B$56,0)</f>
        <v>5</v>
      </c>
      <c r="W185" s="34" t="n">
        <f aca="false">MIN(MAX($I185,50000),3000000)</f>
        <v>530000</v>
      </c>
      <c r="X185" s="35" t="n">
        <f aca="false">IFERROR(MIN(3,MAX(1,MATCH(W185,Home_Data!$C$4:$F$4,1))),1)</f>
        <v>3</v>
      </c>
      <c r="Y185" s="36" t="n">
        <f aca="false">INDEX(Home_Data!$C$5:$F$56,V185,X185)</f>
        <v>2090</v>
      </c>
      <c r="Z185" s="36" t="n">
        <f aca="false">INDEX(Home_Data!$C$5:$F$56,V185,X185+1)</f>
        <v>3092</v>
      </c>
      <c r="AA185" s="36" t="n">
        <f aca="false">INDEX(Home_Data!$C$4:$F$4,X185)</f>
        <v>400000</v>
      </c>
      <c r="AB185" s="36" t="n">
        <f aca="false">INDEX(Home_Data!$C$4:$F$4,X185+1)</f>
        <v>600000</v>
      </c>
      <c r="AC185" s="36" t="n">
        <f aca="false">IF($I185&lt;200000,INDEX(Home_Data!$C$5:$F$56,V185,1)*(MAX($I185,Home_Data!$B$90)/200000)^Home_Data!$B$89,Y185*(W185/AA185)^(LN(Z185/Y185)/LN(AB185/AA185)))</f>
        <v>2742.83207652317</v>
      </c>
      <c r="AD185" s="37" t="n">
        <f aca="false">IF($K185=100,Home_Data!$B$67,IF($K185=500,Home_Data!$B$69,Home_Data!$B$68))</f>
        <v>1</v>
      </c>
      <c r="AE185" s="37" t="n">
        <f aca="false">IF($J185&lt;=Home_Data!$B$61,Home_Data!$B$64,IF($J185&gt;=Home_Data!$B$63,Home_Data!$B$66,IF($J185&lt;=Home_Data!$B$62,Home_Data!$B$64+(Home_Data!$B$65-Home_Data!$B$64)*(LN($J185)-LN(Home_Data!$B$61))/(LN(Home_Data!$B$62)-LN(Home_Data!$B$61)),Home_Data!$B$65+(Home_Data!$B$66-Home_Data!$B$65)*(LN($J185)-LN(Home_Data!$B$62))/(LN(Home_Data!$B$63)-LN(Home_Data!$B$62)))))</f>
        <v>1</v>
      </c>
      <c r="AF185" s="38" t="n">
        <f aca="false">IF($E185&gt;=20,Home_Data!$B$80,IF($E185&gt;=10,Home_Data!$B$79,1))</f>
        <v>1</v>
      </c>
      <c r="AG185" s="38" t="n">
        <f aca="false">IF($D185&lt;1960,Home_Data!$B$81,IF($D185&lt;1980,Home_Data!$B$82,IF($D185&gt;=2000,Home_Data!$B$83,1)))</f>
        <v>0.95</v>
      </c>
      <c r="AH185" s="38" t="n">
        <f aca="false">IF($F185="brick",Home_Data!$B$78,1)</f>
        <v>0.98</v>
      </c>
      <c r="AI185" s="38" t="n">
        <f aca="false">IF($G185="rental",Home_Data!$B$84,IF($G185="vacation",Home_Data!$B$85,1))</f>
        <v>1</v>
      </c>
      <c r="AJ185" s="38" t="n">
        <f aca="false">INDEX(Home_Data!$B$70:$B$73,MIN(3,MAX(0,$H185))+1)</f>
        <v>1.16</v>
      </c>
      <c r="AK185" s="38" t="n">
        <f aca="false">IF(INDEX(Home_Data!$H$5:$H$56,V185)="Yes",1,IF($L185="poor",Home_Data!$B$74,IF($L185="fair",Home_Data!$B$75,IF($L185="excellent",Home_Data!$B$77,Home_Data!$B$76))))</f>
        <v>1</v>
      </c>
      <c r="AL185" s="38" t="n">
        <f aca="false">IF(($N185=1),Home_Data!$B$86,1)*IF(($O185=1),Home_Data!$B$87,1)*IF(($P185=1),Home_Data!$B$88,1)</f>
        <v>1.15</v>
      </c>
      <c r="AM185" s="34" t="n">
        <f aca="false">AC185*AD185*AE185*AF185*AG185*AH185*AI185*AJ185*AK185*AL185</f>
        <v>3406.47126876625</v>
      </c>
      <c r="AN185" s="34" t="n">
        <f aca="false">AM185*EXP(-Car_Data!$B$123*Home_Data!$B$91)</f>
        <v>2481.01252822719</v>
      </c>
      <c r="AO185" s="34" t="n">
        <f aca="false">AM185*EXP(Car_Data!$B$123*Home_Data!$B$91)</f>
        <v>4677.1414383875</v>
      </c>
      <c r="AP185" s="39" t="str">
        <f aca="false">IF($U185&gt;0,IF(AND($U185&gt;=AN185,$U185&lt;=AO185),1,0),"")</f>
        <v/>
      </c>
      <c r="AQ185" s="40" t="str">
        <f aca="false">IF($U185&gt;0,$U185/AM185-1,"")</f>
        <v/>
      </c>
    </row>
    <row r="186" customFormat="false" ht="15" hidden="false" customHeight="false" outlineLevel="0" collapsed="false">
      <c r="A186" s="6" t="s">
        <v>458</v>
      </c>
      <c r="B186" s="6" t="s">
        <v>397</v>
      </c>
      <c r="C186" s="6" t="n">
        <v>2500</v>
      </c>
      <c r="D186" s="6" t="n">
        <v>1997</v>
      </c>
      <c r="E186" s="6" t="n">
        <v>25</v>
      </c>
      <c r="F186" s="6" t="s">
        <v>133</v>
      </c>
      <c r="G186" s="6" t="s">
        <v>136</v>
      </c>
      <c r="H186" s="6" t="n">
        <v>0</v>
      </c>
      <c r="I186" s="23" t="n">
        <v>560000</v>
      </c>
      <c r="J186" s="23" t="n">
        <v>1000</v>
      </c>
      <c r="K186" s="6" t="n">
        <v>300</v>
      </c>
      <c r="L186" s="6"/>
      <c r="M186" s="6" t="n">
        <v>0</v>
      </c>
      <c r="N186" s="6" t="n">
        <v>0</v>
      </c>
      <c r="O186" s="6" t="n">
        <v>0</v>
      </c>
      <c r="P186" s="6" t="n">
        <v>0</v>
      </c>
      <c r="Q186" s="6" t="n">
        <v>0</v>
      </c>
      <c r="R186" s="6" t="s">
        <v>267</v>
      </c>
      <c r="S186" s="5"/>
      <c r="T186" s="32"/>
      <c r="U186" s="17"/>
      <c r="V186" s="33" t="n">
        <f aca="false">MATCH($B186,Home_Data!$B$5:$B$56,0)</f>
        <v>5</v>
      </c>
      <c r="W186" s="34" t="n">
        <f aca="false">MIN(MAX($I186,50000),3000000)</f>
        <v>560000</v>
      </c>
      <c r="X186" s="35" t="n">
        <f aca="false">IFERROR(MIN(3,MAX(1,MATCH(W186,Home_Data!$C$4:$F$4,1))),1)</f>
        <v>3</v>
      </c>
      <c r="Y186" s="36" t="n">
        <f aca="false">INDEX(Home_Data!$C$5:$F$56,V186,X186)</f>
        <v>2090</v>
      </c>
      <c r="Z186" s="36" t="n">
        <f aca="false">INDEX(Home_Data!$C$5:$F$56,V186,X186+1)</f>
        <v>3092</v>
      </c>
      <c r="AA186" s="36" t="n">
        <f aca="false">INDEX(Home_Data!$C$4:$F$4,X186)</f>
        <v>400000</v>
      </c>
      <c r="AB186" s="36" t="n">
        <f aca="false">INDEX(Home_Data!$C$4:$F$4,X186+1)</f>
        <v>600000</v>
      </c>
      <c r="AC186" s="36" t="n">
        <f aca="false">IF($I186&lt;200000,INDEX(Home_Data!$C$5:$F$56,V186,1)*(MAX($I186,Home_Data!$B$90)/200000)^Home_Data!$B$89,Y186*(W186/AA186)^(LN(Z186/Y186)/LN(AB186/AA186)))</f>
        <v>2892.65657468258</v>
      </c>
      <c r="AD186" s="37" t="n">
        <f aca="false">IF($K186=100,Home_Data!$B$67,IF($K186=500,Home_Data!$B$69,Home_Data!$B$68))</f>
        <v>1</v>
      </c>
      <c r="AE186" s="37" t="n">
        <f aca="false">IF($J186&lt;=Home_Data!$B$61,Home_Data!$B$64,IF($J186&gt;=Home_Data!$B$63,Home_Data!$B$66,IF($J186&lt;=Home_Data!$B$62,Home_Data!$B$64+(Home_Data!$B$65-Home_Data!$B$64)*(LN($J186)-LN(Home_Data!$B$61))/(LN(Home_Data!$B$62)-LN(Home_Data!$B$61)),Home_Data!$B$65+(Home_Data!$B$66-Home_Data!$B$65)*(LN($J186)-LN(Home_Data!$B$62))/(LN(Home_Data!$B$63)-LN(Home_Data!$B$62)))))</f>
        <v>1</v>
      </c>
      <c r="AF186" s="38" t="n">
        <f aca="false">IF($E186&gt;=20,Home_Data!$B$80,IF($E186&gt;=10,Home_Data!$B$79,1))</f>
        <v>1.3</v>
      </c>
      <c r="AG186" s="38" t="n">
        <f aca="false">IF($D186&lt;1960,Home_Data!$B$81,IF($D186&lt;1980,Home_Data!$B$82,IF($D186&gt;=2000,Home_Data!$B$83,1)))</f>
        <v>1</v>
      </c>
      <c r="AH186" s="38" t="n">
        <f aca="false">IF($F186="brick",Home_Data!$B$78,1)</f>
        <v>1</v>
      </c>
      <c r="AI186" s="38" t="n">
        <f aca="false">IF($G186="rental",Home_Data!$B$84,IF($G186="vacation",Home_Data!$B$85,1))</f>
        <v>1</v>
      </c>
      <c r="AJ186" s="38" t="n">
        <f aca="false">INDEX(Home_Data!$B$70:$B$73,MIN(3,MAX(0,$H186))+1)</f>
        <v>1</v>
      </c>
      <c r="AK186" s="38" t="n">
        <f aca="false">IF(INDEX(Home_Data!$H$5:$H$56,V186)="Yes",1,IF($L186="poor",Home_Data!$B$74,IF($L186="fair",Home_Data!$B$75,IF($L186="excellent",Home_Data!$B$77,Home_Data!$B$76))))</f>
        <v>1</v>
      </c>
      <c r="AL186" s="38" t="n">
        <f aca="false">IF(($N186=1),Home_Data!$B$86,1)*IF(($O186=1),Home_Data!$B$87,1)*IF(($P186=1),Home_Data!$B$88,1)</f>
        <v>1</v>
      </c>
      <c r="AM186" s="34" t="n">
        <f aca="false">AC186*AD186*AE186*AF186*AG186*AH186*AI186*AJ186*AK186*AL186</f>
        <v>3760.45354708735</v>
      </c>
      <c r="AN186" s="34" t="n">
        <f aca="false">AM186*EXP(-Car_Data!$B$123*Home_Data!$B$91)</f>
        <v>2738.82608307427</v>
      </c>
      <c r="AO186" s="34" t="n">
        <f aca="false">AM186*EXP(Car_Data!$B$123*Home_Data!$B$91)</f>
        <v>5163.16496589257</v>
      </c>
      <c r="AP186" s="39" t="str">
        <f aca="false">IF($U186&gt;0,IF(AND($U186&gt;=AN186,$U186&lt;=AO186),1,0),"")</f>
        <v/>
      </c>
      <c r="AQ186" s="40" t="str">
        <f aca="false">IF($U186&gt;0,$U186/AM186-1,"")</f>
        <v/>
      </c>
    </row>
    <row r="187" customFormat="false" ht="15" hidden="false" customHeight="false" outlineLevel="0" collapsed="false">
      <c r="A187" s="6" t="s">
        <v>459</v>
      </c>
      <c r="B187" s="6" t="s">
        <v>397</v>
      </c>
      <c r="C187" s="6" t="n">
        <v>1250</v>
      </c>
      <c r="D187" s="6" t="n">
        <v>2020</v>
      </c>
      <c r="E187" s="6" t="n">
        <v>5</v>
      </c>
      <c r="F187" s="6" t="s">
        <v>133</v>
      </c>
      <c r="G187" s="6" t="s">
        <v>136</v>
      </c>
      <c r="H187" s="6" t="n">
        <v>0</v>
      </c>
      <c r="I187" s="23" t="n">
        <v>275000</v>
      </c>
      <c r="J187" s="23" t="n">
        <v>1000</v>
      </c>
      <c r="K187" s="6" t="n">
        <v>300</v>
      </c>
      <c r="L187" s="6"/>
      <c r="M187" s="6" t="n">
        <v>0</v>
      </c>
      <c r="N187" s="6" t="n">
        <v>0</v>
      </c>
      <c r="O187" s="6" t="n">
        <v>0</v>
      </c>
      <c r="P187" s="6" t="n">
        <v>0</v>
      </c>
      <c r="Q187" s="6" t="n">
        <v>0</v>
      </c>
      <c r="R187" s="6" t="s">
        <v>267</v>
      </c>
      <c r="S187" s="5"/>
      <c r="T187" s="32"/>
      <c r="U187" s="17"/>
      <c r="V187" s="33" t="n">
        <f aca="false">MATCH($B187,Home_Data!$B$5:$B$56,0)</f>
        <v>5</v>
      </c>
      <c r="W187" s="34" t="n">
        <f aca="false">MIN(MAX($I187,50000),3000000)</f>
        <v>275000</v>
      </c>
      <c r="X187" s="35" t="n">
        <f aca="false">IFERROR(MIN(3,MAX(1,MATCH(W187,Home_Data!$C$4:$F$4,1))),1)</f>
        <v>1</v>
      </c>
      <c r="Y187" s="36" t="n">
        <f aca="false">INDEX(Home_Data!$C$5:$F$56,V187,X187)</f>
        <v>1244</v>
      </c>
      <c r="Z187" s="36" t="n">
        <f aca="false">INDEX(Home_Data!$C$5:$F$56,V187,X187+1)</f>
        <v>1653</v>
      </c>
      <c r="AA187" s="36" t="n">
        <f aca="false">INDEX(Home_Data!$C$4:$F$4,X187)</f>
        <v>200000</v>
      </c>
      <c r="AB187" s="36" t="n">
        <f aca="false">INDEX(Home_Data!$C$4:$F$4,X187+1)</f>
        <v>300000</v>
      </c>
      <c r="AC187" s="36" t="n">
        <f aca="false">IF($I187&lt;200000,INDEX(Home_Data!$C$5:$F$56,V187,1)*(MAX($I187,Home_Data!$B$90)/200000)^Home_Data!$B$89,Y187*(W187/AA187)^(LN(Z187/Y187)/LN(AB187/AA187)))</f>
        <v>1555.1790235367</v>
      </c>
      <c r="AD187" s="37" t="n">
        <f aca="false">IF($K187=100,Home_Data!$B$67,IF($K187=500,Home_Data!$B$69,Home_Data!$B$68))</f>
        <v>1</v>
      </c>
      <c r="AE187" s="37" t="n">
        <f aca="false">IF($J187&lt;=Home_Data!$B$61,Home_Data!$B$64,IF($J187&gt;=Home_Data!$B$63,Home_Data!$B$66,IF($J187&lt;=Home_Data!$B$62,Home_Data!$B$64+(Home_Data!$B$65-Home_Data!$B$64)*(LN($J187)-LN(Home_Data!$B$61))/(LN(Home_Data!$B$62)-LN(Home_Data!$B$61)),Home_Data!$B$65+(Home_Data!$B$66-Home_Data!$B$65)*(LN($J187)-LN(Home_Data!$B$62))/(LN(Home_Data!$B$63)-LN(Home_Data!$B$62)))))</f>
        <v>1</v>
      </c>
      <c r="AF187" s="38" t="n">
        <f aca="false">IF($E187&gt;=20,Home_Data!$B$80,IF($E187&gt;=10,Home_Data!$B$79,1))</f>
        <v>1</v>
      </c>
      <c r="AG187" s="38" t="n">
        <f aca="false">IF($D187&lt;1960,Home_Data!$B$81,IF($D187&lt;1980,Home_Data!$B$82,IF($D187&gt;=2000,Home_Data!$B$83,1)))</f>
        <v>0.95</v>
      </c>
      <c r="AH187" s="38" t="n">
        <f aca="false">IF($F187="brick",Home_Data!$B$78,1)</f>
        <v>1</v>
      </c>
      <c r="AI187" s="38" t="n">
        <f aca="false">IF($G187="rental",Home_Data!$B$84,IF($G187="vacation",Home_Data!$B$85,1))</f>
        <v>1</v>
      </c>
      <c r="AJ187" s="38" t="n">
        <f aca="false">INDEX(Home_Data!$B$70:$B$73,MIN(3,MAX(0,$H187))+1)</f>
        <v>1</v>
      </c>
      <c r="AK187" s="38" t="n">
        <f aca="false">IF(INDEX(Home_Data!$H$5:$H$56,V187)="Yes",1,IF($L187="poor",Home_Data!$B$74,IF($L187="fair",Home_Data!$B$75,IF($L187="excellent",Home_Data!$B$77,Home_Data!$B$76))))</f>
        <v>1</v>
      </c>
      <c r="AL187" s="38" t="n">
        <f aca="false">IF(($N187=1),Home_Data!$B$86,1)*IF(($O187=1),Home_Data!$B$87,1)*IF(($P187=1),Home_Data!$B$88,1)</f>
        <v>1</v>
      </c>
      <c r="AM187" s="34" t="n">
        <f aca="false">AC187*AD187*AE187*AF187*AG187*AH187*AI187*AJ187*AK187*AL187</f>
        <v>1477.42007235987</v>
      </c>
      <c r="AN187" s="34" t="n">
        <f aca="false">AM187*EXP(-Car_Data!$B$123*Home_Data!$B$91)</f>
        <v>1076.03952001237</v>
      </c>
      <c r="AO187" s="34" t="n">
        <f aca="false">AM187*EXP(Car_Data!$B$123*Home_Data!$B$91)</f>
        <v>2028.52221467363</v>
      </c>
      <c r="AP187" s="39" t="str">
        <f aca="false">IF($U187&gt;0,IF(AND($U187&gt;=AN187,$U187&lt;=AO187),1,0),"")</f>
        <v/>
      </c>
      <c r="AQ187" s="40" t="str">
        <f aca="false">IF($U187&gt;0,$U187/AM187-1,"")</f>
        <v/>
      </c>
    </row>
  </sheetData>
  <mergeCells count="1">
    <mergeCell ref="A5:U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6"/>
    <col collapsed="false" customWidth="true" hidden="false" outlineLevel="0" max="3" min="3" style="0" width="14"/>
    <col collapsed="false" customWidth="true" hidden="false" outlineLevel="0" max="4" min="4" style="0" width="22"/>
    <col collapsed="false" customWidth="true" hidden="false" outlineLevel="0" max="5" min="5" style="0" width="48"/>
  </cols>
  <sheetData>
    <row r="1" customFormat="false" ht="19.7" hidden="false" customHeight="false" outlineLevel="0" collapsed="false">
      <c r="A1" s="1" t="s">
        <v>460</v>
      </c>
    </row>
    <row r="2" customFormat="false" ht="15" hidden="false" customHeight="false" outlineLevel="0" collapsed="false">
      <c r="A2" s="2" t="s">
        <v>461</v>
      </c>
    </row>
    <row r="4" customFormat="false" ht="15" hidden="false" customHeight="false" outlineLevel="0" collapsed="false">
      <c r="A4" s="9" t="s">
        <v>462</v>
      </c>
      <c r="B4" s="9" t="s">
        <v>463</v>
      </c>
    </row>
    <row r="5" customFormat="false" ht="15" hidden="false" customHeight="false" outlineLevel="0" collapsed="false">
      <c r="A5" s="6" t="s">
        <v>464</v>
      </c>
      <c r="B5" s="41" t="n">
        <f aca="false">COUNT(Quote_Requests!$U$8:$U$2008)</f>
        <v>0</v>
      </c>
    </row>
    <row r="6" customFormat="false" ht="15" hidden="false" customHeight="false" outlineLevel="0" collapsed="false">
      <c r="A6" s="6" t="s">
        <v>465</v>
      </c>
      <c r="B6" s="16" t="str">
        <f aca="false">IF(B5=0,"",SUMIF(Quote_Requests!$AP$8:$AP$2008,1)/B5)</f>
        <v/>
      </c>
    </row>
    <row r="7" customFormat="false" ht="15" hidden="false" customHeight="false" outlineLevel="0" collapsed="false">
      <c r="A7" s="6" t="s">
        <v>466</v>
      </c>
      <c r="B7" s="42" t="str">
        <f aca="false" t="array" ref="B7:B7">IF(B5=0,"",MEDIAN(IF(Quote_Requests!$U$8:$U$2008&gt;0,ABS(Quote_Requests!$U$8:$U$2008/Quote_Requests!$AM$8:$AM$2008-1))))</f>
        <v/>
      </c>
    </row>
    <row r="8" customFormat="false" ht="15" hidden="false" customHeight="false" outlineLevel="0" collapsed="false">
      <c r="A8" s="6" t="s">
        <v>467</v>
      </c>
      <c r="B8" s="42" t="str">
        <f aca="false">IF(B5=0,"",AVERAGE(Quote_Requests!$AQ$8:$AQ$2008))</f>
        <v/>
      </c>
    </row>
    <row r="9" customFormat="false" ht="15" hidden="false" customHeight="false" outlineLevel="0" collapsed="false">
      <c r="A9" s="6" t="s">
        <v>468</v>
      </c>
      <c r="B9" s="42" t="str">
        <f aca="false" t="array" ref="B9:B9">IF(B5=0,"",PERCENTILE(IF(Quote_Requests!$U$8:$U$2008&gt;0,ABS(Quote_Requests!$U$8:$U$2008/Quote_Requests!$AM$8:$AM$2008-1)),0.9))</f>
        <v/>
      </c>
    </row>
    <row r="11" customFormat="false" ht="15" hidden="false" customHeight="false" outlineLevel="0" collapsed="false">
      <c r="A11" s="43" t="s">
        <v>66</v>
      </c>
      <c r="B11" s="15" t="str">
        <f aca="false">IF(B5=0,"No quotes entered yet",IF(B5&lt;30,"Too few quotes to judge (need 50 to 100 per state)",IF(AND(B6&gt;=0.8,B7&lt;=0.15),"Meets both targets","Does not meet the targets")))</f>
        <v>No quotes entered yet</v>
      </c>
    </row>
    <row r="13" customFormat="false" ht="15" hidden="false" customHeight="false" outlineLevel="0" collapsed="false">
      <c r="A13" s="3" t="s">
        <v>469</v>
      </c>
    </row>
    <row r="14" customFormat="false" ht="15" hidden="false" customHeight="false" outlineLevel="0" collapsed="false">
      <c r="A14" s="9" t="s">
        <v>239</v>
      </c>
      <c r="B14" s="9" t="s">
        <v>470</v>
      </c>
      <c r="C14" s="9" t="s">
        <v>471</v>
      </c>
      <c r="D14" s="9" t="s">
        <v>472</v>
      </c>
      <c r="E14" s="9" t="s">
        <v>473</v>
      </c>
    </row>
    <row r="15" customFormat="false" ht="15" hidden="false" customHeight="false" outlineLevel="0" collapsed="false">
      <c r="A15" s="6" t="s">
        <v>56</v>
      </c>
      <c r="B15" s="44" t="n">
        <f aca="false">COUNTIFS(Quote_Requests!$B$8:$B$2008,A15,Quote_Requests!$U$8:$U$2008,"&gt;0")</f>
        <v>0</v>
      </c>
      <c r="C15" s="25" t="str">
        <f aca="false">IF(B15=0,"",SUMIFS(Quote_Requests!$AP$8:$AP$2008,Quote_Requests!$B$8:$B$2008,A15)/B15)</f>
        <v/>
      </c>
      <c r="D15" s="45" t="str">
        <f aca="false" t="array" ref="D15:D15">IF(B15&lt;10,"",MEDIAN(IF((Quote_Requests!$B$8:$B$2008=A15)*(Quote_Requests!$U$8:$U$2008&gt;0),Quote_Requests!$U$8:$U$2008/Quote_Requests!$AM$8:$AM$2008)))</f>
        <v/>
      </c>
      <c r="E15" s="6" t="str">
        <f aca="false">IF(D15="","Fewer than 10 quotes: no suggestion",IF(ABS(D15-1)&gt;0.1,"Multiply this state's price level by "&amp;TEXT(D15,"0.00"),"Within 10%: no change needed"))</f>
        <v>Fewer than 10 quotes: no suggestion</v>
      </c>
    </row>
    <row r="16" customFormat="false" ht="15" hidden="false" customHeight="false" outlineLevel="0" collapsed="false">
      <c r="A16" s="6" t="s">
        <v>128</v>
      </c>
      <c r="B16" s="44" t="n">
        <f aca="false">COUNTIFS(Quote_Requests!$B$8:$B$2008,A16,Quote_Requests!$U$8:$U$2008,"&gt;0")</f>
        <v>0</v>
      </c>
      <c r="C16" s="25" t="str">
        <f aca="false">IF(B16=0,"",SUMIFS(Quote_Requests!$AP$8:$AP$2008,Quote_Requests!$B$8:$B$2008,A16)/B16)</f>
        <v/>
      </c>
      <c r="D16" s="45" t="str">
        <f aca="false" t="array" ref="D16:D16">IF(B16&lt;10,"",MEDIAN(IF((Quote_Requests!$B$8:$B$2008=A16)*(Quote_Requests!$U$8:$U$2008&gt;0),Quote_Requests!$U$8:$U$2008/Quote_Requests!$AM$8:$AM$2008)))</f>
        <v/>
      </c>
      <c r="E16" s="6" t="str">
        <f aca="false">IF(D16="","Fewer than 10 quotes: no suggestion",IF(ABS(D16-1)&gt;0.1,"Multiply this state's price level by "&amp;TEXT(D16,"0.00"),"Within 10%: no change needed"))</f>
        <v>Fewer than 10 quotes: no suggestion</v>
      </c>
    </row>
    <row r="17" customFormat="false" ht="15" hidden="false" customHeight="false" outlineLevel="0" collapsed="false">
      <c r="A17" s="6" t="s">
        <v>397</v>
      </c>
      <c r="B17" s="44" t="n">
        <f aca="false">COUNTIFS(Quote_Requests!$B$8:$B$2008,A17,Quote_Requests!$U$8:$U$2008,"&gt;0")</f>
        <v>0</v>
      </c>
      <c r="C17" s="25" t="str">
        <f aca="false">IF(B17=0,"",SUMIFS(Quote_Requests!$AP$8:$AP$2008,Quote_Requests!$B$8:$B$2008,A17)/B17)</f>
        <v/>
      </c>
      <c r="D17" s="45" t="str">
        <f aca="false" t="array" ref="D17:D17">IF(B17&lt;10,"",MEDIAN(IF((Quote_Requests!$B$8:$B$2008=A17)*(Quote_Requests!$U$8:$U$2008&gt;0),Quote_Requests!$U$8:$U$2008/Quote_Requests!$AM$8:$AM$2008)))</f>
        <v/>
      </c>
      <c r="E17" s="6" t="str">
        <f aca="false">IF(D17="","Fewer than 10 quotes: no suggestion",IF(ABS(D17-1)&gt;0.1,"Multiply this state's price level by "&amp;TEXT(D17,"0.00"),"Within 10%: no change needed"))</f>
        <v>Fewer than 10 quotes: no suggestion</v>
      </c>
    </row>
    <row r="19" customFormat="false" ht="15" hidden="false" customHeight="false" outlineLevel="0" collapsed="false">
      <c r="A19" s="3" t="s">
        <v>474</v>
      </c>
    </row>
    <row r="20" customFormat="false" ht="15" hidden="false" customHeight="false" outlineLevel="0" collapsed="false">
      <c r="A20" s="2" t="s">
        <v>475</v>
      </c>
    </row>
    <row r="21" customFormat="false" ht="15" hidden="false" customHeight="false" outlineLevel="0" collapsed="false">
      <c r="A21" s="2" t="s">
        <v>476</v>
      </c>
    </row>
    <row r="22" customFormat="false" ht="15" hidden="false" customHeight="false" outlineLevel="0" collapsed="false">
      <c r="A22" s="2" t="s">
        <v>477</v>
      </c>
    </row>
    <row r="23" customFormat="false" ht="15" hidden="false" customHeight="false" outlineLevel="0" collapsed="false">
      <c r="A23" s="2" t="s">
        <v>478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false"/>
  </sheetPr>
  <dimension ref="A1:Y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18"/>
    <col collapsed="false" customWidth="true" hidden="false" outlineLevel="0" max="4" min="4" style="0" width="16"/>
    <col collapsed="false" customWidth="true" hidden="false" outlineLevel="0" max="5" min="5" style="0" width="34"/>
    <col collapsed="false" customWidth="true" hidden="false" outlineLevel="0" max="6" min="6" style="0" width="18"/>
    <col collapsed="false" customWidth="true" hidden="false" outlineLevel="0" max="7" min="7" style="0" width="12"/>
    <col collapsed="false" customWidth="true" hidden="false" outlineLevel="0" max="25" min="8" style="0" width="13"/>
  </cols>
  <sheetData>
    <row r="1" customFormat="false" ht="19.7" hidden="false" customHeight="false" outlineLevel="0" collapsed="false">
      <c r="A1" s="1" t="s">
        <v>479</v>
      </c>
    </row>
    <row r="2" customFormat="false" ht="15" hidden="false" customHeight="false" outlineLevel="0" collapsed="false">
      <c r="A2" s="2" t="s">
        <v>480</v>
      </c>
    </row>
    <row r="3" customFormat="false" ht="15" hidden="false" customHeight="false" outlineLevel="0" collapsed="false">
      <c r="H3" s="2" t="s">
        <v>481</v>
      </c>
    </row>
    <row r="4" customFormat="false" ht="46.25" hidden="false" customHeight="false" outlineLevel="0" collapsed="false">
      <c r="A4" s="9" t="s">
        <v>238</v>
      </c>
      <c r="B4" s="9" t="s">
        <v>482</v>
      </c>
      <c r="C4" s="9" t="s">
        <v>483</v>
      </c>
      <c r="D4" s="9" t="s">
        <v>484</v>
      </c>
      <c r="E4" s="9" t="s">
        <v>485</v>
      </c>
      <c r="H4" s="31" t="s">
        <v>107</v>
      </c>
      <c r="I4" s="31" t="s">
        <v>108</v>
      </c>
      <c r="J4" s="31" t="s">
        <v>109</v>
      </c>
      <c r="K4" s="31" t="s">
        <v>110</v>
      </c>
      <c r="L4" s="31" t="s">
        <v>111</v>
      </c>
      <c r="M4" s="31" t="s">
        <v>112</v>
      </c>
      <c r="N4" s="31" t="s">
        <v>113</v>
      </c>
      <c r="O4" s="31" t="s">
        <v>114</v>
      </c>
      <c r="P4" s="31" t="s">
        <v>115</v>
      </c>
      <c r="Q4" s="31" t="s">
        <v>116</v>
      </c>
      <c r="R4" s="31" t="s">
        <v>117</v>
      </c>
      <c r="S4" s="31" t="s">
        <v>118</v>
      </c>
      <c r="T4" s="31" t="s">
        <v>119</v>
      </c>
      <c r="U4" s="31" t="s">
        <v>120</v>
      </c>
      <c r="V4" s="31" t="s">
        <v>121</v>
      </c>
      <c r="W4" s="31" t="s">
        <v>122</v>
      </c>
      <c r="X4" s="31" t="s">
        <v>123</v>
      </c>
      <c r="Y4" s="31" t="s">
        <v>124</v>
      </c>
    </row>
    <row r="5" customFormat="false" ht="15" hidden="false" customHeight="false" outlineLevel="0" collapsed="false">
      <c r="A5" s="6" t="s">
        <v>486</v>
      </c>
      <c r="B5" s="18" t="n">
        <f aca="false" t="array" ref="B5:B5">MEDIAN(IF((OK_Official_Data!$A$4:$A$1803="auto")*(OK_Official_Data!$D$4:$D$1803="scenario A (age 16)"),OK_Official_Data!$H$4:$H$1803))</f>
        <v>6694</v>
      </c>
      <c r="C5" s="23" t="n">
        <f aca="false">Y5</f>
        <v>7325.40201892091</v>
      </c>
      <c r="D5" s="46" t="n">
        <f aca="false">C5/B5</f>
        <v>1.09432357617582</v>
      </c>
      <c r="E5" s="6" t="str">
        <f aca="false">IF(D5&lt;0.8,"Model low",IF(D5&gt;1.25,"Model high","Within 20% / 25% of the median insurer"))</f>
        <v>Within 20% / 25% of the median insurer</v>
      </c>
      <c r="H5" s="33" t="n">
        <f aca="false">MATCH("OK",Car_Data!$B$5:$B$56,0)</f>
        <v>36</v>
      </c>
      <c r="I5" s="36" t="n">
        <f aca="false">INDEX(Car_Data!$C$5:$C$56,H5)</f>
        <v>2192</v>
      </c>
      <c r="J5" s="47" t="n">
        <f aca="false">INDEX(Car_Data!$B$100:$B$103,MATCH("min",Car_Data!$A$100:$A$103,0))</f>
        <v>0.26</v>
      </c>
      <c r="K5" s="47" t="n">
        <f aca="false">INDEX(Car_Data!$B$104:$B$106,MATCH("full",Car_Data!$A$104:$A$106,0))</f>
        <v>0.64</v>
      </c>
      <c r="L5" s="38" t="n">
        <f aca="false">IF(K5=0,1,MIN(Car_Data!$B$121,MAX(Car_Data!$B$120,(MAX(12000,1000)/Car_Data!$B$118)^Car_Data!$B$119)))</f>
        <v>0.74558385463827</v>
      </c>
      <c r="M5" s="38" t="n">
        <f aca="false">IF(K5=0,1,IF(500&lt;=500,Car_Data!$B$113,IF(500&gt;=2000,Car_Data!$B$114,1)))</f>
        <v>1.14678899082569</v>
      </c>
      <c r="N5" s="38" t="n">
        <f aca="false">IF("full"="full",1+IF(FALSE(),Car_Data!$B$115,0)+IF(FALSE(),Car_Data!$B$116,0)+IF(FALSE(),Car_Data!$B$117,0),1)</f>
        <v>1</v>
      </c>
      <c r="O5" s="48" t="n">
        <f aca="false">J5+K5*L5*M5*N5</f>
        <v>0.807217507991391</v>
      </c>
      <c r="P5" s="35" t="n">
        <f aca="false">IFERROR(MATCH(16,Car_Data!$A$61:$A$74,1),1)</f>
        <v>1</v>
      </c>
      <c r="Q5" s="38" t="n">
        <f aca="false">IF(P5&gt;=ROWS(Car_Data!$A$61:$A$74),INDEX(Car_Data!$B$61:$B$74,ROWS(Car_Data!$A$61:$A$74)),INDEX(Car_Data!$B$61:$B$74,P5)+(INDEX(Car_Data!$B$61:$B$74,P5+1)-INDEX(Car_Data!$B$61:$B$74,P5))*(16-INDEX(Car_Data!$A$61:$A$74,P5))/(INDEX(Car_Data!$A$61:$A$74,P5+1)-INDEX(Car_Data!$A$61:$A$74,P5)))</f>
        <v>3.6</v>
      </c>
      <c r="R5" s="38" t="n">
        <f aca="false">IF(0&lt;2,Car_Data!$B$95,1)</f>
        <v>1.15</v>
      </c>
      <c r="S5" s="38" t="n">
        <f aca="false">INDEX(Car_Data!$B$79:$B$82,MIN(3,MAX(0,0))+1)</f>
        <v>1</v>
      </c>
      <c r="T5" s="38" t="n">
        <f aca="false">INDEX(Car_Data!$B$83:$B$86,MIN(3,MAX(0,0))+1)</f>
        <v>1</v>
      </c>
      <c r="U5" s="38" t="n">
        <f aca="false">IF(FALSE(),Car_Data!$B$87,1)</f>
        <v>1</v>
      </c>
      <c r="V5" s="38" t="n">
        <f aca="false">IF("mid"="high",Car_Data!$B$92,1)</f>
        <v>1</v>
      </c>
      <c r="W5" s="38" t="n">
        <f aca="false">IF("personal"="commercial",Car_Data!$B$94,IF("personal"="business",Car_Data!$B$93,1))</f>
        <v>1</v>
      </c>
      <c r="X5" s="38" t="n">
        <f aca="false">IF(INDEX(Car_Data!$E$5:$E$56,H5)="Yes",1,IF(""="poor",Car_Data!$B$88,IF(""="fair",Car_Data!$B$89,IF(""="excellent",Car_Data!$B$91,Car_Data!$B$90))))</f>
        <v>1</v>
      </c>
      <c r="Y5" s="34" t="n">
        <f aca="false">I5*O5*Q5*R5*S5*T5*U5*V5*W5*X5</f>
        <v>7325.40201892091</v>
      </c>
    </row>
    <row r="6" customFormat="false" ht="15" hidden="false" customHeight="false" outlineLevel="0" collapsed="false">
      <c r="A6" s="6" t="s">
        <v>487</v>
      </c>
      <c r="B6" s="18" t="n">
        <f aca="false" t="array" ref="B6:B6">MEDIAN(IF((OK_Official_Data!$A$4:$A$1803="auto")*(OK_Official_Data!$D$4:$D$1803="scenario B (age 21)"),OK_Official_Data!$H$4:$H$1803))</f>
        <v>3084</v>
      </c>
      <c r="C6" s="23" t="n">
        <f aca="false">Y6</f>
        <v>3347.74411106241</v>
      </c>
      <c r="D6" s="46" t="n">
        <f aca="false">C6/B6</f>
        <v>1.0855201397738</v>
      </c>
      <c r="E6" s="6" t="str">
        <f aca="false">IF(D6&lt;0.8,"Model low",IF(D6&gt;1.25,"Model high","Within 20% / 25% of the median insurer"))</f>
        <v>Within 20% / 25% of the median insurer</v>
      </c>
      <c r="H6" s="33" t="n">
        <f aca="false">MATCH("OK",Car_Data!$B$5:$B$56,0)</f>
        <v>36</v>
      </c>
      <c r="I6" s="36" t="n">
        <f aca="false">INDEX(Car_Data!$C$5:$C$56,H6)</f>
        <v>2192</v>
      </c>
      <c r="J6" s="47" t="n">
        <f aca="false">INDEX(Car_Data!$B$100:$B$103,MATCH("min",Car_Data!$A$100:$A$103,0))</f>
        <v>0.26</v>
      </c>
      <c r="K6" s="47" t="n">
        <f aca="false">INDEX(Car_Data!$B$104:$B$106,MATCH("full",Car_Data!$A$104:$A$106,0))</f>
        <v>0.64</v>
      </c>
      <c r="L6" s="38" t="n">
        <f aca="false">IF(K6=0,1,MIN(Car_Data!$B$121,MAX(Car_Data!$B$120,(MAX(12000,1000)/Car_Data!$B$118)^Car_Data!$B$119)))</f>
        <v>0.74558385463827</v>
      </c>
      <c r="M6" s="38" t="n">
        <f aca="false">IF(K6=0,1,IF(500&lt;=500,Car_Data!$B$113,IF(500&gt;=2000,Car_Data!$B$114,1)))</f>
        <v>1.14678899082569</v>
      </c>
      <c r="N6" s="38" t="n">
        <f aca="false">IF("full"="full",1+IF(FALSE(),Car_Data!$B$115,0)+IF(FALSE(),Car_Data!$B$116,0)+IF(FALSE(),Car_Data!$B$117,0),1)</f>
        <v>1</v>
      </c>
      <c r="O6" s="48" t="n">
        <f aca="false">J6+K6*L6*M6*N6</f>
        <v>0.807217507991391</v>
      </c>
      <c r="P6" s="35" t="n">
        <f aca="false">IFERROR(MATCH(21,Car_Data!$A$61:$A$74,1),1)</f>
        <v>3</v>
      </c>
      <c r="Q6" s="38" t="n">
        <f aca="false">IF(P6&gt;=ROWS(Car_Data!$A$61:$A$74),INDEX(Car_Data!$B$61:$B$74,ROWS(Car_Data!$A$61:$A$74)),INDEX(Car_Data!$B$61:$B$74,P6)+(INDEX(Car_Data!$B$61:$B$74,P6+1)-INDEX(Car_Data!$B$61:$B$74,P6))*(21-INDEX(Car_Data!$A$61:$A$74,P6))/(INDEX(Car_Data!$A$61:$A$74,P6+1)-INDEX(Car_Data!$A$61:$A$74,P6)))</f>
        <v>1.892</v>
      </c>
      <c r="R6" s="38" t="n">
        <f aca="false">IF(3&lt;2,Car_Data!$B$95,1)</f>
        <v>1</v>
      </c>
      <c r="S6" s="38" t="n">
        <f aca="false">INDEX(Car_Data!$B$79:$B$82,MIN(3,MAX(0,0))+1)</f>
        <v>1</v>
      </c>
      <c r="T6" s="38" t="n">
        <f aca="false">INDEX(Car_Data!$B$83:$B$86,MIN(3,MAX(0,0))+1)</f>
        <v>1</v>
      </c>
      <c r="U6" s="38" t="n">
        <f aca="false">IF(FALSE(),Car_Data!$B$87,1)</f>
        <v>1</v>
      </c>
      <c r="V6" s="38" t="n">
        <f aca="false">IF("mid"="high",Car_Data!$B$92,1)</f>
        <v>1</v>
      </c>
      <c r="W6" s="38" t="n">
        <f aca="false">IF("personal"="commercial",Car_Data!$B$94,IF("personal"="business",Car_Data!$B$93,1))</f>
        <v>1</v>
      </c>
      <c r="X6" s="38" t="n">
        <f aca="false">IF(INDEX(Car_Data!$E$5:$E$56,H6)="Yes",1,IF(""="poor",Car_Data!$B$88,IF(""="fair",Car_Data!$B$89,IF(""="excellent",Car_Data!$B$91,Car_Data!$B$90))))</f>
        <v>1</v>
      </c>
      <c r="Y6" s="34" t="n">
        <f aca="false">I6*O6*Q6*R6*S6*T6*U6*V6*W6*X6</f>
        <v>3347.74411106241</v>
      </c>
    </row>
    <row r="7" customFormat="false" ht="15" hidden="false" customHeight="false" outlineLevel="0" collapsed="false">
      <c r="A7" s="6" t="s">
        <v>488</v>
      </c>
      <c r="B7" s="18" t="n">
        <f aca="false" t="array" ref="B7:B7">MEDIAN(IF((OK_Official_Data!$A$4:$A$1803="auto")*(OK_Official_Data!$D$4:$D$1803="scenario C (age 36)"),OK_Official_Data!$H$4:$H$1803))</f>
        <v>1879</v>
      </c>
      <c r="C7" s="23" t="n">
        <f aca="false">Y7</f>
        <v>1764.11251518458</v>
      </c>
      <c r="D7" s="46" t="n">
        <f aca="false">C7/B7</f>
        <v>0.938857112924203</v>
      </c>
      <c r="E7" s="6" t="str">
        <f aca="false">IF(D7&lt;0.8,"Model low",IF(D7&gt;1.25,"Model high","Within 20% / 25% of the median insurer"))</f>
        <v>Within 20% / 25% of the median insurer</v>
      </c>
      <c r="H7" s="33" t="n">
        <f aca="false">MATCH("OK",Car_Data!$B$5:$B$56,0)</f>
        <v>36</v>
      </c>
      <c r="I7" s="36" t="n">
        <f aca="false">INDEX(Car_Data!$C$5:$C$56,H7)</f>
        <v>2192</v>
      </c>
      <c r="J7" s="47" t="n">
        <f aca="false">INDEX(Car_Data!$B$100:$B$103,MATCH("min",Car_Data!$A$100:$A$103,0))</f>
        <v>0.26</v>
      </c>
      <c r="K7" s="47" t="n">
        <f aca="false">INDEX(Car_Data!$B$104:$B$106,MATCH("full",Car_Data!$A$104:$A$106,0))</f>
        <v>0.64</v>
      </c>
      <c r="L7" s="38" t="n">
        <f aca="false">IF(K7=0,1,MIN(Car_Data!$B$121,MAX(Car_Data!$B$120,(MAX(12000,1000)/Car_Data!$B$118)^Car_Data!$B$119)))</f>
        <v>0.74558385463827</v>
      </c>
      <c r="M7" s="38" t="n">
        <f aca="false">IF(K7=0,1,IF(500&lt;=500,Car_Data!$B$113,IF(500&gt;=2000,Car_Data!$B$114,1)))</f>
        <v>1.14678899082569</v>
      </c>
      <c r="N7" s="38" t="n">
        <f aca="false">IF("full"="full",1+IF(FALSE(),Car_Data!$B$115,0)+IF(FALSE(),Car_Data!$B$116,0)+IF(FALSE(),Car_Data!$B$117,0),1)</f>
        <v>1</v>
      </c>
      <c r="O7" s="48" t="n">
        <f aca="false">J7+K7*L7*M7*N7</f>
        <v>0.807217507991391</v>
      </c>
      <c r="P7" s="35" t="n">
        <f aca="false">IFERROR(MATCH(36,Car_Data!$A$61:$A$74,1),1)</f>
        <v>6</v>
      </c>
      <c r="Q7" s="38" t="n">
        <f aca="false">IF(P7&gt;=ROWS(Car_Data!$A$61:$A$74),INDEX(Car_Data!$B$61:$B$74,ROWS(Car_Data!$A$61:$A$74)),INDEX(Car_Data!$B$61:$B$74,P7)+(INDEX(Car_Data!$B$61:$B$74,P7+1)-INDEX(Car_Data!$B$61:$B$74,P7))*(36-INDEX(Car_Data!$A$61:$A$74,P7))/(INDEX(Car_Data!$A$61:$A$74,P7+1)-INDEX(Car_Data!$A$61:$A$74,P7)))</f>
        <v>0.997</v>
      </c>
      <c r="R7" s="38" t="n">
        <f aca="false">IF(18&lt;2,Car_Data!$B$95,1)</f>
        <v>1</v>
      </c>
      <c r="S7" s="38" t="n">
        <f aca="false">INDEX(Car_Data!$B$79:$B$82,MIN(3,MAX(0,0))+1)</f>
        <v>1</v>
      </c>
      <c r="T7" s="38" t="n">
        <f aca="false">INDEX(Car_Data!$B$83:$B$86,MIN(3,MAX(0,0))+1)</f>
        <v>1</v>
      </c>
      <c r="U7" s="38" t="n">
        <f aca="false">IF(FALSE(),Car_Data!$B$87,1)</f>
        <v>1</v>
      </c>
      <c r="V7" s="38" t="n">
        <f aca="false">IF("mid"="high",Car_Data!$B$92,1)</f>
        <v>1</v>
      </c>
      <c r="W7" s="38" t="n">
        <f aca="false">IF("personal"="commercial",Car_Data!$B$94,IF("personal"="business",Car_Data!$B$93,1))</f>
        <v>1</v>
      </c>
      <c r="X7" s="38" t="n">
        <f aca="false">IF(INDEX(Car_Data!$E$5:$E$56,H7)="Yes",1,IF(""="poor",Car_Data!$B$88,IF(""="fair",Car_Data!$B$89,IF(""="excellent",Car_Data!$B$91,Car_Data!$B$90))))</f>
        <v>1</v>
      </c>
      <c r="Y7" s="34" t="n">
        <f aca="false">I7*O7*Q7*R7*S7*T7*U7*V7*W7*X7</f>
        <v>1764.11251518458</v>
      </c>
    </row>
    <row r="8" customFormat="false" ht="15" hidden="false" customHeight="false" outlineLevel="0" collapsed="false">
      <c r="A8" s="6" t="s">
        <v>489</v>
      </c>
      <c r="B8" s="18" t="n">
        <f aca="false" t="array" ref="B8:B8">MEDIAN(IF((OK_Official_Data!$A$4:$A$1803="auto")*(OK_Official_Data!$D$4:$D$1803="scenario D (age 55)"),OK_Official_Data!$H$4:$H$1803))</f>
        <v>1601</v>
      </c>
      <c r="C8" s="23" t="n">
        <f aca="false">Y8</f>
        <v>1590.7092789879</v>
      </c>
      <c r="D8" s="46" t="n">
        <f aca="false">C8/B8</f>
        <v>0.993572316669519</v>
      </c>
      <c r="E8" s="6" t="str">
        <f aca="false">IF(D8&lt;0.8,"Model low",IF(D8&gt;1.25,"Model high","Within 20% / 25% of the median insurer"))</f>
        <v>Within 20% / 25% of the median insurer</v>
      </c>
      <c r="H8" s="33" t="n">
        <f aca="false">MATCH("OK",Car_Data!$B$5:$B$56,0)</f>
        <v>36</v>
      </c>
      <c r="I8" s="36" t="n">
        <f aca="false">INDEX(Car_Data!$C$5:$C$56,H8)</f>
        <v>2192</v>
      </c>
      <c r="J8" s="47" t="n">
        <f aca="false">INDEX(Car_Data!$B$100:$B$103,MATCH("min",Car_Data!$A$100:$A$103,0))</f>
        <v>0.26</v>
      </c>
      <c r="K8" s="47" t="n">
        <f aca="false">INDEX(Car_Data!$B$104:$B$106,MATCH("full",Car_Data!$A$104:$A$106,0))</f>
        <v>0.64</v>
      </c>
      <c r="L8" s="38" t="n">
        <f aca="false">IF(K8=0,1,MIN(Car_Data!$B$121,MAX(Car_Data!$B$120,(MAX(12000,1000)/Car_Data!$B$118)^Car_Data!$B$119)))</f>
        <v>0.74558385463827</v>
      </c>
      <c r="M8" s="38" t="n">
        <f aca="false">IF(K8=0,1,IF(500&lt;=500,Car_Data!$B$113,IF(500&gt;=2000,Car_Data!$B$114,1)))</f>
        <v>1.14678899082569</v>
      </c>
      <c r="N8" s="38" t="n">
        <f aca="false">IF("full"="full",1+IF(FALSE(),Car_Data!$B$115,0)+IF(FALSE(),Car_Data!$B$116,0)+IF(FALSE(),Car_Data!$B$117,0),1)</f>
        <v>1</v>
      </c>
      <c r="O8" s="48" t="n">
        <f aca="false">J8+K8*L8*M8*N8</f>
        <v>0.807217507991391</v>
      </c>
      <c r="P8" s="35" t="n">
        <f aca="false">IFERROR(MATCH(55,Car_Data!$A$61:$A$74,1),1)</f>
        <v>10</v>
      </c>
      <c r="Q8" s="38" t="n">
        <f aca="false">IF(P8&gt;=ROWS(Car_Data!$A$61:$A$74),INDEX(Car_Data!$B$61:$B$74,ROWS(Car_Data!$A$61:$A$74)),INDEX(Car_Data!$B$61:$B$74,P8)+(INDEX(Car_Data!$B$61:$B$74,P8+1)-INDEX(Car_Data!$B$61:$B$74,P8))*(55-INDEX(Car_Data!$A$61:$A$74,P8))/(INDEX(Car_Data!$A$61:$A$74,P8+1)-INDEX(Car_Data!$A$61:$A$74,P8)))</f>
        <v>0.899</v>
      </c>
      <c r="R8" s="38" t="n">
        <f aca="false">IF(37&lt;2,Car_Data!$B$95,1)</f>
        <v>1</v>
      </c>
      <c r="S8" s="38" t="n">
        <f aca="false">INDEX(Car_Data!$B$79:$B$82,MIN(3,MAX(0,0))+1)</f>
        <v>1</v>
      </c>
      <c r="T8" s="38" t="n">
        <f aca="false">INDEX(Car_Data!$B$83:$B$86,MIN(3,MAX(0,0))+1)</f>
        <v>1</v>
      </c>
      <c r="U8" s="38" t="n">
        <f aca="false">IF(FALSE(),Car_Data!$B$87,1)</f>
        <v>1</v>
      </c>
      <c r="V8" s="38" t="n">
        <f aca="false">IF("mid"="high",Car_Data!$B$92,1)</f>
        <v>1</v>
      </c>
      <c r="W8" s="38" t="n">
        <f aca="false">IF("personal"="commercial",Car_Data!$B$94,IF("personal"="business",Car_Data!$B$93,1))</f>
        <v>1</v>
      </c>
      <c r="X8" s="38" t="n">
        <f aca="false">IF(INDEX(Car_Data!$E$5:$E$56,H8)="Yes",1,IF(""="poor",Car_Data!$B$88,IF(""="fair",Car_Data!$B$89,IF(""="excellent",Car_Data!$B$91,Car_Data!$B$90))))</f>
        <v>1</v>
      </c>
      <c r="Y8" s="34" t="n">
        <f aca="false">I8*O8*Q8*R8*S8*T8*U8*V8*W8*X8</f>
        <v>1590.7092789879</v>
      </c>
    </row>
    <row r="9" customFormat="false" ht="15" hidden="false" customHeight="false" outlineLevel="0" collapsed="false">
      <c r="A9" s="6" t="s">
        <v>490</v>
      </c>
      <c r="B9" s="18" t="n">
        <f aca="false" t="array" ref="B9:B9">MEDIAN(IF((OK_Official_Data!$A$4:$A$1803="auto")*(OK_Official_Data!$D$4:$D$1803="scenario E (age 70)"),OK_Official_Data!$H$4:$H$1803))</f>
        <v>1501</v>
      </c>
      <c r="C9" s="23" t="n">
        <f aca="false">Y9</f>
        <v>1500.46881933453</v>
      </c>
      <c r="D9" s="46" t="n">
        <f aca="false">C9/B9</f>
        <v>0.999646115479364</v>
      </c>
      <c r="E9" s="6" t="str">
        <f aca="false">IF(D9&lt;0.8,"Model low",IF(D9&gt;1.25,"Model high","Within 20% / 25% of the median insurer"))</f>
        <v>Within 20% / 25% of the median insurer</v>
      </c>
      <c r="H9" s="33" t="n">
        <f aca="false">MATCH("OK",Car_Data!$B$5:$B$56,0)</f>
        <v>36</v>
      </c>
      <c r="I9" s="36" t="n">
        <f aca="false">INDEX(Car_Data!$C$5:$C$56,H9)</f>
        <v>2192</v>
      </c>
      <c r="J9" s="47" t="n">
        <f aca="false">INDEX(Car_Data!$B$100:$B$103,MATCH("min",Car_Data!$A$100:$A$103,0))</f>
        <v>0.26</v>
      </c>
      <c r="K9" s="47" t="n">
        <f aca="false">INDEX(Car_Data!$B$104:$B$106,MATCH("full",Car_Data!$A$104:$A$106,0))</f>
        <v>0.64</v>
      </c>
      <c r="L9" s="38" t="n">
        <f aca="false">IF(K9=0,1,MIN(Car_Data!$B$121,MAX(Car_Data!$B$120,(MAX(12000,1000)/Car_Data!$B$118)^Car_Data!$B$119)))</f>
        <v>0.74558385463827</v>
      </c>
      <c r="M9" s="38" t="n">
        <f aca="false">IF(K9=0,1,IF(500&lt;=500,Car_Data!$B$113,IF(500&gt;=2000,Car_Data!$B$114,1)))</f>
        <v>1.14678899082569</v>
      </c>
      <c r="N9" s="38" t="n">
        <f aca="false">IF("full"="full",1+IF(FALSE(),Car_Data!$B$115,0)+IF(FALSE(),Car_Data!$B$116,0)+IF(FALSE(),Car_Data!$B$117,0),1)</f>
        <v>1</v>
      </c>
      <c r="O9" s="48" t="n">
        <f aca="false">J9+K9*L9*M9*N9</f>
        <v>0.807217507991391</v>
      </c>
      <c r="P9" s="35" t="n">
        <f aca="false">IFERROR(MATCH(70,Car_Data!$A$61:$A$74,1),1)</f>
        <v>13</v>
      </c>
      <c r="Q9" s="38" t="n">
        <f aca="false">IF(P9&gt;=ROWS(Car_Data!$A$61:$A$74),INDEX(Car_Data!$B$61:$B$74,ROWS(Car_Data!$A$61:$A$74)),INDEX(Car_Data!$B$61:$B$74,P9)+(INDEX(Car_Data!$B$61:$B$74,P9+1)-INDEX(Car_Data!$B$61:$B$74,P9))*(70-INDEX(Car_Data!$A$61:$A$74,P9))/(INDEX(Car_Data!$A$61:$A$74,P9+1)-INDEX(Car_Data!$A$61:$A$74,P9)))</f>
        <v>0.848</v>
      </c>
      <c r="R9" s="38" t="n">
        <f aca="false">IF(52&lt;2,Car_Data!$B$95,1)</f>
        <v>1</v>
      </c>
      <c r="S9" s="38" t="n">
        <f aca="false">INDEX(Car_Data!$B$79:$B$82,MIN(3,MAX(0,0))+1)</f>
        <v>1</v>
      </c>
      <c r="T9" s="38" t="n">
        <f aca="false">INDEX(Car_Data!$B$83:$B$86,MIN(3,MAX(0,0))+1)</f>
        <v>1</v>
      </c>
      <c r="U9" s="38" t="n">
        <f aca="false">IF(FALSE(),Car_Data!$B$87,1)</f>
        <v>1</v>
      </c>
      <c r="V9" s="38" t="n">
        <f aca="false">IF("mid"="high",Car_Data!$B$92,1)</f>
        <v>1</v>
      </c>
      <c r="W9" s="38" t="n">
        <f aca="false">IF("personal"="commercial",Car_Data!$B$94,IF("personal"="business",Car_Data!$B$93,1))</f>
        <v>1</v>
      </c>
      <c r="X9" s="38" t="n">
        <f aca="false">IF(INDEX(Car_Data!$E$5:$E$56,H9)="Yes",1,IF(""="poor",Car_Data!$B$88,IF(""="fair",Car_Data!$B$89,IF(""="excellent",Car_Data!$B$91,Car_Data!$B$90))))</f>
        <v>1</v>
      </c>
      <c r="Y9" s="34" t="n">
        <f aca="false">I9*O9*Q9*R9*S9*T9*U9*V9*W9*X9</f>
        <v>1500.46881933453</v>
      </c>
    </row>
    <row r="11" customFormat="false" ht="15" hidden="false" customHeight="false" outlineLevel="0" collapsed="false">
      <c r="H11" s="2" t="s">
        <v>491</v>
      </c>
    </row>
    <row r="12" customFormat="false" ht="46.25" hidden="false" customHeight="false" outlineLevel="0" collapsed="false">
      <c r="A12" s="9" t="s">
        <v>238</v>
      </c>
      <c r="B12" s="9" t="s">
        <v>482</v>
      </c>
      <c r="C12" s="9" t="s">
        <v>483</v>
      </c>
      <c r="D12" s="9" t="s">
        <v>484</v>
      </c>
      <c r="E12" s="9" t="s">
        <v>485</v>
      </c>
      <c r="H12" s="31" t="s">
        <v>107</v>
      </c>
      <c r="I12" s="31" t="s">
        <v>199</v>
      </c>
      <c r="J12" s="31" t="s">
        <v>202</v>
      </c>
      <c r="K12" s="31" t="s">
        <v>205</v>
      </c>
      <c r="L12" s="31" t="s">
        <v>208</v>
      </c>
      <c r="M12" s="31" t="s">
        <v>211</v>
      </c>
      <c r="N12" s="31" t="s">
        <v>213</v>
      </c>
      <c r="O12" s="31" t="s">
        <v>216</v>
      </c>
      <c r="P12" s="31" t="s">
        <v>219</v>
      </c>
      <c r="Q12" s="31" t="s">
        <v>112</v>
      </c>
      <c r="R12" s="31" t="s">
        <v>223</v>
      </c>
      <c r="S12" s="31" t="s">
        <v>226</v>
      </c>
      <c r="T12" s="31" t="s">
        <v>229</v>
      </c>
      <c r="U12" s="31" t="s">
        <v>122</v>
      </c>
      <c r="V12" s="31" t="s">
        <v>232</v>
      </c>
      <c r="W12" s="31" t="s">
        <v>123</v>
      </c>
      <c r="X12" s="31" t="s">
        <v>233</v>
      </c>
      <c r="Y12" s="31" t="s">
        <v>124</v>
      </c>
    </row>
    <row r="13" customFormat="false" ht="15" hidden="false" customHeight="false" outlineLevel="0" collapsed="false">
      <c r="A13" s="6" t="s">
        <v>492</v>
      </c>
      <c r="B13" s="18" t="n">
        <f aca="false" t="array" ref="B13:B13">MEDIAN(IF((OK_Official_Data!$A$4:$A$1803="home")*(OK_Official_Data!$D$4:$D$1803="scenario 1 (dwelling $100,000, deductible 1%)")*(OK_Official_Data!$F$4:$F$1803="frame"),OK_Official_Data!$H$4:$H$1803))</f>
        <v>2615</v>
      </c>
      <c r="C13" s="23" t="n">
        <f aca="false">Y13</f>
        <v>2455.73353372361</v>
      </c>
      <c r="D13" s="46" t="n">
        <f aca="false">C13/B13</f>
        <v>0.939095041576907</v>
      </c>
      <c r="E13" s="6" t="str">
        <f aca="false">IF(D13&lt;0.8,"Model low",IF(D13&gt;1.25,"Model high","Within 20% / 25% of the median insurer"))</f>
        <v>Within 20% / 25% of the median insurer</v>
      </c>
      <c r="H13" s="33" t="n">
        <f aca="false">MATCH("OK",Home_Data!$B$5:$B$56,0)</f>
        <v>36</v>
      </c>
      <c r="I13" s="34" t="n">
        <f aca="false">MIN(MAX(100000,50000),3000000)</f>
        <v>100000</v>
      </c>
      <c r="J13" s="35" t="n">
        <f aca="false">IFERROR(MIN(3,MAX(1,MATCH(I13,Home_Data!$C$4:$F$4,1))),1)</f>
        <v>1</v>
      </c>
      <c r="K13" s="36" t="n">
        <f aca="false">INDEX(Home_Data!$C$5:$F$56,H13,J13)</f>
        <v>3756</v>
      </c>
      <c r="L13" s="36" t="n">
        <f aca="false">INDEX(Home_Data!$C$5:$F$56,H13,J13+1)</f>
        <v>5378</v>
      </c>
      <c r="M13" s="36" t="n">
        <f aca="false">INDEX(Home_Data!$C$4:$F$4,J13)</f>
        <v>200000</v>
      </c>
      <c r="N13" s="36" t="n">
        <f aca="false">INDEX(Home_Data!$C$4:$F$4,J13+1)</f>
        <v>300000</v>
      </c>
      <c r="O13" s="36" t="n">
        <f aca="false">IF(100000&lt;200000,INDEX(Home_Data!$C$5:$F$56,H13,1)*(MAX(100000,Home_Data!$B$90)/200000)^Home_Data!$B$89,K13*(I13/M13)^(LN(L13/K13)/LN(N13/M13)))</f>
        <v>2478.0358564315</v>
      </c>
      <c r="P13" s="37" t="n">
        <f aca="false">IF(100=100,Home_Data!$B$67,IF(100=500,Home_Data!$B$69,Home_Data!$B$68))</f>
        <v>0.991</v>
      </c>
      <c r="Q13" s="37" t="n">
        <f aca="false">IF(1000&lt;=Home_Data!$B$61,Home_Data!$B$64,IF(1000&gt;=Home_Data!$B$63,Home_Data!$B$66,IF(1000&lt;=Home_Data!$B$62,Home_Data!$B$64+(Home_Data!$B$65-Home_Data!$B$64)*(LN(1000)-LN(Home_Data!$B$61))/(LN(Home_Data!$B$62)-LN(Home_Data!$B$61)),Home_Data!$B$65+(Home_Data!$B$66-Home_Data!$B$65)*(LN(1000)-LN(Home_Data!$B$62))/(LN(Home_Data!$B$63)-LN(Home_Data!$B$62)))))</f>
        <v>1</v>
      </c>
      <c r="R13" s="38" t="n">
        <f aca="false">IF(5&gt;=20,Home_Data!$B$80,IF(5&gt;=10,Home_Data!$B$79,1))</f>
        <v>1</v>
      </c>
      <c r="S13" s="38" t="n">
        <f aca="false">IF(1990&lt;1960,Home_Data!$B$81,IF(1990&lt;1980,Home_Data!$B$82,IF(1990&gt;=2000,Home_Data!$B$83,1)))</f>
        <v>1</v>
      </c>
      <c r="T13" s="38" t="n">
        <f aca="false">IF("frame"="brick",Home_Data!$B$78,1)</f>
        <v>1</v>
      </c>
      <c r="U13" s="38" t="n">
        <f aca="false">IF("own"="rental",Home_Data!$B$84,IF("own"="vacation",Home_Data!$B$85,1))</f>
        <v>1</v>
      </c>
      <c r="V13" s="38" t="n">
        <f aca="false">INDEX(Home_Data!$B$70:$B$73,MIN(3,MAX(0,0))+1)</f>
        <v>1</v>
      </c>
      <c r="W13" s="38" t="n">
        <f aca="false">IF(INDEX(Home_Data!$H$5:$H$56,H13)="Yes",1,IF(""="poor",Home_Data!$B$74,IF(""="fair",Home_Data!$B$75,IF(""="excellent",Home_Data!$B$77,Home_Data!$B$76))))</f>
        <v>1</v>
      </c>
      <c r="X13" s="38" t="n">
        <f aca="false">IF(FALSE(),Home_Data!$B$86,1)*IF(FALSE(),Home_Data!$B$87,1)*IF(FALSE(),Home_Data!$B$88,1)</f>
        <v>1</v>
      </c>
      <c r="Y13" s="34" t="n">
        <f aca="false">O13*P13*Q13*R13*S13*T13*U13*V13*W13*X13</f>
        <v>2455.73353372361</v>
      </c>
    </row>
    <row r="14" customFormat="false" ht="15" hidden="false" customHeight="false" outlineLevel="0" collapsed="false">
      <c r="A14" s="6" t="s">
        <v>493</v>
      </c>
      <c r="B14" s="18" t="n">
        <f aca="false" t="array" ref="B14:B14">MEDIAN(IF((OK_Official_Data!$A$4:$A$1803="home")*(OK_Official_Data!$D$4:$D$1803="scenario 2 (dwelling $200,000, deductible 1%)")*(OK_Official_Data!$F$4:$F$1803="frame"),OK_Official_Data!$H$4:$H$1803))</f>
        <v>3863</v>
      </c>
      <c r="C14" s="23" t="n">
        <f aca="false">Y14</f>
        <v>3468.78006815346</v>
      </c>
      <c r="D14" s="46" t="n">
        <f aca="false">C14/B14</f>
        <v>0.897949797606384</v>
      </c>
      <c r="E14" s="6" t="str">
        <f aca="false">IF(D14&lt;0.8,"Model low",IF(D14&gt;1.25,"Model high","Within 20% / 25% of the median insurer"))</f>
        <v>Within 20% / 25% of the median insurer</v>
      </c>
      <c r="H14" s="33" t="n">
        <f aca="false">MATCH("OK",Home_Data!$B$5:$B$56,0)</f>
        <v>36</v>
      </c>
      <c r="I14" s="34" t="n">
        <f aca="false">MIN(MAX(200000,50000),3000000)</f>
        <v>200000</v>
      </c>
      <c r="J14" s="35" t="n">
        <f aca="false">IFERROR(MIN(3,MAX(1,MATCH(I14,Home_Data!$C$4:$F$4,1))),1)</f>
        <v>1</v>
      </c>
      <c r="K14" s="36" t="n">
        <f aca="false">INDEX(Home_Data!$C$5:$F$56,H14,J14)</f>
        <v>3756</v>
      </c>
      <c r="L14" s="36" t="n">
        <f aca="false">INDEX(Home_Data!$C$5:$F$56,H14,J14+1)</f>
        <v>5378</v>
      </c>
      <c r="M14" s="36" t="n">
        <f aca="false">INDEX(Home_Data!$C$4:$F$4,J14)</f>
        <v>200000</v>
      </c>
      <c r="N14" s="36" t="n">
        <f aca="false">INDEX(Home_Data!$C$4:$F$4,J14+1)</f>
        <v>300000</v>
      </c>
      <c r="O14" s="36" t="n">
        <f aca="false">IF(200000&lt;200000,INDEX(Home_Data!$C$5:$F$56,H14,1)*(MAX(200000,Home_Data!$B$90)/200000)^Home_Data!$B$89,K14*(I14/M14)^(LN(L14/K14)/LN(N14/M14)))</f>
        <v>3756</v>
      </c>
      <c r="P14" s="37" t="n">
        <f aca="false">IF(100=100,Home_Data!$B$67,IF(100=500,Home_Data!$B$69,Home_Data!$B$68))</f>
        <v>0.991</v>
      </c>
      <c r="Q14" s="37" t="n">
        <f aca="false">IF(2000&lt;=Home_Data!$B$61,Home_Data!$B$64,IF(2000&gt;=Home_Data!$B$63,Home_Data!$B$66,IF(2000&lt;=Home_Data!$B$62,Home_Data!$B$64+(Home_Data!$B$65-Home_Data!$B$64)*(LN(2000)-LN(Home_Data!$B$61))/(LN(Home_Data!$B$62)-LN(Home_Data!$B$61)),Home_Data!$B$65+(Home_Data!$B$66-Home_Data!$B$65)*(LN(2000)-LN(Home_Data!$B$62))/(LN(Home_Data!$B$63)-LN(Home_Data!$B$62)))))</f>
        <v>0.931917628237057</v>
      </c>
      <c r="R14" s="38" t="n">
        <f aca="false">IF(5&gt;=20,Home_Data!$B$80,IF(5&gt;=10,Home_Data!$B$79,1))</f>
        <v>1</v>
      </c>
      <c r="S14" s="38" t="n">
        <f aca="false">IF(1990&lt;1960,Home_Data!$B$81,IF(1990&lt;1980,Home_Data!$B$82,IF(1990&gt;=2000,Home_Data!$B$83,1)))</f>
        <v>1</v>
      </c>
      <c r="T14" s="38" t="n">
        <f aca="false">IF("frame"="brick",Home_Data!$B$78,1)</f>
        <v>1</v>
      </c>
      <c r="U14" s="38" t="n">
        <f aca="false">IF("own"="rental",Home_Data!$B$84,IF("own"="vacation",Home_Data!$B$85,1))</f>
        <v>1</v>
      </c>
      <c r="V14" s="38" t="n">
        <f aca="false">INDEX(Home_Data!$B$70:$B$73,MIN(3,MAX(0,0))+1)</f>
        <v>1</v>
      </c>
      <c r="W14" s="38" t="n">
        <f aca="false">IF(INDEX(Home_Data!$H$5:$H$56,H14)="Yes",1,IF(""="poor",Home_Data!$B$74,IF(""="fair",Home_Data!$B$75,IF(""="excellent",Home_Data!$B$77,Home_Data!$B$76))))</f>
        <v>1</v>
      </c>
      <c r="X14" s="38" t="n">
        <f aca="false">IF(FALSE(),Home_Data!$B$86,1)*IF(FALSE(),Home_Data!$B$87,1)*IF(FALSE(),Home_Data!$B$88,1)</f>
        <v>1</v>
      </c>
      <c r="Y14" s="34" t="n">
        <f aca="false">O14*P14*Q14*R14*S14*T14*U14*V14*W14*X14</f>
        <v>3468.78006815346</v>
      </c>
    </row>
    <row r="15" customFormat="false" ht="15" hidden="false" customHeight="false" outlineLevel="0" collapsed="false">
      <c r="A15" s="6" t="s">
        <v>494</v>
      </c>
      <c r="B15" s="18" t="n">
        <f aca="false" t="array" ref="B15:B15">MEDIAN(IF((OK_Official_Data!$A$4:$A$1803="home")*(OK_Official_Data!$D$4:$D$1803="scenario 3 (dwelling $300,000, deductible 1%)")*(OK_Official_Data!$F$4:$F$1803="frame"),OK_Official_Data!$H$4:$H$1803))</f>
        <v>5198.5</v>
      </c>
      <c r="C15" s="23" t="n">
        <f aca="false">Y15</f>
        <v>4751.80344497159</v>
      </c>
      <c r="D15" s="46" t="n">
        <f aca="false">C15/B15</f>
        <v>0.914072029426102</v>
      </c>
      <c r="E15" s="6" t="str">
        <f aca="false">IF(D15&lt;0.8,"Model low",IF(D15&gt;1.25,"Model high","Within 20% / 25% of the median insurer"))</f>
        <v>Within 20% / 25% of the median insurer</v>
      </c>
      <c r="H15" s="33" t="n">
        <f aca="false">MATCH("OK",Home_Data!$B$5:$B$56,0)</f>
        <v>36</v>
      </c>
      <c r="I15" s="34" t="n">
        <f aca="false">MIN(MAX(300000,50000),3000000)</f>
        <v>300000</v>
      </c>
      <c r="J15" s="35" t="n">
        <f aca="false">IFERROR(MIN(3,MAX(1,MATCH(I15,Home_Data!$C$4:$F$4,1))),1)</f>
        <v>2</v>
      </c>
      <c r="K15" s="36" t="n">
        <f aca="false">INDEX(Home_Data!$C$5:$F$56,H15,J15)</f>
        <v>5378</v>
      </c>
      <c r="L15" s="36" t="n">
        <f aca="false">INDEX(Home_Data!$C$5:$F$56,H15,J15+1)</f>
        <v>7105</v>
      </c>
      <c r="M15" s="36" t="n">
        <f aca="false">INDEX(Home_Data!$C$4:$F$4,J15)</f>
        <v>300000</v>
      </c>
      <c r="N15" s="36" t="n">
        <f aca="false">INDEX(Home_Data!$C$4:$F$4,J15+1)</f>
        <v>400000</v>
      </c>
      <c r="O15" s="36" t="n">
        <f aca="false">IF(300000&lt;200000,INDEX(Home_Data!$C$5:$F$56,H15,1)*(MAX(300000,Home_Data!$B$90)/200000)^Home_Data!$B$89,K15*(I15/M15)^(LN(L15/K15)/LN(N15/M15)))</f>
        <v>5378</v>
      </c>
      <c r="P15" s="37" t="n">
        <f aca="false">IF(100=100,Home_Data!$B$67,IF(100=500,Home_Data!$B$69,Home_Data!$B$68))</f>
        <v>0.991</v>
      </c>
      <c r="Q15" s="37" t="n">
        <f aca="false">IF(3000&lt;=Home_Data!$B$61,Home_Data!$B$64,IF(3000&gt;=Home_Data!$B$63,Home_Data!$B$66,IF(3000&lt;=Home_Data!$B$62,Home_Data!$B$64+(Home_Data!$B$65-Home_Data!$B$64)*(LN(3000)-LN(Home_Data!$B$61))/(LN(Home_Data!$B$62)-LN(Home_Data!$B$61)),Home_Data!$B$65+(Home_Data!$B$66-Home_Data!$B$65)*(LN(3000)-LN(Home_Data!$B$62))/(LN(Home_Data!$B$63)-LN(Home_Data!$B$62)))))</f>
        <v>0.891587591591635</v>
      </c>
      <c r="R15" s="38" t="n">
        <f aca="false">IF(5&gt;=20,Home_Data!$B$80,IF(5&gt;=10,Home_Data!$B$79,1))</f>
        <v>1</v>
      </c>
      <c r="S15" s="38" t="n">
        <f aca="false">IF(1990&lt;1960,Home_Data!$B$81,IF(1990&lt;1980,Home_Data!$B$82,IF(1990&gt;=2000,Home_Data!$B$83,1)))</f>
        <v>1</v>
      </c>
      <c r="T15" s="38" t="n">
        <f aca="false">IF("frame"="brick",Home_Data!$B$78,1)</f>
        <v>1</v>
      </c>
      <c r="U15" s="38" t="n">
        <f aca="false">IF("own"="rental",Home_Data!$B$84,IF("own"="vacation",Home_Data!$B$85,1))</f>
        <v>1</v>
      </c>
      <c r="V15" s="38" t="n">
        <f aca="false">INDEX(Home_Data!$B$70:$B$73,MIN(3,MAX(0,0))+1)</f>
        <v>1</v>
      </c>
      <c r="W15" s="38" t="n">
        <f aca="false">IF(INDEX(Home_Data!$H$5:$H$56,H15)="Yes",1,IF(""="poor",Home_Data!$B$74,IF(""="fair",Home_Data!$B$75,IF(""="excellent",Home_Data!$B$77,Home_Data!$B$76))))</f>
        <v>1</v>
      </c>
      <c r="X15" s="38" t="n">
        <f aca="false">IF(FALSE(),Home_Data!$B$86,1)*IF(FALSE(),Home_Data!$B$87,1)*IF(FALSE(),Home_Data!$B$88,1)</f>
        <v>1</v>
      </c>
      <c r="Y15" s="34" t="n">
        <f aca="false">O15*P15*Q15*R15*S15*T15*U15*V15*W15*X15</f>
        <v>4751.80344497159</v>
      </c>
    </row>
    <row r="16" customFormat="false" ht="15" hidden="false" customHeight="false" outlineLevel="0" collapsed="false">
      <c r="A16" s="6" t="s">
        <v>495</v>
      </c>
      <c r="B16" s="18" t="n">
        <f aca="false" t="array" ref="B16:B16">MEDIAN(IF((OK_Official_Data!$A$4:$A$1803="home")*(OK_Official_Data!$D$4:$D$1803="scenario 4 (dwelling $400,000, deductible 1%)")*(OK_Official_Data!$F$4:$F$1803="frame"),OK_Official_Data!$H$4:$H$1803))</f>
        <v>6526</v>
      </c>
      <c r="C16" s="23" t="n">
        <f aca="false">Y16</f>
        <v>6073.1561395503</v>
      </c>
      <c r="D16" s="46" t="n">
        <f aca="false">C16/B16</f>
        <v>0.930609276670288</v>
      </c>
      <c r="E16" s="6" t="str">
        <f aca="false">IF(D16&lt;0.8,"Model low",IF(D16&gt;1.25,"Model high","Within 20% / 25% of the median insurer"))</f>
        <v>Within 20% / 25% of the median insurer</v>
      </c>
      <c r="H16" s="33" t="n">
        <f aca="false">MATCH("OK",Home_Data!$B$5:$B$56,0)</f>
        <v>36</v>
      </c>
      <c r="I16" s="34" t="n">
        <f aca="false">MIN(MAX(400000,50000),3000000)</f>
        <v>400000</v>
      </c>
      <c r="J16" s="35" t="n">
        <f aca="false">IFERROR(MIN(3,MAX(1,MATCH(I16,Home_Data!$C$4:$F$4,1))),1)</f>
        <v>3</v>
      </c>
      <c r="K16" s="36" t="n">
        <f aca="false">INDEX(Home_Data!$C$5:$F$56,H16,J16)</f>
        <v>7105</v>
      </c>
      <c r="L16" s="36" t="n">
        <f aca="false">INDEX(Home_Data!$C$5:$F$56,H16,J16+1)</f>
        <v>10232</v>
      </c>
      <c r="M16" s="36" t="n">
        <f aca="false">INDEX(Home_Data!$C$4:$F$4,J16)</f>
        <v>400000</v>
      </c>
      <c r="N16" s="36" t="n">
        <f aca="false">INDEX(Home_Data!$C$4:$F$4,J16+1)</f>
        <v>600000</v>
      </c>
      <c r="O16" s="36" t="n">
        <f aca="false">IF(400000&lt;200000,INDEX(Home_Data!$C$5:$F$56,H16,1)*(MAX(400000,Home_Data!$B$90)/200000)^Home_Data!$B$89,K16*(I16/M16)^(LN(L16/K16)/LN(N16/M16)))</f>
        <v>7105</v>
      </c>
      <c r="P16" s="37" t="n">
        <f aca="false">IF(100=100,Home_Data!$B$67,IF(100=500,Home_Data!$B$69,Home_Data!$B$68))</f>
        <v>0.991</v>
      </c>
      <c r="Q16" s="37" t="n">
        <f aca="false">IF(4000&lt;=Home_Data!$B$61,Home_Data!$B$64,IF(4000&gt;=Home_Data!$B$63,Home_Data!$B$66,IF(4000&lt;=Home_Data!$B$62,Home_Data!$B$64+(Home_Data!$B$65-Home_Data!$B$64)*(LN(4000)-LN(Home_Data!$B$61))/(LN(Home_Data!$B$62)-LN(Home_Data!$B$61)),Home_Data!$B$65+(Home_Data!$B$66-Home_Data!$B$65)*(LN(4000)-LN(Home_Data!$B$62))/(LN(Home_Data!$B$63)-LN(Home_Data!$B$62)))))</f>
        <v>0.862534966642115</v>
      </c>
      <c r="R16" s="38" t="n">
        <f aca="false">IF(5&gt;=20,Home_Data!$B$80,IF(5&gt;=10,Home_Data!$B$79,1))</f>
        <v>1</v>
      </c>
      <c r="S16" s="38" t="n">
        <f aca="false">IF(1990&lt;1960,Home_Data!$B$81,IF(1990&lt;1980,Home_Data!$B$82,IF(1990&gt;=2000,Home_Data!$B$83,1)))</f>
        <v>1</v>
      </c>
      <c r="T16" s="38" t="n">
        <f aca="false">IF("frame"="brick",Home_Data!$B$78,1)</f>
        <v>1</v>
      </c>
      <c r="U16" s="38" t="n">
        <f aca="false">IF("own"="rental",Home_Data!$B$84,IF("own"="vacation",Home_Data!$B$85,1))</f>
        <v>1</v>
      </c>
      <c r="V16" s="38" t="n">
        <f aca="false">INDEX(Home_Data!$B$70:$B$73,MIN(3,MAX(0,0))+1)</f>
        <v>1</v>
      </c>
      <c r="W16" s="38" t="n">
        <f aca="false">IF(INDEX(Home_Data!$H$5:$H$56,H16)="Yes",1,IF(""="poor",Home_Data!$B$74,IF(""="fair",Home_Data!$B$75,IF(""="excellent",Home_Data!$B$77,Home_Data!$B$76))))</f>
        <v>1</v>
      </c>
      <c r="X16" s="38" t="n">
        <f aca="false">IF(FALSE(),Home_Data!$B$86,1)*IF(FALSE(),Home_Data!$B$87,1)*IF(FALSE(),Home_Data!$B$88,1)</f>
        <v>1</v>
      </c>
      <c r="Y16" s="34" t="n">
        <f aca="false">O16*P16*Q16*R16*S16*T16*U16*V16*W16*X16</f>
        <v>6073.1561395503</v>
      </c>
    </row>
    <row r="17" customFormat="false" ht="15" hidden="false" customHeight="false" outlineLevel="0" collapsed="false">
      <c r="A17" s="6" t="s">
        <v>496</v>
      </c>
      <c r="B17" s="18" t="n">
        <f aca="false" t="array" ref="B17:B17">MEDIAN(IF((OK_Official_Data!$A$4:$A$1803="home")*(OK_Official_Data!$D$4:$D$1803="scenario 5 (dwelling $500,000, deductible 1%)")*(OK_Official_Data!$F$4:$F$1803="frame"),OK_Official_Data!$H$4:$H$1803))</f>
        <v>7539</v>
      </c>
      <c r="C17" s="23" t="n">
        <f aca="false">Y17</f>
        <v>7229.17735036327</v>
      </c>
      <c r="D17" s="46" t="n">
        <f aca="false">C17/B17</f>
        <v>0.958904012516683</v>
      </c>
      <c r="E17" s="6" t="str">
        <f aca="false">IF(D17&lt;0.8,"Model low",IF(D17&gt;1.25,"Model high","Within 20% / 25% of the median insurer"))</f>
        <v>Within 20% / 25% of the median insurer</v>
      </c>
      <c r="H17" s="33" t="n">
        <f aca="false">MATCH("OK",Home_Data!$B$5:$B$56,0)</f>
        <v>36</v>
      </c>
      <c r="I17" s="34" t="n">
        <f aca="false">MIN(MAX(500000,50000),3000000)</f>
        <v>500000</v>
      </c>
      <c r="J17" s="35" t="n">
        <f aca="false">IFERROR(MIN(3,MAX(1,MATCH(I17,Home_Data!$C$4:$F$4,1))),1)</f>
        <v>3</v>
      </c>
      <c r="K17" s="36" t="n">
        <f aca="false">INDEX(Home_Data!$C$5:$F$56,H17,J17)</f>
        <v>7105</v>
      </c>
      <c r="L17" s="36" t="n">
        <f aca="false">INDEX(Home_Data!$C$5:$F$56,H17,J17+1)</f>
        <v>10232</v>
      </c>
      <c r="M17" s="36" t="n">
        <f aca="false">INDEX(Home_Data!$C$4:$F$4,J17)</f>
        <v>400000</v>
      </c>
      <c r="N17" s="36" t="n">
        <f aca="false">INDEX(Home_Data!$C$4:$F$4,J17+1)</f>
        <v>600000</v>
      </c>
      <c r="O17" s="36" t="n">
        <f aca="false">IF(500000&lt;200000,INDEX(Home_Data!$C$5:$F$56,H17,1)*(MAX(500000,Home_Data!$B$90)/200000)^Home_Data!$B$89,K17*(I17/M17)^(LN(L17/K17)/LN(N17/M17)))</f>
        <v>8684.3224140638</v>
      </c>
      <c r="P17" s="37" t="n">
        <f aca="false">IF(100=100,Home_Data!$B$67,IF(100=500,Home_Data!$B$69,Home_Data!$B$68))</f>
        <v>0.991</v>
      </c>
      <c r="Q17" s="37" t="n">
        <f aca="false">IF(5000&lt;=Home_Data!$B$61,Home_Data!$B$64,IF(5000&gt;=Home_Data!$B$63,Home_Data!$B$66,IF(5000&lt;=Home_Data!$B$62,Home_Data!$B$64+(Home_Data!$B$65-Home_Data!$B$64)*(LN(5000)-LN(Home_Data!$B$61))/(LN(Home_Data!$B$62)-LN(Home_Data!$B$61)),Home_Data!$B$65+(Home_Data!$B$66-Home_Data!$B$65)*(LN(5000)-LN(Home_Data!$B$62))/(LN(Home_Data!$B$63)-LN(Home_Data!$B$62)))))</f>
        <v>0.84</v>
      </c>
      <c r="R17" s="38" t="n">
        <f aca="false">IF(5&gt;=20,Home_Data!$B$80,IF(5&gt;=10,Home_Data!$B$79,1))</f>
        <v>1</v>
      </c>
      <c r="S17" s="38" t="n">
        <f aca="false">IF(1990&lt;1960,Home_Data!$B$81,IF(1990&lt;1980,Home_Data!$B$82,IF(1990&gt;=2000,Home_Data!$B$83,1)))</f>
        <v>1</v>
      </c>
      <c r="T17" s="38" t="n">
        <f aca="false">IF("frame"="brick",Home_Data!$B$78,1)</f>
        <v>1</v>
      </c>
      <c r="U17" s="38" t="n">
        <f aca="false">IF("own"="rental",Home_Data!$B$84,IF("own"="vacation",Home_Data!$B$85,1))</f>
        <v>1</v>
      </c>
      <c r="V17" s="38" t="n">
        <f aca="false">INDEX(Home_Data!$B$70:$B$73,MIN(3,MAX(0,0))+1)</f>
        <v>1</v>
      </c>
      <c r="W17" s="38" t="n">
        <f aca="false">IF(INDEX(Home_Data!$H$5:$H$56,H17)="Yes",1,IF(""="poor",Home_Data!$B$74,IF(""="fair",Home_Data!$B$75,IF(""="excellent",Home_Data!$B$77,Home_Data!$B$76))))</f>
        <v>1</v>
      </c>
      <c r="X17" s="38" t="n">
        <f aca="false">IF(FALSE(),Home_Data!$B$86,1)*IF(FALSE(),Home_Data!$B$87,1)*IF(FALSE(),Home_Data!$B$88,1)</f>
        <v>1</v>
      </c>
      <c r="Y17" s="34" t="n">
        <f aca="false">O17*P17*Q17*R17*S17*T17*U17*V17*W17*X17</f>
        <v>7229.17735036327</v>
      </c>
    </row>
    <row r="18" customFormat="false" ht="15" hidden="false" customHeight="false" outlineLevel="0" collapsed="false">
      <c r="A18" s="6" t="s">
        <v>497</v>
      </c>
      <c r="B18" s="18" t="n">
        <f aca="false" t="array" ref="B18:B18">MEDIAN(IF((OK_Official_Data!$A$4:$A$1803="home")*(OK_Official_Data!$D$4:$D$1803="scenario 3 (dwelling $300,000, deductible 1%)")*(OK_Official_Data!$F$4:$F$1803="masonry"),OK_Official_Data!$H$4:$H$1803))</f>
        <v>4971.5</v>
      </c>
      <c r="C18" s="23" t="n">
        <f aca="false">Y18</f>
        <v>4656.76737607216</v>
      </c>
      <c r="D18" s="46" t="n">
        <f aca="false">C18/B18</f>
        <v>0.936692623166481</v>
      </c>
      <c r="E18" s="6" t="str">
        <f aca="false">IF(D18&lt;0.8,"Model low",IF(D18&gt;1.25,"Model high","Within 20% / 25% of the median insurer"))</f>
        <v>Within 20% / 25% of the median insurer</v>
      </c>
      <c r="H18" s="33" t="n">
        <f aca="false">MATCH("OK",Home_Data!$B$5:$B$56,0)</f>
        <v>36</v>
      </c>
      <c r="I18" s="34" t="n">
        <f aca="false">MIN(MAX(300000,50000),3000000)</f>
        <v>300000</v>
      </c>
      <c r="J18" s="35" t="n">
        <f aca="false">IFERROR(MIN(3,MAX(1,MATCH(I18,Home_Data!$C$4:$F$4,1))),1)</f>
        <v>2</v>
      </c>
      <c r="K18" s="36" t="n">
        <f aca="false">INDEX(Home_Data!$C$5:$F$56,H18,J18)</f>
        <v>5378</v>
      </c>
      <c r="L18" s="36" t="n">
        <f aca="false">INDEX(Home_Data!$C$5:$F$56,H18,J18+1)</f>
        <v>7105</v>
      </c>
      <c r="M18" s="36" t="n">
        <f aca="false">INDEX(Home_Data!$C$4:$F$4,J18)</f>
        <v>300000</v>
      </c>
      <c r="N18" s="36" t="n">
        <f aca="false">INDEX(Home_Data!$C$4:$F$4,J18+1)</f>
        <v>400000</v>
      </c>
      <c r="O18" s="36" t="n">
        <f aca="false">IF(300000&lt;200000,INDEX(Home_Data!$C$5:$F$56,H18,1)*(MAX(300000,Home_Data!$B$90)/200000)^Home_Data!$B$89,K18*(I18/M18)^(LN(L18/K18)/LN(N18/M18)))</f>
        <v>5378</v>
      </c>
      <c r="P18" s="37" t="n">
        <f aca="false">IF(100=100,Home_Data!$B$67,IF(100=500,Home_Data!$B$69,Home_Data!$B$68))</f>
        <v>0.991</v>
      </c>
      <c r="Q18" s="37" t="n">
        <f aca="false">IF(3000&lt;=Home_Data!$B$61,Home_Data!$B$64,IF(3000&gt;=Home_Data!$B$63,Home_Data!$B$66,IF(3000&lt;=Home_Data!$B$62,Home_Data!$B$64+(Home_Data!$B$65-Home_Data!$B$64)*(LN(3000)-LN(Home_Data!$B$61))/(LN(Home_Data!$B$62)-LN(Home_Data!$B$61)),Home_Data!$B$65+(Home_Data!$B$66-Home_Data!$B$65)*(LN(3000)-LN(Home_Data!$B$62))/(LN(Home_Data!$B$63)-LN(Home_Data!$B$62)))))</f>
        <v>0.891587591591635</v>
      </c>
      <c r="R18" s="38" t="n">
        <f aca="false">IF(5&gt;=20,Home_Data!$B$80,IF(5&gt;=10,Home_Data!$B$79,1))</f>
        <v>1</v>
      </c>
      <c r="S18" s="38" t="n">
        <f aca="false">IF(1990&lt;1960,Home_Data!$B$81,IF(1990&lt;1980,Home_Data!$B$82,IF(1990&gt;=2000,Home_Data!$B$83,1)))</f>
        <v>1</v>
      </c>
      <c r="T18" s="38" t="n">
        <f aca="false">IF("brick"="brick",Home_Data!$B$78,1)</f>
        <v>0.98</v>
      </c>
      <c r="U18" s="38" t="n">
        <f aca="false">IF("own"="rental",Home_Data!$B$84,IF("own"="vacation",Home_Data!$B$85,1))</f>
        <v>1</v>
      </c>
      <c r="V18" s="38" t="n">
        <f aca="false">INDEX(Home_Data!$B$70:$B$73,MIN(3,MAX(0,0))+1)</f>
        <v>1</v>
      </c>
      <c r="W18" s="38" t="n">
        <f aca="false">IF(INDEX(Home_Data!$H$5:$H$56,H18)="Yes",1,IF(""="poor",Home_Data!$B$74,IF(""="fair",Home_Data!$B$75,IF(""="excellent",Home_Data!$B$77,Home_Data!$B$76))))</f>
        <v>1</v>
      </c>
      <c r="X18" s="38" t="n">
        <f aca="false">IF(FALSE(),Home_Data!$B$86,1)*IF(FALSE(),Home_Data!$B$87,1)*IF(FALSE(),Home_Data!$B$88,1)</f>
        <v>1</v>
      </c>
      <c r="Y18" s="34" t="n">
        <f aca="false">O18*P18*Q18*R18*S18*T18*U18*V18*W18*X18</f>
        <v>4656.76737607216</v>
      </c>
    </row>
    <row r="21" customFormat="false" ht="15" hidden="false" customHeight="false" outlineLevel="0" collapsed="false">
      <c r="A21" s="3" t="s">
        <v>498</v>
      </c>
    </row>
    <row r="22" customFormat="false" ht="23.85" hidden="false" customHeight="false" outlineLevel="0" collapsed="false">
      <c r="A22" s="9" t="s">
        <v>499</v>
      </c>
      <c r="B22" s="9" t="s">
        <v>500</v>
      </c>
      <c r="C22" s="9" t="s">
        <v>501</v>
      </c>
      <c r="D22" s="9" t="s">
        <v>502</v>
      </c>
      <c r="E22" s="9" t="s">
        <v>503</v>
      </c>
      <c r="F22" s="9" t="s">
        <v>504</v>
      </c>
      <c r="G22" s="9" t="s">
        <v>505</v>
      </c>
    </row>
    <row r="23" customFormat="false" ht="15" hidden="false" customHeight="false" outlineLevel="0" collapsed="false">
      <c r="A23" s="6" t="s">
        <v>506</v>
      </c>
      <c r="B23" s="19" t="n">
        <f aca="false" t="array" ref="B23:B23">PERCENTILE(IF(OK_Official_Data!$A$4:$A$1803="auto",OK_Official_Data!$K$4:$K$1803),0.1)</f>
        <v>0.592394451550387</v>
      </c>
      <c r="C23" s="19" t="n">
        <f aca="false" t="array" ref="C23:C23">PERCENTILE(IF(OK_Official_Data!$A$4:$A$1803="auto",OK_Official_Data!$K$4:$K$1803),0.25)</f>
        <v>0.792460935512925</v>
      </c>
      <c r="D23" s="19" t="n">
        <f aca="false" t="array" ref="D23:D23">PERCENTILE(IF(OK_Official_Data!$A$4:$A$1803="auto",OK_Official_Data!$K$4:$K$1803),0.75)</f>
        <v>1.21365113851609</v>
      </c>
      <c r="E23" s="19" t="n">
        <f aca="false" t="array" ref="E23:E23">PERCENTILE(IF(OK_Official_Data!$A$4:$A$1803="auto",OK_Official_Data!$K$4:$K$1803),0.9)</f>
        <v>1.57286512173065</v>
      </c>
      <c r="F23" s="19" t="n">
        <f aca="false" t="array" ref="F23:F23">STDEV(IF(OK_Official_Data!$A$4:$A$1803="auto",LN(OK_Official_Data!$K$4:$K$1803)))</f>
        <v>0.392101577151798</v>
      </c>
      <c r="G23" s="49" t="n">
        <f aca="false">COUNTIF(OK_Official_Data!$A$4:$A$1803,"auto")</f>
        <v>1000</v>
      </c>
    </row>
    <row r="24" customFormat="false" ht="15" hidden="false" customHeight="false" outlineLevel="0" collapsed="false">
      <c r="A24" s="6" t="s">
        <v>507</v>
      </c>
      <c r="B24" s="19" t="n">
        <f aca="false" t="array" ref="B24:B24">PERCENTILE(IF(OK_Official_Data!$A$4:$A$1803="home",OK_Official_Data!$K$4:$K$1803),0.1)</f>
        <v>0.464850897610214</v>
      </c>
      <c r="C24" s="19" t="n">
        <f aca="false" t="array" ref="C24:C24">PERCENTILE(IF(OK_Official_Data!$A$4:$A$1803="home",OK_Official_Data!$K$4:$K$1803),0.25)</f>
        <v>0.74557672985483</v>
      </c>
      <c r="D24" s="19" t="n">
        <f aca="false" t="array" ref="D24:D24">PERCENTILE(IF(OK_Official_Data!$A$4:$A$1803="home",OK_Official_Data!$K$4:$K$1803),0.75)</f>
        <v>1.21609961083739</v>
      </c>
      <c r="E24" s="19" t="n">
        <f aca="false" t="array" ref="E24:E24">PERCENTILE(IF(OK_Official_Data!$A$4:$A$1803="home",OK_Official_Data!$K$4:$K$1803),0.9)</f>
        <v>1.3709664093233</v>
      </c>
      <c r="F24" s="19" t="n">
        <f aca="false" t="array" ref="F24:F24">STDEV(IF(OK_Official_Data!$A$4:$A$1803="home",LN(OK_Official_Data!$K$4:$K$1803)))</f>
        <v>0.42123826423316</v>
      </c>
      <c r="G24" s="49" t="n">
        <f aca="false">COUNTIF(OK_Official_Data!$A$4:$A$1803,"home")</f>
        <v>800</v>
      </c>
    </row>
    <row r="26" customFormat="false" ht="15" hidden="false" customHeight="false" outlineLevel="0" collapsed="false">
      <c r="A26" s="29" t="s">
        <v>508</v>
      </c>
    </row>
    <row r="27" customFormat="false" ht="15" hidden="false" customHeight="false" outlineLevel="0" collapsed="false">
      <c r="A27" s="2" t="s">
        <v>509</v>
      </c>
    </row>
    <row r="29" customFormat="false" ht="15" hidden="false" customHeight="false" outlineLevel="0" collapsed="false">
      <c r="A29" s="11"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4"/>
    <col collapsed="false" customWidth="true" hidden="false" outlineLevel="0" max="2" min="2" style="0" width="24"/>
    <col collapsed="false" customWidth="true" hidden="false" outlineLevel="0" max="3" min="3" style="0" width="34"/>
  </cols>
  <sheetData>
    <row r="1" customFormat="false" ht="19.7" hidden="false" customHeight="false" outlineLevel="0" collapsed="false">
      <c r="A1" s="1" t="s">
        <v>511</v>
      </c>
    </row>
    <row r="2" customFormat="false" ht="15" hidden="false" customHeight="false" outlineLevel="0" collapsed="false">
      <c r="A2" s="2" t="s">
        <v>512</v>
      </c>
    </row>
    <row r="4" customFormat="false" ht="15" hidden="false" customHeight="false" outlineLevel="0" collapsed="false">
      <c r="A4" s="9" t="s">
        <v>513</v>
      </c>
      <c r="B4" s="9" t="s">
        <v>514</v>
      </c>
      <c r="C4" s="9" t="s">
        <v>515</v>
      </c>
    </row>
    <row r="5" customFormat="false" ht="15" hidden="false" customHeight="false" outlineLevel="0" collapsed="false">
      <c r="A5" s="6" t="s">
        <v>516</v>
      </c>
      <c r="B5" s="45" t="n">
        <v>0.62</v>
      </c>
      <c r="C5" s="19" t="n">
        <f aca="false">OK_Benchmark!D5</f>
        <v>1.09432357617582</v>
      </c>
    </row>
    <row r="6" customFormat="false" ht="15" hidden="false" customHeight="false" outlineLevel="0" collapsed="false">
      <c r="A6" s="6" t="s">
        <v>517</v>
      </c>
      <c r="B6" s="45" t="n">
        <v>0.91</v>
      </c>
      <c r="C6" s="19" t="n">
        <f aca="false">OK_Benchmark!D6</f>
        <v>1.0855201397738</v>
      </c>
    </row>
    <row r="7" customFormat="false" ht="15" hidden="false" customHeight="false" outlineLevel="0" collapsed="false">
      <c r="A7" s="6" t="s">
        <v>518</v>
      </c>
      <c r="B7" s="45" t="n">
        <v>0.79</v>
      </c>
      <c r="C7" s="19" t="n">
        <f aca="false">OK_Benchmark!D7</f>
        <v>0.938857112924203</v>
      </c>
    </row>
    <row r="8" customFormat="false" ht="15" hidden="false" customHeight="false" outlineLevel="0" collapsed="false">
      <c r="A8" s="6" t="s">
        <v>519</v>
      </c>
      <c r="B8" s="45" t="n">
        <v>0.83</v>
      </c>
      <c r="C8" s="19" t="n">
        <f aca="false">OK_Benchmark!D8</f>
        <v>0.993572316669519</v>
      </c>
    </row>
    <row r="9" customFormat="false" ht="15" hidden="false" customHeight="false" outlineLevel="0" collapsed="false">
      <c r="A9" s="6" t="s">
        <v>520</v>
      </c>
      <c r="B9" s="45" t="n">
        <v>0.84</v>
      </c>
      <c r="C9" s="19" t="n">
        <f aca="false">OK_Benchmark!D9</f>
        <v>0.999646115479364</v>
      </c>
    </row>
    <row r="10" customFormat="false" ht="15" hidden="false" customHeight="false" outlineLevel="0" collapsed="false">
      <c r="A10" s="6" t="s">
        <v>521</v>
      </c>
      <c r="B10" s="45" t="n">
        <v>0.77</v>
      </c>
      <c r="C10" s="19" t="n">
        <f aca="false">OK_Benchmark!D13</f>
        <v>0.939095041576907</v>
      </c>
    </row>
    <row r="11" customFormat="false" ht="15" hidden="false" customHeight="false" outlineLevel="0" collapsed="false">
      <c r="A11" s="6" t="s">
        <v>522</v>
      </c>
      <c r="B11" s="45" t="n">
        <v>0.96</v>
      </c>
      <c r="C11" s="19" t="n">
        <f aca="false">OK_Benchmark!D14</f>
        <v>0.897949797606384</v>
      </c>
    </row>
    <row r="12" customFormat="false" ht="15" hidden="false" customHeight="false" outlineLevel="0" collapsed="false">
      <c r="A12" s="6" t="s">
        <v>523</v>
      </c>
      <c r="B12" s="45" t="n">
        <v>0.93</v>
      </c>
      <c r="C12" s="19" t="n">
        <f aca="false">OK_Benchmark!D15</f>
        <v>0.914072029426102</v>
      </c>
    </row>
    <row r="13" customFormat="false" ht="15" hidden="false" customHeight="false" outlineLevel="0" collapsed="false">
      <c r="A13" s="6" t="s">
        <v>524</v>
      </c>
      <c r="B13" s="45" t="n">
        <v>0.98</v>
      </c>
      <c r="C13" s="19" t="n">
        <f aca="false">OK_Benchmark!D16</f>
        <v>0.930609276670288</v>
      </c>
    </row>
    <row r="14" customFormat="false" ht="15" hidden="false" customHeight="false" outlineLevel="0" collapsed="false">
      <c r="A14" s="6" t="s">
        <v>525</v>
      </c>
      <c r="B14" s="45" t="n">
        <v>0.96</v>
      </c>
      <c r="C14" s="19" t="n">
        <f aca="false">OK_Benchmark!D17</f>
        <v>0.958904012516683</v>
      </c>
    </row>
    <row r="21" customFormat="false" ht="15" hidden="false" customHeight="false" outlineLevel="0" collapsed="false">
      <c r="A21" s="3" t="s">
        <v>526</v>
      </c>
    </row>
    <row r="22" customFormat="false" ht="15" hidden="false" customHeight="false" outlineLevel="0" collapsed="false">
      <c r="A22" s="9" t="s">
        <v>513</v>
      </c>
      <c r="B22" s="9" t="s">
        <v>527</v>
      </c>
    </row>
    <row r="23" customFormat="false" ht="35.05" hidden="false" customHeight="false" outlineLevel="0" collapsed="false">
      <c r="A23" s="10" t="s">
        <v>528</v>
      </c>
      <c r="B23" s="10" t="s">
        <v>529</v>
      </c>
    </row>
    <row r="24" customFormat="false" ht="15" hidden="false" customHeight="false" outlineLevel="0" collapsed="false">
      <c r="A24" s="10" t="s">
        <v>530</v>
      </c>
      <c r="B24" s="10" t="s">
        <v>531</v>
      </c>
    </row>
    <row r="25" customFormat="false" ht="23.85" hidden="false" customHeight="false" outlineLevel="0" collapsed="false">
      <c r="A25" s="10" t="s">
        <v>532</v>
      </c>
      <c r="B25" s="10" t="s">
        <v>533</v>
      </c>
    </row>
    <row r="26" customFormat="false" ht="23.85" hidden="false" customHeight="false" outlineLevel="0" collapsed="false">
      <c r="A26" s="10" t="s">
        <v>534</v>
      </c>
      <c r="B26" s="10" t="s">
        <v>535</v>
      </c>
    </row>
    <row r="27" customFormat="false" ht="23.85" hidden="false" customHeight="false" outlineLevel="0" collapsed="false">
      <c r="A27" s="10" t="s">
        <v>536</v>
      </c>
      <c r="B27" s="10" t="s">
        <v>537</v>
      </c>
    </row>
    <row r="28" customFormat="false" ht="46.25" hidden="false" customHeight="false" outlineLevel="0" collapsed="false">
      <c r="A28" s="10" t="s">
        <v>538</v>
      </c>
      <c r="B28" s="10"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5B4A"/>
    <pageSetUpPr fitToPage="false"/>
  </sheetPr>
  <dimension ref="A1:K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4" min="3" style="0" width="22"/>
    <col collapsed="false" customWidth="true" hidden="false" outlineLevel="0" max="5" min="5" style="0" width="16"/>
    <col collapsed="false" customWidth="true" hidden="false" outlineLevel="0" max="7" min="6" style="0" width="12"/>
    <col collapsed="false" customWidth="true" hidden="false" outlineLevel="0" max="8" min="8" style="0" width="34"/>
    <col collapsed="false" customWidth="true" hidden="false" outlineLevel="0" max="9" min="9" style="0" width="24"/>
    <col collapsed="false" customWidth="true" hidden="false" outlineLevel="0" max="10" min="10" style="0" width="60"/>
    <col collapsed="false" customWidth="true" hidden="false" outlineLevel="0" max="11" min="11" style="0" width="34"/>
  </cols>
  <sheetData>
    <row r="1" customFormat="false" ht="19.7" hidden="false" customHeight="false" outlineLevel="0" collapsed="false">
      <c r="A1" s="1" t="s">
        <v>540</v>
      </c>
    </row>
    <row r="2" customFormat="false" ht="15" hidden="false" customHeight="false" outlineLevel="0" collapsed="false">
      <c r="A2" s="2" t="s">
        <v>541</v>
      </c>
    </row>
    <row r="4" customFormat="false" ht="23.85" hidden="false" customHeight="false" outlineLevel="0" collapsed="false">
      <c r="A4" s="9" t="s">
        <v>239</v>
      </c>
      <c r="B4" s="9" t="s">
        <v>542</v>
      </c>
      <c r="C4" s="9" t="s">
        <v>543</v>
      </c>
      <c r="D4" s="9" t="s">
        <v>544</v>
      </c>
      <c r="E4" s="9" t="s">
        <v>545</v>
      </c>
      <c r="F4" s="9" t="s">
        <v>546</v>
      </c>
      <c r="G4" s="9" t="s">
        <v>547</v>
      </c>
      <c r="H4" s="9" t="s">
        <v>548</v>
      </c>
      <c r="I4" s="9" t="s">
        <v>549</v>
      </c>
      <c r="J4" s="9" t="s">
        <v>550</v>
      </c>
      <c r="K4" s="9" t="s">
        <v>551</v>
      </c>
    </row>
    <row r="5" customFormat="false" ht="15" hidden="false" customHeight="false" outlineLevel="0" collapsed="false">
      <c r="A5" s="6" t="s">
        <v>552</v>
      </c>
      <c r="B5" s="6" t="s">
        <v>553</v>
      </c>
      <c r="C5" s="50" t="n">
        <v>2178</v>
      </c>
      <c r="D5" s="51" t="n">
        <f aca="false">C5/$C$56</f>
        <v>0.929180887372014</v>
      </c>
      <c r="E5" s="6" t="s">
        <v>68</v>
      </c>
      <c r="F5" s="6" t="s">
        <v>68</v>
      </c>
      <c r="G5" s="6" t="s">
        <v>68</v>
      </c>
      <c r="H5" s="6"/>
      <c r="I5" s="6" t="s">
        <v>554</v>
      </c>
      <c r="J5" s="10" t="s">
        <v>555</v>
      </c>
      <c r="K5" s="6" t="s">
        <v>556</v>
      </c>
    </row>
    <row r="6" customFormat="false" ht="15" hidden="false" customHeight="false" outlineLevel="0" collapsed="false">
      <c r="A6" s="6" t="s">
        <v>557</v>
      </c>
      <c r="B6" s="6" t="s">
        <v>558</v>
      </c>
      <c r="C6" s="50" t="n">
        <v>1650</v>
      </c>
      <c r="D6" s="51" t="n">
        <f aca="false">C6/$C$56</f>
        <v>0.703924914675768</v>
      </c>
      <c r="E6" s="6" t="s">
        <v>68</v>
      </c>
      <c r="F6" s="6" t="s">
        <v>68</v>
      </c>
      <c r="G6" s="6" t="s">
        <v>68</v>
      </c>
      <c r="H6" s="6"/>
      <c r="I6" s="6" t="s">
        <v>554</v>
      </c>
      <c r="J6" s="10" t="s">
        <v>559</v>
      </c>
      <c r="K6" s="6" t="s">
        <v>556</v>
      </c>
    </row>
    <row r="7" customFormat="false" ht="15" hidden="false" customHeight="false" outlineLevel="0" collapsed="false">
      <c r="A7" s="6" t="s">
        <v>560</v>
      </c>
      <c r="B7" s="6" t="s">
        <v>561</v>
      </c>
      <c r="C7" s="50" t="n">
        <v>2947</v>
      </c>
      <c r="D7" s="51" t="n">
        <f aca="false">C7/$C$56</f>
        <v>1.25725255972696</v>
      </c>
      <c r="E7" s="6" t="s">
        <v>68</v>
      </c>
      <c r="F7" s="6" t="s">
        <v>68</v>
      </c>
      <c r="G7" s="6" t="s">
        <v>68</v>
      </c>
      <c r="H7" s="6"/>
      <c r="I7" s="6" t="s">
        <v>554</v>
      </c>
      <c r="J7" s="10" t="s">
        <v>562</v>
      </c>
      <c r="K7" s="6" t="s">
        <v>556</v>
      </c>
    </row>
    <row r="8" customFormat="false" ht="15" hidden="false" customHeight="false" outlineLevel="0" collapsed="false">
      <c r="A8" s="6" t="s">
        <v>563</v>
      </c>
      <c r="B8" s="6" t="s">
        <v>564</v>
      </c>
      <c r="C8" s="50" t="n">
        <v>2642</v>
      </c>
      <c r="D8" s="51" t="n">
        <f aca="false">C8/$C$56</f>
        <v>1.12713310580205</v>
      </c>
      <c r="E8" s="6" t="s">
        <v>68</v>
      </c>
      <c r="F8" s="6" t="s">
        <v>68</v>
      </c>
      <c r="G8" s="6" t="s">
        <v>68</v>
      </c>
      <c r="H8" s="6"/>
      <c r="I8" s="6" t="s">
        <v>554</v>
      </c>
      <c r="J8" s="10" t="s">
        <v>555</v>
      </c>
      <c r="K8" s="6" t="s">
        <v>556</v>
      </c>
    </row>
    <row r="9" customFormat="false" ht="15" hidden="false" customHeight="false" outlineLevel="0" collapsed="false">
      <c r="A9" s="6" t="s">
        <v>565</v>
      </c>
      <c r="B9" s="6" t="s">
        <v>397</v>
      </c>
      <c r="C9" s="50" t="n">
        <v>1931</v>
      </c>
      <c r="D9" s="51" t="n">
        <f aca="false">C9/$C$56</f>
        <v>0.823805460750853</v>
      </c>
      <c r="E9" s="6" t="s">
        <v>98</v>
      </c>
      <c r="F9" s="6" t="s">
        <v>68</v>
      </c>
      <c r="G9" s="6" t="s">
        <v>68</v>
      </c>
      <c r="H9" s="6"/>
      <c r="I9" s="6" t="s">
        <v>554</v>
      </c>
      <c r="J9" s="10" t="s">
        <v>566</v>
      </c>
      <c r="K9" s="6" t="s">
        <v>567</v>
      </c>
    </row>
    <row r="10" customFormat="false" ht="15" hidden="false" customHeight="false" outlineLevel="0" collapsed="false">
      <c r="A10" s="6" t="s">
        <v>568</v>
      </c>
      <c r="B10" s="6" t="s">
        <v>569</v>
      </c>
      <c r="C10" s="50" t="n">
        <v>3249</v>
      </c>
      <c r="D10" s="51" t="n">
        <f aca="false">C10/$C$56</f>
        <v>1.38609215017065</v>
      </c>
      <c r="E10" s="6" t="s">
        <v>68</v>
      </c>
      <c r="F10" s="6" t="s">
        <v>68</v>
      </c>
      <c r="G10" s="6" t="s">
        <v>68</v>
      </c>
      <c r="H10" s="6"/>
      <c r="I10" s="6" t="s">
        <v>554</v>
      </c>
      <c r="J10" s="10" t="s">
        <v>562</v>
      </c>
      <c r="K10" s="6" t="s">
        <v>556</v>
      </c>
    </row>
    <row r="11" customFormat="false" ht="15" hidden="false" customHeight="false" outlineLevel="0" collapsed="false">
      <c r="A11" s="6" t="s">
        <v>570</v>
      </c>
      <c r="B11" s="6" t="s">
        <v>571</v>
      </c>
      <c r="C11" s="50" t="n">
        <v>2789</v>
      </c>
      <c r="D11" s="51" t="n">
        <f aca="false">C11/$C$56</f>
        <v>1.18984641638225</v>
      </c>
      <c r="E11" s="6" t="s">
        <v>68</v>
      </c>
      <c r="F11" s="6" t="s">
        <v>68</v>
      </c>
      <c r="G11" s="6" t="s">
        <v>68</v>
      </c>
      <c r="H11" s="6"/>
      <c r="I11" s="6" t="s">
        <v>572</v>
      </c>
      <c r="J11" s="10" t="s">
        <v>573</v>
      </c>
      <c r="K11" s="6" t="s">
        <v>556</v>
      </c>
    </row>
    <row r="12" customFormat="false" ht="15" hidden="false" customHeight="false" outlineLevel="0" collapsed="false">
      <c r="A12" s="6" t="s">
        <v>574</v>
      </c>
      <c r="B12" s="6" t="s">
        <v>575</v>
      </c>
      <c r="C12" s="50" t="n">
        <v>2643</v>
      </c>
      <c r="D12" s="51" t="n">
        <f aca="false">C12/$C$56</f>
        <v>1.12755972696246</v>
      </c>
      <c r="E12" s="6" t="s">
        <v>68</v>
      </c>
      <c r="F12" s="6" t="s">
        <v>68</v>
      </c>
      <c r="G12" s="6" t="s">
        <v>68</v>
      </c>
      <c r="H12" s="6"/>
      <c r="I12" s="6" t="s">
        <v>554</v>
      </c>
      <c r="J12" s="10" t="s">
        <v>576</v>
      </c>
      <c r="K12" s="6" t="s">
        <v>556</v>
      </c>
    </row>
    <row r="13" customFormat="false" ht="35.05" hidden="false" customHeight="false" outlineLevel="0" collapsed="false">
      <c r="A13" s="6" t="s">
        <v>577</v>
      </c>
      <c r="B13" s="6" t="s">
        <v>128</v>
      </c>
      <c r="C13" s="50" t="n">
        <v>3295</v>
      </c>
      <c r="D13" s="51" t="n">
        <f aca="false">C13/$C$56</f>
        <v>1.40571672354949</v>
      </c>
      <c r="E13" s="6" t="s">
        <v>68</v>
      </c>
      <c r="F13" s="6" t="s">
        <v>68</v>
      </c>
      <c r="G13" s="6" t="s">
        <v>98</v>
      </c>
      <c r="H13" s="6" t="s">
        <v>578</v>
      </c>
      <c r="I13" s="6" t="s">
        <v>554</v>
      </c>
      <c r="J13" s="10" t="s">
        <v>579</v>
      </c>
      <c r="K13" s="6" t="s">
        <v>580</v>
      </c>
    </row>
    <row r="14" customFormat="false" ht="15" hidden="false" customHeight="false" outlineLevel="0" collapsed="false">
      <c r="A14" s="6" t="s">
        <v>581</v>
      </c>
      <c r="B14" s="6" t="s">
        <v>582</v>
      </c>
      <c r="C14" s="50" t="n">
        <v>3136</v>
      </c>
      <c r="D14" s="51" t="n">
        <f aca="false">C14/$C$56</f>
        <v>1.33788395904437</v>
      </c>
      <c r="E14" s="6" t="s">
        <v>68</v>
      </c>
      <c r="F14" s="6" t="s">
        <v>68</v>
      </c>
      <c r="G14" s="6" t="s">
        <v>68</v>
      </c>
      <c r="H14" s="6"/>
      <c r="I14" s="6" t="s">
        <v>554</v>
      </c>
      <c r="J14" s="10" t="s">
        <v>555</v>
      </c>
      <c r="K14" s="6" t="s">
        <v>556</v>
      </c>
    </row>
    <row r="15" customFormat="false" ht="15" hidden="false" customHeight="false" outlineLevel="0" collapsed="false">
      <c r="A15" s="6" t="s">
        <v>583</v>
      </c>
      <c r="B15" s="6" t="s">
        <v>584</v>
      </c>
      <c r="C15" s="50" t="n">
        <v>1975</v>
      </c>
      <c r="D15" s="51" t="n">
        <f aca="false">C15/$C$56</f>
        <v>0.842576791808874</v>
      </c>
      <c r="E15" s="6" t="s">
        <v>98</v>
      </c>
      <c r="F15" s="6" t="s">
        <v>68</v>
      </c>
      <c r="G15" s="6" t="s">
        <v>98</v>
      </c>
      <c r="H15" s="6" t="s">
        <v>585</v>
      </c>
      <c r="I15" s="6" t="s">
        <v>586</v>
      </c>
      <c r="J15" s="10" t="s">
        <v>587</v>
      </c>
      <c r="K15" s="6" t="s">
        <v>580</v>
      </c>
    </row>
    <row r="16" customFormat="false" ht="15" hidden="false" customHeight="false" outlineLevel="0" collapsed="false">
      <c r="A16" s="6" t="s">
        <v>588</v>
      </c>
      <c r="B16" s="6" t="s">
        <v>589</v>
      </c>
      <c r="C16" s="50" t="n">
        <v>1998</v>
      </c>
      <c r="D16" s="51" t="n">
        <f aca="false">C16/$C$56</f>
        <v>0.852389078498294</v>
      </c>
      <c r="E16" s="6" t="s">
        <v>68</v>
      </c>
      <c r="F16" s="6" t="s">
        <v>68</v>
      </c>
      <c r="G16" s="6" t="s">
        <v>68</v>
      </c>
      <c r="H16" s="6"/>
      <c r="I16" s="6" t="s">
        <v>554</v>
      </c>
      <c r="J16" s="10" t="s">
        <v>562</v>
      </c>
      <c r="K16" s="6" t="s">
        <v>556</v>
      </c>
    </row>
    <row r="17" customFormat="false" ht="23.85" hidden="false" customHeight="false" outlineLevel="0" collapsed="false">
      <c r="A17" s="6" t="s">
        <v>590</v>
      </c>
      <c r="B17" s="6" t="s">
        <v>591</v>
      </c>
      <c r="C17" s="50" t="n">
        <v>2461</v>
      </c>
      <c r="D17" s="51" t="n">
        <f aca="false">C17/$C$56</f>
        <v>1.04991467576792</v>
      </c>
      <c r="E17" s="6" t="s">
        <v>68</v>
      </c>
      <c r="F17" s="6" t="s">
        <v>68</v>
      </c>
      <c r="G17" s="6" t="s">
        <v>68</v>
      </c>
      <c r="H17" s="6"/>
      <c r="I17" s="6" t="s">
        <v>572</v>
      </c>
      <c r="J17" s="10" t="s">
        <v>592</v>
      </c>
      <c r="K17" s="6" t="s">
        <v>593</v>
      </c>
    </row>
    <row r="18" customFormat="false" ht="15" hidden="false" customHeight="false" outlineLevel="0" collapsed="false">
      <c r="A18" s="6" t="s">
        <v>594</v>
      </c>
      <c r="B18" s="6" t="s">
        <v>595</v>
      </c>
      <c r="C18" s="50" t="n">
        <v>1950</v>
      </c>
      <c r="D18" s="51" t="n">
        <f aca="false">C18/$C$56</f>
        <v>0.831911262798635</v>
      </c>
      <c r="E18" s="6" t="s">
        <v>68</v>
      </c>
      <c r="F18" s="6" t="s">
        <v>68</v>
      </c>
      <c r="G18" s="6" t="s">
        <v>68</v>
      </c>
      <c r="H18" s="6"/>
      <c r="I18" s="6" t="s">
        <v>554</v>
      </c>
      <c r="J18" s="10" t="s">
        <v>555</v>
      </c>
      <c r="K18" s="6" t="s">
        <v>556</v>
      </c>
    </row>
    <row r="19" customFormat="false" ht="15" hidden="false" customHeight="false" outlineLevel="0" collapsed="false">
      <c r="A19" s="6" t="s">
        <v>596</v>
      </c>
      <c r="B19" s="6" t="s">
        <v>597</v>
      </c>
      <c r="C19" s="50" t="n">
        <v>2228</v>
      </c>
      <c r="D19" s="51" t="n">
        <f aca="false">C19/$C$56</f>
        <v>0.950511945392492</v>
      </c>
      <c r="E19" s="6" t="s">
        <v>68</v>
      </c>
      <c r="F19" s="6" t="s">
        <v>68</v>
      </c>
      <c r="G19" s="6" t="s">
        <v>68</v>
      </c>
      <c r="H19" s="6"/>
      <c r="I19" s="6" t="s">
        <v>554</v>
      </c>
      <c r="J19" s="10" t="s">
        <v>598</v>
      </c>
      <c r="K19" s="6" t="s">
        <v>556</v>
      </c>
    </row>
    <row r="20" customFormat="false" ht="23.85" hidden="false" customHeight="false" outlineLevel="0" collapsed="false">
      <c r="A20" s="6" t="s">
        <v>599</v>
      </c>
      <c r="B20" s="6" t="s">
        <v>600</v>
      </c>
      <c r="C20" s="50" t="n">
        <v>2511</v>
      </c>
      <c r="D20" s="51" t="n">
        <f aca="false">C20/$C$56</f>
        <v>1.0712457337884</v>
      </c>
      <c r="E20" s="6" t="s">
        <v>68</v>
      </c>
      <c r="F20" s="6" t="s">
        <v>68</v>
      </c>
      <c r="G20" s="6" t="s">
        <v>98</v>
      </c>
      <c r="H20" s="6" t="s">
        <v>601</v>
      </c>
      <c r="I20" s="6" t="s">
        <v>572</v>
      </c>
      <c r="J20" s="10" t="s">
        <v>602</v>
      </c>
      <c r="K20" s="6" t="s">
        <v>556</v>
      </c>
    </row>
    <row r="21" customFormat="false" ht="15" hidden="false" customHeight="false" outlineLevel="0" collapsed="false">
      <c r="A21" s="6" t="s">
        <v>603</v>
      </c>
      <c r="B21" s="6" t="s">
        <v>604</v>
      </c>
      <c r="C21" s="50" t="n">
        <v>3259</v>
      </c>
      <c r="D21" s="51" t="n">
        <f aca="false">C21/$C$56</f>
        <v>1.39035836177474</v>
      </c>
      <c r="E21" s="6" t="s">
        <v>68</v>
      </c>
      <c r="F21" s="6" t="s">
        <v>68</v>
      </c>
      <c r="G21" s="6" t="s">
        <v>98</v>
      </c>
      <c r="H21" s="6" t="s">
        <v>605</v>
      </c>
      <c r="I21" s="6" t="s">
        <v>554</v>
      </c>
      <c r="J21" s="10" t="s">
        <v>606</v>
      </c>
      <c r="K21" s="6" t="s">
        <v>556</v>
      </c>
    </row>
    <row r="22" customFormat="false" ht="15" hidden="false" customHeight="false" outlineLevel="0" collapsed="false">
      <c r="A22" s="6" t="s">
        <v>607</v>
      </c>
      <c r="B22" s="6" t="s">
        <v>608</v>
      </c>
      <c r="C22" s="50" t="n">
        <v>4296</v>
      </c>
      <c r="D22" s="51" t="n">
        <f aca="false">C22/$C$56</f>
        <v>1.83276450511945</v>
      </c>
      <c r="E22" s="6" t="s">
        <v>68</v>
      </c>
      <c r="F22" s="6" t="s">
        <v>68</v>
      </c>
      <c r="G22" s="6" t="s">
        <v>68</v>
      </c>
      <c r="H22" s="6"/>
      <c r="I22" s="6" t="s">
        <v>554</v>
      </c>
      <c r="J22" s="10" t="s">
        <v>609</v>
      </c>
      <c r="K22" s="6" t="s">
        <v>556</v>
      </c>
    </row>
    <row r="23" customFormat="false" ht="23.85" hidden="false" customHeight="false" outlineLevel="0" collapsed="false">
      <c r="A23" s="6" t="s">
        <v>610</v>
      </c>
      <c r="B23" s="6" t="s">
        <v>611</v>
      </c>
      <c r="C23" s="50" t="n">
        <v>1701</v>
      </c>
      <c r="D23" s="51" t="n">
        <f aca="false">C23/$C$56</f>
        <v>0.725682593856655</v>
      </c>
      <c r="E23" s="6" t="s">
        <v>68</v>
      </c>
      <c r="F23" s="6" t="s">
        <v>68</v>
      </c>
      <c r="G23" s="6" t="s">
        <v>68</v>
      </c>
      <c r="H23" s="6"/>
      <c r="I23" s="6" t="s">
        <v>572</v>
      </c>
      <c r="J23" s="10" t="s">
        <v>612</v>
      </c>
      <c r="K23" s="6" t="s">
        <v>556</v>
      </c>
    </row>
    <row r="24" customFormat="false" ht="15" hidden="false" customHeight="false" outlineLevel="0" collapsed="false">
      <c r="A24" s="6" t="s">
        <v>613</v>
      </c>
      <c r="B24" s="6" t="s">
        <v>614</v>
      </c>
      <c r="C24" s="50" t="n">
        <v>3052</v>
      </c>
      <c r="D24" s="51" t="n">
        <f aca="false">C24/$C$56</f>
        <v>1.30204778156997</v>
      </c>
      <c r="E24" s="6" t="s">
        <v>68</v>
      </c>
      <c r="F24" s="6" t="s">
        <v>68</v>
      </c>
      <c r="G24" s="6" t="s">
        <v>68</v>
      </c>
      <c r="H24" s="6"/>
      <c r="I24" s="6" t="s">
        <v>554</v>
      </c>
      <c r="J24" s="10" t="s">
        <v>615</v>
      </c>
      <c r="K24" s="6" t="s">
        <v>616</v>
      </c>
    </row>
    <row r="25" customFormat="false" ht="23.85" hidden="false" customHeight="false" outlineLevel="0" collapsed="false">
      <c r="A25" s="6" t="s">
        <v>617</v>
      </c>
      <c r="B25" s="6" t="s">
        <v>618</v>
      </c>
      <c r="C25" s="50" t="n">
        <v>1851</v>
      </c>
      <c r="D25" s="51" t="n">
        <f aca="false">C25/$C$56</f>
        <v>0.789675767918089</v>
      </c>
      <c r="E25" s="6" t="s">
        <v>98</v>
      </c>
      <c r="F25" s="6" t="s">
        <v>68</v>
      </c>
      <c r="G25" s="6" t="s">
        <v>98</v>
      </c>
      <c r="H25" s="6" t="s">
        <v>619</v>
      </c>
      <c r="I25" s="6" t="s">
        <v>572</v>
      </c>
      <c r="J25" s="10" t="s">
        <v>620</v>
      </c>
      <c r="K25" s="6" t="s">
        <v>580</v>
      </c>
    </row>
    <row r="26" customFormat="false" ht="23.85" hidden="false" customHeight="false" outlineLevel="0" collapsed="false">
      <c r="A26" s="6" t="s">
        <v>621</v>
      </c>
      <c r="B26" s="6" t="s">
        <v>622</v>
      </c>
      <c r="C26" s="50" t="n">
        <v>2944</v>
      </c>
      <c r="D26" s="51" t="n">
        <f aca="false">C26/$C$56</f>
        <v>1.25597269624573</v>
      </c>
      <c r="E26" s="6" t="s">
        <v>98</v>
      </c>
      <c r="F26" s="6" t="s">
        <v>68</v>
      </c>
      <c r="G26" s="6" t="s">
        <v>98</v>
      </c>
      <c r="H26" s="6" t="s">
        <v>623</v>
      </c>
      <c r="I26" s="6" t="s">
        <v>554</v>
      </c>
      <c r="J26" s="10" t="s">
        <v>624</v>
      </c>
      <c r="K26" s="6" t="s">
        <v>580</v>
      </c>
    </row>
    <row r="27" customFormat="false" ht="15" hidden="false" customHeight="false" outlineLevel="0" collapsed="false">
      <c r="A27" s="6" t="s">
        <v>625</v>
      </c>
      <c r="B27" s="6" t="s">
        <v>626</v>
      </c>
      <c r="C27" s="50" t="n">
        <v>2508</v>
      </c>
      <c r="D27" s="51" t="n">
        <f aca="false">C27/$C$56</f>
        <v>1.06996587030717</v>
      </c>
      <c r="E27" s="6" t="s">
        <v>68</v>
      </c>
      <c r="F27" s="6" t="s">
        <v>68</v>
      </c>
      <c r="G27" s="6" t="s">
        <v>98</v>
      </c>
      <c r="H27" s="6" t="s">
        <v>627</v>
      </c>
      <c r="I27" s="6" t="s">
        <v>554</v>
      </c>
      <c r="J27" s="10" t="s">
        <v>615</v>
      </c>
      <c r="K27" s="6" t="s">
        <v>616</v>
      </c>
    </row>
    <row r="28" customFormat="false" ht="15" hidden="false" customHeight="false" outlineLevel="0" collapsed="false">
      <c r="A28" s="6" t="s">
        <v>628</v>
      </c>
      <c r="B28" s="6" t="s">
        <v>629</v>
      </c>
      <c r="C28" s="50" t="n">
        <v>2499</v>
      </c>
      <c r="D28" s="51" t="n">
        <f aca="false">C28/$C$56</f>
        <v>1.06612627986348</v>
      </c>
      <c r="E28" s="6" t="s">
        <v>68</v>
      </c>
      <c r="F28" s="6" t="s">
        <v>68</v>
      </c>
      <c r="G28" s="6" t="s">
        <v>68</v>
      </c>
      <c r="H28" s="6"/>
      <c r="I28" s="6" t="s">
        <v>554</v>
      </c>
      <c r="J28" s="10" t="s">
        <v>615</v>
      </c>
      <c r="K28" s="6" t="s">
        <v>616</v>
      </c>
    </row>
    <row r="29" customFormat="false" ht="15" hidden="false" customHeight="false" outlineLevel="0" collapsed="false">
      <c r="A29" s="6" t="s">
        <v>630</v>
      </c>
      <c r="B29" s="6" t="s">
        <v>631</v>
      </c>
      <c r="C29" s="50" t="n">
        <v>2622</v>
      </c>
      <c r="D29" s="51" t="n">
        <f aca="false">C29/$C$56</f>
        <v>1.11860068259386</v>
      </c>
      <c r="E29" s="6" t="s">
        <v>68</v>
      </c>
      <c r="F29" s="6" t="s">
        <v>68</v>
      </c>
      <c r="G29" s="6" t="s">
        <v>68</v>
      </c>
      <c r="H29" s="6"/>
      <c r="I29" s="6" t="s">
        <v>554</v>
      </c>
      <c r="J29" s="10" t="s">
        <v>615</v>
      </c>
      <c r="K29" s="6" t="s">
        <v>616</v>
      </c>
    </row>
    <row r="30" customFormat="false" ht="15" hidden="false" customHeight="false" outlineLevel="0" collapsed="false">
      <c r="A30" s="6" t="s">
        <v>632</v>
      </c>
      <c r="B30" s="6" t="s">
        <v>633</v>
      </c>
      <c r="C30" s="50" t="n">
        <v>2778</v>
      </c>
      <c r="D30" s="51" t="n">
        <f aca="false">C30/$C$56</f>
        <v>1.18515358361775</v>
      </c>
      <c r="E30" s="6" t="s">
        <v>68</v>
      </c>
      <c r="F30" s="6" t="s">
        <v>68</v>
      </c>
      <c r="G30" s="6" t="s">
        <v>68</v>
      </c>
      <c r="H30" s="6"/>
      <c r="I30" s="6" t="s">
        <v>554</v>
      </c>
      <c r="J30" s="10" t="s">
        <v>615</v>
      </c>
      <c r="K30" s="6" t="s">
        <v>616</v>
      </c>
    </row>
    <row r="31" customFormat="false" ht="15" hidden="false" customHeight="false" outlineLevel="0" collapsed="false">
      <c r="A31" s="6" t="s">
        <v>634</v>
      </c>
      <c r="B31" s="6" t="s">
        <v>635</v>
      </c>
      <c r="C31" s="50" t="n">
        <v>1955</v>
      </c>
      <c r="D31" s="51" t="n">
        <f aca="false">C31/$C$56</f>
        <v>0.834044368600683</v>
      </c>
      <c r="E31" s="6" t="s">
        <v>68</v>
      </c>
      <c r="F31" s="6" t="s">
        <v>68</v>
      </c>
      <c r="G31" s="6" t="s">
        <v>68</v>
      </c>
      <c r="H31" s="6"/>
      <c r="I31" s="6" t="s">
        <v>554</v>
      </c>
      <c r="J31" s="10" t="s">
        <v>615</v>
      </c>
      <c r="K31" s="6" t="s">
        <v>616</v>
      </c>
    </row>
    <row r="32" customFormat="false" ht="15" hidden="false" customHeight="false" outlineLevel="0" collapsed="false">
      <c r="A32" s="6" t="s">
        <v>636</v>
      </c>
      <c r="B32" s="6" t="s">
        <v>637</v>
      </c>
      <c r="C32" s="50" t="n">
        <v>3428</v>
      </c>
      <c r="D32" s="51" t="n">
        <f aca="false">C32/$C$56</f>
        <v>1.46245733788396</v>
      </c>
      <c r="E32" s="6" t="s">
        <v>68</v>
      </c>
      <c r="F32" s="6" t="s">
        <v>68</v>
      </c>
      <c r="G32" s="6" t="s">
        <v>68</v>
      </c>
      <c r="H32" s="6"/>
      <c r="I32" s="6" t="s">
        <v>554</v>
      </c>
      <c r="J32" s="10" t="s">
        <v>638</v>
      </c>
      <c r="K32" s="6" t="s">
        <v>556</v>
      </c>
    </row>
    <row r="33" customFormat="false" ht="23.85" hidden="false" customHeight="false" outlineLevel="0" collapsed="false">
      <c r="A33" s="6" t="s">
        <v>639</v>
      </c>
      <c r="B33" s="6" t="s">
        <v>640</v>
      </c>
      <c r="C33" s="50" t="n">
        <v>1568</v>
      </c>
      <c r="D33" s="51" t="n">
        <f aca="false">C33/$C$56</f>
        <v>0.668941979522184</v>
      </c>
      <c r="E33" s="6" t="s">
        <v>68</v>
      </c>
      <c r="F33" s="6" t="s">
        <v>68</v>
      </c>
      <c r="G33" s="6" t="s">
        <v>68</v>
      </c>
      <c r="H33" s="6"/>
      <c r="I33" s="6" t="s">
        <v>554</v>
      </c>
      <c r="J33" s="10" t="s">
        <v>641</v>
      </c>
      <c r="K33" s="6" t="s">
        <v>556</v>
      </c>
    </row>
    <row r="34" customFormat="false" ht="15" hidden="false" customHeight="false" outlineLevel="0" collapsed="false">
      <c r="A34" s="6" t="s">
        <v>642</v>
      </c>
      <c r="B34" s="6" t="s">
        <v>643</v>
      </c>
      <c r="C34" s="50" t="n">
        <v>3664</v>
      </c>
      <c r="D34" s="51" t="n">
        <f aca="false">C34/$C$56</f>
        <v>1.56313993174061</v>
      </c>
      <c r="E34" s="6" t="s">
        <v>68</v>
      </c>
      <c r="F34" s="6" t="s">
        <v>68</v>
      </c>
      <c r="G34" s="6" t="s">
        <v>98</v>
      </c>
      <c r="H34" s="6" t="s">
        <v>644</v>
      </c>
      <c r="I34" s="6" t="s">
        <v>554</v>
      </c>
      <c r="J34" s="10" t="s">
        <v>645</v>
      </c>
      <c r="K34" s="6" t="s">
        <v>556</v>
      </c>
    </row>
    <row r="35" customFormat="false" ht="15" hidden="false" customHeight="false" outlineLevel="0" collapsed="false">
      <c r="A35" s="6" t="s">
        <v>646</v>
      </c>
      <c r="B35" s="6" t="s">
        <v>647</v>
      </c>
      <c r="C35" s="50" t="n">
        <v>2132</v>
      </c>
      <c r="D35" s="51" t="n">
        <f aca="false">C35/$C$56</f>
        <v>0.909556313993174</v>
      </c>
      <c r="E35" s="6" t="s">
        <v>68</v>
      </c>
      <c r="F35" s="6" t="s">
        <v>68</v>
      </c>
      <c r="G35" s="6" t="s">
        <v>68</v>
      </c>
      <c r="H35" s="6"/>
      <c r="I35" s="6" t="s">
        <v>554</v>
      </c>
      <c r="J35" s="10" t="s">
        <v>615</v>
      </c>
      <c r="K35" s="6" t="s">
        <v>616</v>
      </c>
    </row>
    <row r="36" customFormat="false" ht="23.85" hidden="false" customHeight="false" outlineLevel="0" collapsed="false">
      <c r="A36" s="6" t="s">
        <v>648</v>
      </c>
      <c r="B36" s="6" t="s">
        <v>649</v>
      </c>
      <c r="C36" s="50" t="n">
        <v>2674</v>
      </c>
      <c r="D36" s="51" t="n">
        <f aca="false">C36/$C$56</f>
        <v>1.14078498293515</v>
      </c>
      <c r="E36" s="6" t="s">
        <v>68</v>
      </c>
      <c r="F36" s="6" t="s">
        <v>68</v>
      </c>
      <c r="G36" s="6" t="s">
        <v>98</v>
      </c>
      <c r="H36" s="6" t="s">
        <v>650</v>
      </c>
      <c r="I36" s="6" t="s">
        <v>572</v>
      </c>
      <c r="J36" s="10" t="s">
        <v>651</v>
      </c>
      <c r="K36" s="6" t="s">
        <v>580</v>
      </c>
    </row>
    <row r="37" customFormat="false" ht="23.85" hidden="false" customHeight="false" outlineLevel="0" collapsed="false">
      <c r="A37" s="6" t="s">
        <v>652</v>
      </c>
      <c r="B37" s="6" t="s">
        <v>653</v>
      </c>
      <c r="C37" s="50" t="n">
        <v>1789</v>
      </c>
      <c r="D37" s="51" t="n">
        <f aca="false">C37/$C$56</f>
        <v>0.763225255972696</v>
      </c>
      <c r="E37" s="6" t="s">
        <v>68</v>
      </c>
      <c r="F37" s="6" t="s">
        <v>68</v>
      </c>
      <c r="G37" s="6" t="s">
        <v>68</v>
      </c>
      <c r="H37" s="6"/>
      <c r="I37" s="6" t="s">
        <v>572</v>
      </c>
      <c r="J37" s="10" t="s">
        <v>654</v>
      </c>
      <c r="K37" s="6" t="s">
        <v>580</v>
      </c>
    </row>
    <row r="38" customFormat="false" ht="15" hidden="false" customHeight="false" outlineLevel="0" collapsed="false">
      <c r="A38" s="6" t="s">
        <v>655</v>
      </c>
      <c r="B38" s="6" t="s">
        <v>656</v>
      </c>
      <c r="C38" s="50" t="n">
        <v>2423</v>
      </c>
      <c r="D38" s="51" t="n">
        <f aca="false">C38/$C$56</f>
        <v>1.03370307167236</v>
      </c>
      <c r="E38" s="6" t="s">
        <v>68</v>
      </c>
      <c r="F38" s="6" t="s">
        <v>68</v>
      </c>
      <c r="G38" s="6" t="s">
        <v>98</v>
      </c>
      <c r="H38" s="6" t="s">
        <v>657</v>
      </c>
      <c r="I38" s="6" t="s">
        <v>554</v>
      </c>
      <c r="J38" s="10" t="s">
        <v>615</v>
      </c>
      <c r="K38" s="6" t="s">
        <v>616</v>
      </c>
    </row>
    <row r="39" customFormat="false" ht="15" hidden="false" customHeight="false" outlineLevel="0" collapsed="false">
      <c r="A39" s="6" t="s">
        <v>658</v>
      </c>
      <c r="B39" s="6" t="s">
        <v>659</v>
      </c>
      <c r="C39" s="50" t="n">
        <v>1803</v>
      </c>
      <c r="D39" s="51" t="n">
        <f aca="false">C39/$C$56</f>
        <v>0.76919795221843</v>
      </c>
      <c r="E39" s="6" t="s">
        <v>68</v>
      </c>
      <c r="F39" s="6" t="s">
        <v>68</v>
      </c>
      <c r="G39" s="6" t="s">
        <v>68</v>
      </c>
      <c r="H39" s="6"/>
      <c r="I39" s="6" t="s">
        <v>554</v>
      </c>
      <c r="J39" s="10" t="s">
        <v>555</v>
      </c>
      <c r="K39" s="6" t="s">
        <v>580</v>
      </c>
    </row>
    <row r="40" customFormat="false" ht="15" hidden="false" customHeight="false" outlineLevel="0" collapsed="false">
      <c r="A40" s="6" t="s">
        <v>660</v>
      </c>
      <c r="B40" s="6" t="s">
        <v>661</v>
      </c>
      <c r="C40" s="50" t="n">
        <v>2192</v>
      </c>
      <c r="D40" s="51" t="n">
        <f aca="false">C40/$C$56</f>
        <v>0.935153583617748</v>
      </c>
      <c r="E40" s="6" t="s">
        <v>68</v>
      </c>
      <c r="F40" s="6" t="s">
        <v>68</v>
      </c>
      <c r="G40" s="6" t="s">
        <v>68</v>
      </c>
      <c r="H40" s="6"/>
      <c r="I40" s="6" t="s">
        <v>554</v>
      </c>
      <c r="J40" s="10" t="s">
        <v>555</v>
      </c>
      <c r="K40" s="6" t="s">
        <v>556</v>
      </c>
    </row>
    <row r="41" customFormat="false" ht="15" hidden="false" customHeight="false" outlineLevel="0" collapsed="false">
      <c r="A41" s="6" t="s">
        <v>662</v>
      </c>
      <c r="B41" s="6" t="s">
        <v>663</v>
      </c>
      <c r="C41" s="50" t="n">
        <v>2187</v>
      </c>
      <c r="D41" s="51" t="n">
        <f aca="false">C41/$C$56</f>
        <v>0.9330204778157</v>
      </c>
      <c r="E41" s="6" t="s">
        <v>68</v>
      </c>
      <c r="F41" s="6" t="s">
        <v>98</v>
      </c>
      <c r="G41" s="6" t="s">
        <v>68</v>
      </c>
      <c r="H41" s="6"/>
      <c r="I41" s="6" t="s">
        <v>554</v>
      </c>
      <c r="J41" s="10" t="s">
        <v>615</v>
      </c>
      <c r="K41" s="6" t="s">
        <v>616</v>
      </c>
    </row>
    <row r="42" customFormat="false" ht="15" hidden="false" customHeight="false" outlineLevel="0" collapsed="false">
      <c r="A42" s="6" t="s">
        <v>664</v>
      </c>
      <c r="B42" s="6" t="s">
        <v>665</v>
      </c>
      <c r="C42" s="50" t="n">
        <v>2239</v>
      </c>
      <c r="D42" s="51" t="n">
        <f aca="false">C42/$C$56</f>
        <v>0.955204778156997</v>
      </c>
      <c r="E42" s="6" t="s">
        <v>68</v>
      </c>
      <c r="F42" s="6" t="s">
        <v>68</v>
      </c>
      <c r="G42" s="6" t="s">
        <v>98</v>
      </c>
      <c r="H42" s="6" t="s">
        <v>666</v>
      </c>
      <c r="I42" s="6" t="s">
        <v>586</v>
      </c>
      <c r="J42" s="10" t="s">
        <v>667</v>
      </c>
      <c r="K42" s="6" t="s">
        <v>580</v>
      </c>
    </row>
    <row r="43" customFormat="false" ht="15" hidden="false" customHeight="false" outlineLevel="0" collapsed="false">
      <c r="A43" s="6" t="s">
        <v>668</v>
      </c>
      <c r="B43" s="6" t="s">
        <v>669</v>
      </c>
      <c r="C43" s="50" t="n">
        <v>3121</v>
      </c>
      <c r="D43" s="51" t="n">
        <f aca="false">C43/$C$56</f>
        <v>1.33148464163823</v>
      </c>
      <c r="E43" s="6" t="s">
        <v>68</v>
      </c>
      <c r="F43" s="6" t="s">
        <v>68</v>
      </c>
      <c r="G43" s="6" t="s">
        <v>68</v>
      </c>
      <c r="H43" s="6"/>
      <c r="I43" s="6" t="s">
        <v>554</v>
      </c>
      <c r="J43" s="10" t="s">
        <v>615</v>
      </c>
      <c r="K43" s="6" t="s">
        <v>616</v>
      </c>
    </row>
    <row r="44" customFormat="false" ht="15" hidden="false" customHeight="false" outlineLevel="0" collapsed="false">
      <c r="A44" s="6" t="s">
        <v>670</v>
      </c>
      <c r="B44" s="6" t="s">
        <v>671</v>
      </c>
      <c r="C44" s="50" t="n">
        <v>2288</v>
      </c>
      <c r="D44" s="51" t="n">
        <f aca="false">C44/$C$56</f>
        <v>0.976109215017065</v>
      </c>
      <c r="E44" s="6" t="s">
        <v>68</v>
      </c>
      <c r="F44" s="6" t="s">
        <v>68</v>
      </c>
      <c r="G44" s="6" t="s">
        <v>68</v>
      </c>
      <c r="H44" s="6"/>
      <c r="I44" s="6" t="s">
        <v>554</v>
      </c>
      <c r="J44" s="10" t="s">
        <v>615</v>
      </c>
      <c r="K44" s="6" t="s">
        <v>616</v>
      </c>
    </row>
    <row r="45" customFormat="false" ht="15" hidden="false" customHeight="false" outlineLevel="0" collapsed="false">
      <c r="A45" s="6" t="s">
        <v>672</v>
      </c>
      <c r="B45" s="6" t="s">
        <v>673</v>
      </c>
      <c r="C45" s="50" t="n">
        <v>2212</v>
      </c>
      <c r="D45" s="51" t="n">
        <f aca="false">C45/$C$56</f>
        <v>0.943686006825939</v>
      </c>
      <c r="E45" s="6" t="s">
        <v>68</v>
      </c>
      <c r="F45" s="6" t="s">
        <v>68</v>
      </c>
      <c r="G45" s="6" t="s">
        <v>68</v>
      </c>
      <c r="H45" s="6"/>
      <c r="I45" s="6" t="s">
        <v>554</v>
      </c>
      <c r="J45" s="10" t="s">
        <v>615</v>
      </c>
      <c r="K45" s="6" t="s">
        <v>616</v>
      </c>
    </row>
    <row r="46" customFormat="false" ht="15" hidden="false" customHeight="false" outlineLevel="0" collapsed="false">
      <c r="A46" s="6" t="s">
        <v>674</v>
      </c>
      <c r="B46" s="6" t="s">
        <v>675</v>
      </c>
      <c r="C46" s="50" t="n">
        <v>2130</v>
      </c>
      <c r="D46" s="51" t="n">
        <f aca="false">C46/$C$56</f>
        <v>0.908703071672355</v>
      </c>
      <c r="E46" s="6" t="s">
        <v>68</v>
      </c>
      <c r="F46" s="6" t="s">
        <v>68</v>
      </c>
      <c r="G46" s="6" t="s">
        <v>68</v>
      </c>
      <c r="H46" s="6"/>
      <c r="I46" s="6" t="s">
        <v>554</v>
      </c>
      <c r="J46" s="10" t="s">
        <v>555</v>
      </c>
      <c r="K46" s="6" t="s">
        <v>556</v>
      </c>
    </row>
    <row r="47" customFormat="false" ht="15" hidden="false" customHeight="false" outlineLevel="0" collapsed="false">
      <c r="A47" s="6" t="s">
        <v>676</v>
      </c>
      <c r="B47" s="6" t="s">
        <v>56</v>
      </c>
      <c r="C47" s="50" t="n">
        <v>3608</v>
      </c>
      <c r="D47" s="51" t="n">
        <f aca="false">C47/$C$56</f>
        <v>1.53924914675768</v>
      </c>
      <c r="E47" s="6" t="s">
        <v>68</v>
      </c>
      <c r="F47" s="6" t="s">
        <v>68</v>
      </c>
      <c r="G47" s="6" t="s">
        <v>68</v>
      </c>
      <c r="H47" s="6"/>
      <c r="I47" s="6" t="s">
        <v>586</v>
      </c>
      <c r="J47" s="10" t="s">
        <v>677</v>
      </c>
      <c r="K47" s="6" t="s">
        <v>580</v>
      </c>
    </row>
    <row r="48" customFormat="false" ht="15" hidden="false" customHeight="false" outlineLevel="0" collapsed="false">
      <c r="A48" s="6" t="s">
        <v>678</v>
      </c>
      <c r="B48" s="6" t="s">
        <v>679</v>
      </c>
      <c r="C48" s="50" t="n">
        <v>2321</v>
      </c>
      <c r="D48" s="51" t="n">
        <f aca="false">C48/$C$56</f>
        <v>0.99018771331058</v>
      </c>
      <c r="E48" s="6" t="s">
        <v>68</v>
      </c>
      <c r="F48" s="6" t="s">
        <v>98</v>
      </c>
      <c r="G48" s="6" t="s">
        <v>98</v>
      </c>
      <c r="H48" s="6" t="s">
        <v>680</v>
      </c>
      <c r="I48" s="6" t="s">
        <v>554</v>
      </c>
      <c r="J48" s="10" t="s">
        <v>681</v>
      </c>
      <c r="K48" s="6" t="s">
        <v>556</v>
      </c>
    </row>
    <row r="49" customFormat="false" ht="15" hidden="false" customHeight="false" outlineLevel="0" collapsed="false">
      <c r="A49" s="6" t="s">
        <v>682</v>
      </c>
      <c r="B49" s="6" t="s">
        <v>683</v>
      </c>
      <c r="C49" s="50" t="n">
        <v>1463</v>
      </c>
      <c r="D49" s="51" t="n">
        <f aca="false">C49/$C$56</f>
        <v>0.624146757679181</v>
      </c>
      <c r="E49" s="6" t="s">
        <v>68</v>
      </c>
      <c r="F49" s="6" t="s">
        <v>68</v>
      </c>
      <c r="G49" s="6" t="s">
        <v>68</v>
      </c>
      <c r="H49" s="6"/>
      <c r="I49" s="6" t="s">
        <v>554</v>
      </c>
      <c r="J49" s="10" t="s">
        <v>615</v>
      </c>
      <c r="K49" s="6" t="s">
        <v>616</v>
      </c>
    </row>
    <row r="50" customFormat="false" ht="15" hidden="false" customHeight="false" outlineLevel="0" collapsed="false">
      <c r="A50" s="6" t="s">
        <v>684</v>
      </c>
      <c r="B50" s="6" t="s">
        <v>685</v>
      </c>
      <c r="C50" s="50" t="n">
        <v>2151</v>
      </c>
      <c r="D50" s="51" t="n">
        <f aca="false">C50/$C$56</f>
        <v>0.917662116040956</v>
      </c>
      <c r="E50" s="6" t="s">
        <v>68</v>
      </c>
      <c r="F50" s="6" t="s">
        <v>68</v>
      </c>
      <c r="G50" s="6" t="s">
        <v>68</v>
      </c>
      <c r="H50" s="6"/>
      <c r="I50" s="6" t="s">
        <v>554</v>
      </c>
      <c r="J50" s="10" t="s">
        <v>615</v>
      </c>
      <c r="K50" s="6" t="s">
        <v>616</v>
      </c>
    </row>
    <row r="51" customFormat="false" ht="15" hidden="false" customHeight="false" outlineLevel="0" collapsed="false">
      <c r="A51" s="6" t="s">
        <v>686</v>
      </c>
      <c r="B51" s="6" t="s">
        <v>687</v>
      </c>
      <c r="C51" s="50" t="n">
        <v>2333</v>
      </c>
      <c r="D51" s="51" t="n">
        <f aca="false">C51/$C$56</f>
        <v>0.995307167235495</v>
      </c>
      <c r="E51" s="6" t="s">
        <v>68</v>
      </c>
      <c r="F51" s="6" t="s">
        <v>68</v>
      </c>
      <c r="G51" s="6" t="s">
        <v>68</v>
      </c>
      <c r="H51" s="6"/>
      <c r="I51" s="6" t="s">
        <v>554</v>
      </c>
      <c r="J51" s="10" t="s">
        <v>688</v>
      </c>
      <c r="K51" s="6" t="s">
        <v>580</v>
      </c>
    </row>
    <row r="52" customFormat="false" ht="15" hidden="false" customHeight="false" outlineLevel="0" collapsed="false">
      <c r="A52" s="6" t="s">
        <v>689</v>
      </c>
      <c r="B52" s="6" t="s">
        <v>690</v>
      </c>
      <c r="C52" s="50" t="n">
        <v>2655</v>
      </c>
      <c r="D52" s="51" t="n">
        <f aca="false">C52/$C$56</f>
        <v>1.13267918088737</v>
      </c>
      <c r="E52" s="6" t="s">
        <v>68</v>
      </c>
      <c r="F52" s="6" t="s">
        <v>68</v>
      </c>
      <c r="G52" s="6" t="s">
        <v>68</v>
      </c>
      <c r="H52" s="6"/>
      <c r="I52" s="6" t="s">
        <v>554</v>
      </c>
      <c r="J52" s="10" t="s">
        <v>615</v>
      </c>
      <c r="K52" s="6" t="s">
        <v>616</v>
      </c>
    </row>
    <row r="53" customFormat="false" ht="15" hidden="false" customHeight="false" outlineLevel="0" collapsed="false">
      <c r="A53" s="6" t="s">
        <v>691</v>
      </c>
      <c r="B53" s="6" t="s">
        <v>692</v>
      </c>
      <c r="C53" s="50" t="n">
        <v>2144</v>
      </c>
      <c r="D53" s="51" t="n">
        <f aca="false">C53/$C$56</f>
        <v>0.914675767918089</v>
      </c>
      <c r="E53" s="6" t="s">
        <v>68</v>
      </c>
      <c r="F53" s="6" t="s">
        <v>68</v>
      </c>
      <c r="G53" s="6" t="s">
        <v>68</v>
      </c>
      <c r="H53" s="6"/>
      <c r="I53" s="6" t="s">
        <v>554</v>
      </c>
      <c r="J53" s="10" t="s">
        <v>615</v>
      </c>
      <c r="K53" s="6" t="s">
        <v>616</v>
      </c>
    </row>
    <row r="54" customFormat="false" ht="15" hidden="false" customHeight="false" outlineLevel="0" collapsed="false">
      <c r="A54" s="6" t="s">
        <v>693</v>
      </c>
      <c r="B54" s="6" t="s">
        <v>694</v>
      </c>
      <c r="C54" s="50" t="n">
        <v>2316</v>
      </c>
      <c r="D54" s="51" t="n">
        <f aca="false">C54/$C$56</f>
        <v>0.988054607508533</v>
      </c>
      <c r="E54" s="6" t="s">
        <v>68</v>
      </c>
      <c r="F54" s="6" t="s">
        <v>68</v>
      </c>
      <c r="G54" s="6" t="s">
        <v>68</v>
      </c>
      <c r="H54" s="6"/>
      <c r="I54" s="6" t="s">
        <v>554</v>
      </c>
      <c r="J54" s="10" t="s">
        <v>615</v>
      </c>
      <c r="K54" s="6" t="s">
        <v>616</v>
      </c>
    </row>
    <row r="55" customFormat="false" ht="15" hidden="false" customHeight="false" outlineLevel="0" collapsed="false">
      <c r="A55" s="6" t="s">
        <v>695</v>
      </c>
      <c r="B55" s="6" t="s">
        <v>696</v>
      </c>
      <c r="C55" s="50" t="n">
        <v>1148</v>
      </c>
      <c r="D55" s="51" t="n">
        <f aca="false">C55/$C$56</f>
        <v>0.489761092150171</v>
      </c>
      <c r="E55" s="6" t="s">
        <v>68</v>
      </c>
      <c r="F55" s="6" t="s">
        <v>68</v>
      </c>
      <c r="G55" s="6" t="s">
        <v>68</v>
      </c>
      <c r="H55" s="6"/>
      <c r="I55" s="6" t="s">
        <v>554</v>
      </c>
      <c r="J55" s="10" t="s">
        <v>638</v>
      </c>
      <c r="K55" s="6" t="s">
        <v>556</v>
      </c>
    </row>
    <row r="56" customFormat="false" ht="15" hidden="false" customHeight="false" outlineLevel="0" collapsed="false">
      <c r="A56" s="6" t="s">
        <v>697</v>
      </c>
      <c r="B56" s="6" t="s">
        <v>698</v>
      </c>
      <c r="C56" s="50" t="n">
        <v>2344</v>
      </c>
      <c r="D56" s="51" t="n">
        <f aca="false">C56/$C$56</f>
        <v>1</v>
      </c>
      <c r="E56" s="6" t="s">
        <v>68</v>
      </c>
      <c r="F56" s="6" t="s">
        <v>68</v>
      </c>
      <c r="G56" s="6" t="s">
        <v>68</v>
      </c>
      <c r="H56" s="6"/>
      <c r="I56" s="6" t="s">
        <v>554</v>
      </c>
      <c r="J56" s="10" t="s">
        <v>699</v>
      </c>
      <c r="K56" s="6" t="s">
        <v>616</v>
      </c>
    </row>
    <row r="57" customFormat="false" ht="15" hidden="false" customHeight="false" outlineLevel="0" collapsed="false">
      <c r="A57" s="2" t="s">
        <v>700</v>
      </c>
    </row>
    <row r="59" customFormat="false" ht="15" hidden="false" customHeight="false" outlineLevel="0" collapsed="false">
      <c r="A59" s="3" t="s">
        <v>701</v>
      </c>
    </row>
    <row r="60" customFormat="false" ht="15" hidden="false" customHeight="false" outlineLevel="0" collapsed="false">
      <c r="A60" s="9" t="s">
        <v>702</v>
      </c>
      <c r="B60" s="9" t="s">
        <v>703</v>
      </c>
      <c r="C60" s="9" t="s">
        <v>704</v>
      </c>
    </row>
    <row r="61" customFormat="false" ht="15" hidden="false" customHeight="false" outlineLevel="0" collapsed="false">
      <c r="A61" s="7" t="n">
        <v>16</v>
      </c>
      <c r="B61" s="52" t="n">
        <v>3.6</v>
      </c>
      <c r="C61" s="6" t="s">
        <v>705</v>
      </c>
    </row>
    <row r="62" customFormat="false" ht="15" hidden="false" customHeight="false" outlineLevel="0" collapsed="false">
      <c r="A62" s="7" t="n">
        <v>19</v>
      </c>
      <c r="B62" s="52" t="n">
        <v>2.5</v>
      </c>
      <c r="C62" s="6" t="s">
        <v>706</v>
      </c>
    </row>
    <row r="63" customFormat="false" ht="15" hidden="false" customHeight="false" outlineLevel="0" collapsed="false">
      <c r="A63" s="7" t="n">
        <v>20</v>
      </c>
      <c r="B63" s="52" t="n">
        <v>2.04</v>
      </c>
      <c r="C63" s="6" t="s">
        <v>707</v>
      </c>
    </row>
    <row r="64" customFormat="false" ht="15" hidden="false" customHeight="false" outlineLevel="0" collapsed="false">
      <c r="A64" s="7" t="n">
        <v>25</v>
      </c>
      <c r="B64" s="52" t="n">
        <v>1.3</v>
      </c>
      <c r="C64" s="6" t="s">
        <v>708</v>
      </c>
    </row>
    <row r="65" customFormat="false" ht="15" hidden="false" customHeight="false" outlineLevel="0" collapsed="false">
      <c r="A65" s="7" t="n">
        <v>30</v>
      </c>
      <c r="B65" s="52" t="n">
        <v>1.1</v>
      </c>
      <c r="C65" s="6" t="s">
        <v>709</v>
      </c>
    </row>
    <row r="66" customFormat="false" ht="15" hidden="false" customHeight="false" outlineLevel="0" collapsed="false">
      <c r="A66" s="7" t="n">
        <v>35</v>
      </c>
      <c r="B66" s="52" t="n">
        <v>1</v>
      </c>
      <c r="C66" s="6" t="s">
        <v>710</v>
      </c>
    </row>
    <row r="67" customFormat="false" ht="15" hidden="false" customHeight="false" outlineLevel="0" collapsed="false">
      <c r="A67" s="7" t="n">
        <v>40</v>
      </c>
      <c r="B67" s="52" t="n">
        <v>0.985</v>
      </c>
      <c r="C67" s="6" t="s">
        <v>711</v>
      </c>
    </row>
    <row r="68" customFormat="false" ht="15" hidden="false" customHeight="false" outlineLevel="0" collapsed="false">
      <c r="A68" s="7" t="n">
        <v>45</v>
      </c>
      <c r="B68" s="52" t="n">
        <v>0.964</v>
      </c>
      <c r="C68" s="6" t="s">
        <v>711</v>
      </c>
    </row>
    <row r="69" customFormat="false" ht="15" hidden="false" customHeight="false" outlineLevel="0" collapsed="false">
      <c r="A69" s="7" t="n">
        <v>50</v>
      </c>
      <c r="B69" s="52" t="n">
        <v>0.934</v>
      </c>
      <c r="C69" s="6" t="s">
        <v>711</v>
      </c>
    </row>
    <row r="70" customFormat="false" ht="15" hidden="false" customHeight="false" outlineLevel="0" collapsed="false">
      <c r="A70" s="7" t="n">
        <v>55</v>
      </c>
      <c r="B70" s="52" t="n">
        <v>0.899</v>
      </c>
      <c r="C70" s="6" t="s">
        <v>711</v>
      </c>
    </row>
    <row r="71" customFormat="false" ht="15" hidden="false" customHeight="false" outlineLevel="0" collapsed="false">
      <c r="A71" s="7" t="n">
        <v>60</v>
      </c>
      <c r="B71" s="52" t="n">
        <v>0.863</v>
      </c>
      <c r="C71" s="6" t="s">
        <v>711</v>
      </c>
    </row>
    <row r="72" customFormat="false" ht="15" hidden="false" customHeight="false" outlineLevel="0" collapsed="false">
      <c r="A72" s="7" t="n">
        <v>65</v>
      </c>
      <c r="B72" s="52" t="n">
        <v>0.822</v>
      </c>
      <c r="C72" s="6" t="s">
        <v>711</v>
      </c>
    </row>
    <row r="73" customFormat="false" ht="15" hidden="false" customHeight="false" outlineLevel="0" collapsed="false">
      <c r="A73" s="7" t="n">
        <v>70</v>
      </c>
      <c r="B73" s="52" t="n">
        <v>0.848</v>
      </c>
      <c r="C73" s="6" t="s">
        <v>711</v>
      </c>
    </row>
    <row r="74" customFormat="false" ht="15" hidden="false" customHeight="false" outlineLevel="0" collapsed="false">
      <c r="A74" s="7" t="n">
        <v>99</v>
      </c>
      <c r="B74" s="52" t="n">
        <v>0.848</v>
      </c>
      <c r="C74" s="6" t="s">
        <v>712</v>
      </c>
    </row>
    <row r="77" customFormat="false" ht="15" hidden="false" customHeight="false" outlineLevel="0" collapsed="false">
      <c r="A77" s="3" t="s">
        <v>713</v>
      </c>
    </row>
    <row r="78" customFormat="false" ht="15" hidden="false" customHeight="false" outlineLevel="0" collapsed="false">
      <c r="A78" s="9" t="s">
        <v>714</v>
      </c>
      <c r="B78" s="9" t="s">
        <v>703</v>
      </c>
      <c r="C78" s="9" t="s">
        <v>704</v>
      </c>
    </row>
    <row r="79" customFormat="false" ht="15" hidden="false" customHeight="false" outlineLevel="0" collapsed="false">
      <c r="A79" s="6" t="s">
        <v>715</v>
      </c>
      <c r="B79" s="52" t="n">
        <v>1</v>
      </c>
      <c r="C79" s="6" t="s">
        <v>710</v>
      </c>
    </row>
    <row r="80" customFormat="false" ht="15" hidden="false" customHeight="false" outlineLevel="0" collapsed="false">
      <c r="A80" s="6" t="s">
        <v>716</v>
      </c>
      <c r="B80" s="52" t="n">
        <v>1.49</v>
      </c>
      <c r="C80" s="6" t="s">
        <v>717</v>
      </c>
    </row>
    <row r="81" customFormat="false" ht="15" hidden="false" customHeight="false" outlineLevel="0" collapsed="false">
      <c r="A81" s="6" t="s">
        <v>718</v>
      </c>
      <c r="B81" s="52" t="n">
        <v>2</v>
      </c>
      <c r="C81" s="6" t="s">
        <v>719</v>
      </c>
    </row>
    <row r="82" customFormat="false" ht="15" hidden="false" customHeight="false" outlineLevel="0" collapsed="false">
      <c r="A82" s="6" t="s">
        <v>720</v>
      </c>
      <c r="B82" s="52" t="n">
        <v>2.4</v>
      </c>
      <c r="C82" s="6" t="s">
        <v>719</v>
      </c>
    </row>
    <row r="83" customFormat="false" ht="15" hidden="false" customHeight="false" outlineLevel="0" collapsed="false">
      <c r="A83" s="6" t="s">
        <v>721</v>
      </c>
      <c r="B83" s="52" t="n">
        <v>1</v>
      </c>
      <c r="C83" s="6" t="s">
        <v>710</v>
      </c>
    </row>
    <row r="84" customFormat="false" ht="15" hidden="false" customHeight="false" outlineLevel="0" collapsed="false">
      <c r="A84" s="6" t="s">
        <v>722</v>
      </c>
      <c r="B84" s="52" t="n">
        <v>1.29</v>
      </c>
      <c r="C84" s="6" t="s">
        <v>717</v>
      </c>
    </row>
    <row r="85" customFormat="false" ht="15" hidden="false" customHeight="false" outlineLevel="0" collapsed="false">
      <c r="A85" s="6" t="s">
        <v>723</v>
      </c>
      <c r="B85" s="52" t="n">
        <v>1.6</v>
      </c>
      <c r="C85" s="6" t="s">
        <v>719</v>
      </c>
    </row>
    <row r="86" customFormat="false" ht="15" hidden="false" customHeight="false" outlineLevel="0" collapsed="false">
      <c r="A86" s="6" t="s">
        <v>724</v>
      </c>
      <c r="B86" s="52" t="n">
        <v>1.9</v>
      </c>
      <c r="C86" s="6" t="s">
        <v>719</v>
      </c>
    </row>
    <row r="87" customFormat="false" ht="15" hidden="false" customHeight="false" outlineLevel="0" collapsed="false">
      <c r="A87" s="6" t="s">
        <v>725</v>
      </c>
      <c r="B87" s="52" t="n">
        <v>1.89</v>
      </c>
      <c r="C87" s="6" t="s">
        <v>717</v>
      </c>
    </row>
    <row r="88" customFormat="false" ht="15" hidden="false" customHeight="false" outlineLevel="0" collapsed="false">
      <c r="A88" s="6" t="s">
        <v>726</v>
      </c>
      <c r="B88" s="52" t="n">
        <v>1.68</v>
      </c>
      <c r="C88" s="6" t="s">
        <v>717</v>
      </c>
    </row>
    <row r="89" customFormat="false" ht="15" hidden="false" customHeight="false" outlineLevel="0" collapsed="false">
      <c r="A89" s="6" t="s">
        <v>727</v>
      </c>
      <c r="B89" s="52" t="n">
        <v>1.3</v>
      </c>
      <c r="C89" s="6" t="s">
        <v>708</v>
      </c>
    </row>
    <row r="90" customFormat="false" ht="15" hidden="false" customHeight="false" outlineLevel="0" collapsed="false">
      <c r="A90" s="6" t="s">
        <v>728</v>
      </c>
      <c r="B90" s="52" t="n">
        <v>1</v>
      </c>
      <c r="C90" s="6" t="s">
        <v>710</v>
      </c>
    </row>
    <row r="91" customFormat="false" ht="15" hidden="false" customHeight="false" outlineLevel="0" collapsed="false">
      <c r="A91" s="6" t="s">
        <v>729</v>
      </c>
      <c r="B91" s="52" t="n">
        <v>0.92</v>
      </c>
      <c r="C91" s="6" t="s">
        <v>708</v>
      </c>
    </row>
    <row r="92" customFormat="false" ht="15" hidden="false" customHeight="false" outlineLevel="0" collapsed="false">
      <c r="A92" s="6" t="s">
        <v>730</v>
      </c>
      <c r="B92" s="52" t="n">
        <v>1.1</v>
      </c>
      <c r="C92" s="6" t="s">
        <v>708</v>
      </c>
    </row>
    <row r="93" customFormat="false" ht="15" hidden="false" customHeight="false" outlineLevel="0" collapsed="false">
      <c r="A93" s="6" t="s">
        <v>731</v>
      </c>
      <c r="B93" s="52" t="n">
        <v>1.1</v>
      </c>
      <c r="C93" s="6" t="s">
        <v>708</v>
      </c>
    </row>
    <row r="94" customFormat="false" ht="15" hidden="false" customHeight="false" outlineLevel="0" collapsed="false">
      <c r="A94" s="6" t="s">
        <v>732</v>
      </c>
      <c r="B94" s="52" t="n">
        <v>1.35</v>
      </c>
      <c r="C94" s="6" t="s">
        <v>708</v>
      </c>
    </row>
    <row r="95" customFormat="false" ht="15" hidden="false" customHeight="false" outlineLevel="0" collapsed="false">
      <c r="A95" s="6" t="s">
        <v>733</v>
      </c>
      <c r="B95" s="52" t="n">
        <v>1.15</v>
      </c>
      <c r="C95" s="6" t="s">
        <v>708</v>
      </c>
    </row>
    <row r="98" customFormat="false" ht="15" hidden="false" customHeight="false" outlineLevel="0" collapsed="false">
      <c r="A98" s="3" t="s">
        <v>734</v>
      </c>
    </row>
    <row r="99" customFormat="false" ht="15" hidden="false" customHeight="false" outlineLevel="0" collapsed="false">
      <c r="A99" s="9" t="s">
        <v>542</v>
      </c>
      <c r="B99" s="9" t="s">
        <v>735</v>
      </c>
      <c r="C99" s="9" t="s">
        <v>704</v>
      </c>
    </row>
    <row r="100" customFormat="false" ht="15" hidden="false" customHeight="false" outlineLevel="0" collapsed="false">
      <c r="A100" s="6" t="s">
        <v>736</v>
      </c>
      <c r="B100" s="53" t="n">
        <v>0.26</v>
      </c>
      <c r="C100" s="6" t="s">
        <v>737</v>
      </c>
    </row>
    <row r="101" customFormat="false" ht="15" hidden="false" customHeight="false" outlineLevel="0" collapsed="false">
      <c r="A101" s="6" t="s">
        <v>738</v>
      </c>
      <c r="B101" s="53" t="n">
        <v>0.31</v>
      </c>
      <c r="C101" s="6" t="s">
        <v>739</v>
      </c>
    </row>
    <row r="102" customFormat="false" ht="15" hidden="false" customHeight="false" outlineLevel="0" collapsed="false">
      <c r="A102" s="6" t="s">
        <v>85</v>
      </c>
      <c r="B102" s="53" t="n">
        <v>0.36</v>
      </c>
      <c r="C102" s="6" t="s">
        <v>740</v>
      </c>
    </row>
    <row r="103" customFormat="false" ht="15" hidden="false" customHeight="false" outlineLevel="0" collapsed="false">
      <c r="A103" s="6" t="s">
        <v>168</v>
      </c>
      <c r="B103" s="53" t="n">
        <v>0.33</v>
      </c>
      <c r="C103" s="6" t="s">
        <v>708</v>
      </c>
    </row>
    <row r="104" customFormat="false" ht="15" hidden="false" customHeight="false" outlineLevel="0" collapsed="false">
      <c r="A104" s="6" t="s">
        <v>741</v>
      </c>
      <c r="B104" s="53" t="n">
        <v>0</v>
      </c>
      <c r="C104" s="6" t="s">
        <v>742</v>
      </c>
    </row>
    <row r="105" customFormat="false" ht="15" hidden="false" customHeight="false" outlineLevel="0" collapsed="false">
      <c r="A105" s="6" t="s">
        <v>743</v>
      </c>
      <c r="B105" s="53" t="n">
        <v>0.45</v>
      </c>
      <c r="C105" s="6" t="s">
        <v>744</v>
      </c>
    </row>
    <row r="106" customFormat="false" ht="15" hidden="false" customHeight="false" outlineLevel="0" collapsed="false">
      <c r="A106" s="6" t="s">
        <v>78</v>
      </c>
      <c r="B106" s="53" t="n">
        <v>0.64</v>
      </c>
      <c r="C106" s="6" t="s">
        <v>745</v>
      </c>
    </row>
    <row r="109" customFormat="false" ht="15" hidden="false" customHeight="false" outlineLevel="0" collapsed="false">
      <c r="A109" s="3" t="s">
        <v>746</v>
      </c>
    </row>
    <row r="110" customFormat="false" ht="15" hidden="false" customHeight="false" outlineLevel="0" collapsed="false">
      <c r="A110" s="9" t="s">
        <v>714</v>
      </c>
      <c r="B110" s="9" t="s">
        <v>463</v>
      </c>
      <c r="C110" s="9" t="s">
        <v>704</v>
      </c>
    </row>
    <row r="111" customFormat="false" ht="15" hidden="false" customHeight="false" outlineLevel="0" collapsed="false">
      <c r="A111" s="6" t="s">
        <v>747</v>
      </c>
      <c r="B111" s="54" t="n">
        <v>0.128</v>
      </c>
      <c r="C111" s="6" t="s">
        <v>748</v>
      </c>
    </row>
    <row r="112" customFormat="false" ht="15" hidden="false" customHeight="false" outlineLevel="0" collapsed="false">
      <c r="A112" s="6" t="s">
        <v>749</v>
      </c>
      <c r="B112" s="54" t="n">
        <v>0.135</v>
      </c>
      <c r="C112" s="6" t="s">
        <v>717</v>
      </c>
    </row>
    <row r="113" customFormat="false" ht="15" hidden="false" customHeight="false" outlineLevel="0" collapsed="false">
      <c r="A113" s="6" t="s">
        <v>750</v>
      </c>
      <c r="B113" s="51" t="n">
        <f aca="false">1/(1-B111)</f>
        <v>1.14678899082569</v>
      </c>
      <c r="C113" s="6" t="s">
        <v>10</v>
      </c>
    </row>
    <row r="114" customFormat="false" ht="15" hidden="false" customHeight="false" outlineLevel="0" collapsed="false">
      <c r="A114" s="6" t="s">
        <v>751</v>
      </c>
      <c r="B114" s="51" t="n">
        <f aca="false">1-B112</f>
        <v>0.865</v>
      </c>
      <c r="C114" s="6" t="s">
        <v>10</v>
      </c>
    </row>
    <row r="115" customFormat="false" ht="15" hidden="false" customHeight="false" outlineLevel="0" collapsed="false">
      <c r="A115" s="6" t="s">
        <v>752</v>
      </c>
      <c r="B115" s="54" t="n">
        <v>0.03</v>
      </c>
      <c r="C115" s="6" t="s">
        <v>753</v>
      </c>
    </row>
    <row r="116" customFormat="false" ht="15" hidden="false" customHeight="false" outlineLevel="0" collapsed="false">
      <c r="A116" s="6" t="s">
        <v>754</v>
      </c>
      <c r="B116" s="54" t="n">
        <v>0.03</v>
      </c>
      <c r="C116" s="6" t="s">
        <v>708</v>
      </c>
    </row>
    <row r="117" customFormat="false" ht="15" hidden="false" customHeight="false" outlineLevel="0" collapsed="false">
      <c r="A117" s="6" t="s">
        <v>755</v>
      </c>
      <c r="B117" s="54" t="n">
        <v>0.04</v>
      </c>
      <c r="C117" s="6" t="s">
        <v>708</v>
      </c>
    </row>
    <row r="118" customFormat="false" ht="15" hidden="false" customHeight="false" outlineLevel="0" collapsed="false">
      <c r="A118" s="6" t="s">
        <v>756</v>
      </c>
      <c r="B118" s="50" t="n">
        <v>25000</v>
      </c>
      <c r="C118" s="6" t="s">
        <v>757</v>
      </c>
    </row>
    <row r="119" customFormat="false" ht="15" hidden="false" customHeight="false" outlineLevel="0" collapsed="false">
      <c r="A119" s="6" t="s">
        <v>758</v>
      </c>
      <c r="B119" s="53" t="n">
        <v>0.4</v>
      </c>
      <c r="C119" s="6" t="s">
        <v>708</v>
      </c>
    </row>
    <row r="120" customFormat="false" ht="15" hidden="false" customHeight="false" outlineLevel="0" collapsed="false">
      <c r="A120" s="6" t="s">
        <v>759</v>
      </c>
      <c r="B120" s="53" t="n">
        <v>0.7</v>
      </c>
      <c r="C120" s="6" t="s">
        <v>708</v>
      </c>
    </row>
    <row r="121" customFormat="false" ht="15" hidden="false" customHeight="false" outlineLevel="0" collapsed="false">
      <c r="A121" s="6" t="s">
        <v>760</v>
      </c>
      <c r="B121" s="53" t="n">
        <v>1.5</v>
      </c>
      <c r="C121" s="6" t="s">
        <v>708</v>
      </c>
    </row>
    <row r="122" customFormat="false" ht="15" hidden="false" customHeight="false" outlineLevel="0" collapsed="false">
      <c r="A122" s="6" t="s">
        <v>761</v>
      </c>
      <c r="B122" s="53" t="n">
        <v>0.44</v>
      </c>
      <c r="C122" s="6" t="s">
        <v>762</v>
      </c>
    </row>
    <row r="123" customFormat="false" ht="15" hidden="false" customHeight="false" outlineLevel="0" collapsed="false">
      <c r="A123" s="6" t="s">
        <v>763</v>
      </c>
      <c r="B123" s="55" t="n">
        <f aca="false">NORMSINV(0.75)</f>
        <v>0.674489750196082</v>
      </c>
      <c r="C123" s="6" t="s">
        <v>764</v>
      </c>
    </row>
    <row r="126" customFormat="false" ht="15" hidden="false" customHeight="false" outlineLevel="0" collapsed="false">
      <c r="A126" s="3" t="s">
        <v>765</v>
      </c>
    </row>
    <row r="127" customFormat="false" ht="23.85" hidden="false" customHeight="false" outlineLevel="0" collapsed="false">
      <c r="A127" s="9" t="s">
        <v>766</v>
      </c>
      <c r="B127" s="9" t="s">
        <v>767</v>
      </c>
      <c r="C127" s="9" t="s">
        <v>768</v>
      </c>
      <c r="D127" s="9" t="s">
        <v>704</v>
      </c>
    </row>
    <row r="128" customFormat="false" ht="15" hidden="false" customHeight="false" outlineLevel="0" collapsed="false">
      <c r="A128" s="6" t="s">
        <v>769</v>
      </c>
      <c r="B128" s="54" t="n">
        <v>0.12</v>
      </c>
      <c r="C128" s="6" t="s">
        <v>770</v>
      </c>
      <c r="D128" s="6" t="s">
        <v>771</v>
      </c>
    </row>
    <row r="129" customFormat="false" ht="15" hidden="false" customHeight="false" outlineLevel="0" collapsed="false">
      <c r="A129" s="6" t="s">
        <v>772</v>
      </c>
      <c r="B129" s="54" t="n">
        <v>0.1</v>
      </c>
      <c r="C129" s="6" t="s">
        <v>773</v>
      </c>
      <c r="D129" s="6" t="s">
        <v>774</v>
      </c>
    </row>
    <row r="130" customFormat="false" ht="15" hidden="false" customHeight="false" outlineLevel="0" collapsed="false">
      <c r="A130" s="6" t="s">
        <v>775</v>
      </c>
      <c r="B130" s="54" t="n">
        <v>0</v>
      </c>
      <c r="C130" s="6" t="s">
        <v>776</v>
      </c>
      <c r="D130" s="6" t="s">
        <v>777</v>
      </c>
    </row>
    <row r="131" customFormat="false" ht="15" hidden="false" customHeight="false" outlineLevel="0" collapsed="false">
      <c r="A131" s="6" t="s">
        <v>778</v>
      </c>
      <c r="B131" s="54" t="n">
        <v>0.05</v>
      </c>
      <c r="C131" s="6" t="s">
        <v>779</v>
      </c>
      <c r="D131" s="6" t="s">
        <v>780</v>
      </c>
    </row>
    <row r="132" customFormat="false" ht="15" hidden="false" customHeight="false" outlineLevel="0" collapsed="false">
      <c r="A132" s="6" t="s">
        <v>781</v>
      </c>
      <c r="B132" s="54" t="n">
        <v>0.08</v>
      </c>
      <c r="C132" s="6" t="s">
        <v>782</v>
      </c>
      <c r="D132" s="6" t="s">
        <v>783</v>
      </c>
    </row>
    <row r="133" customFormat="false" ht="15" hidden="false" customHeight="false" outlineLevel="0" collapsed="false">
      <c r="A133" s="6" t="s">
        <v>784</v>
      </c>
      <c r="B133" s="54" t="n">
        <v>0.06</v>
      </c>
      <c r="C133" s="6" t="s">
        <v>785</v>
      </c>
      <c r="D133" s="6" t="s">
        <v>783</v>
      </c>
    </row>
    <row r="134" customFormat="false" ht="15" hidden="false" customHeight="false" outlineLevel="0" collapsed="false">
      <c r="A134" s="6" t="s">
        <v>786</v>
      </c>
      <c r="B134" s="54" t="n">
        <v>0.15</v>
      </c>
      <c r="C134" s="6" t="s">
        <v>787</v>
      </c>
      <c r="D134" s="6" t="s">
        <v>788</v>
      </c>
    </row>
    <row r="135" customFormat="false" ht="15" hidden="false" customHeight="false" outlineLevel="0" collapsed="false">
      <c r="A135" s="6" t="s">
        <v>789</v>
      </c>
      <c r="B135" s="54" t="n">
        <v>0.05</v>
      </c>
      <c r="C135" s="6" t="s">
        <v>790</v>
      </c>
      <c r="D135" s="6" t="s">
        <v>791</v>
      </c>
    </row>
    <row r="136" customFormat="false" ht="15" hidden="false" customHeight="false" outlineLevel="0" collapsed="false">
      <c r="A136" s="6" t="s">
        <v>792</v>
      </c>
      <c r="B136" s="54" t="n">
        <v>0.03</v>
      </c>
      <c r="C136" s="6" t="s">
        <v>790</v>
      </c>
      <c r="D136" s="6" t="s">
        <v>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5B4A"/>
    <pageSetUpPr fitToPage="false"/>
  </sheetPr>
  <dimension ref="A1:I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4"/>
    <col collapsed="false" customWidth="true" hidden="false" outlineLevel="0" max="8" min="8" style="0" width="16"/>
    <col collapsed="false" customWidth="true" hidden="false" outlineLevel="0" max="9" min="9" style="0" width="34"/>
  </cols>
  <sheetData>
    <row r="1" customFormat="false" ht="19.7" hidden="false" customHeight="false" outlineLevel="0" collapsed="false">
      <c r="A1" s="1" t="s">
        <v>793</v>
      </c>
    </row>
    <row r="2" customFormat="false" ht="15" hidden="false" customHeight="false" outlineLevel="0" collapsed="false">
      <c r="A2" s="2" t="s">
        <v>794</v>
      </c>
    </row>
    <row r="4" customFormat="false" ht="23.85" hidden="false" customHeight="false" outlineLevel="0" collapsed="false">
      <c r="A4" s="9" t="s">
        <v>239</v>
      </c>
      <c r="B4" s="9" t="s">
        <v>542</v>
      </c>
      <c r="C4" s="56" t="n">
        <v>200000</v>
      </c>
      <c r="D4" s="56" t="n">
        <v>300000</v>
      </c>
      <c r="E4" s="56" t="n">
        <v>400000</v>
      </c>
      <c r="F4" s="56" t="n">
        <v>600000</v>
      </c>
      <c r="G4" s="9" t="s">
        <v>795</v>
      </c>
      <c r="H4" s="9" t="s">
        <v>796</v>
      </c>
      <c r="I4" s="9" t="s">
        <v>166</v>
      </c>
    </row>
    <row r="5" customFormat="false" ht="15" hidden="false" customHeight="false" outlineLevel="0" collapsed="false">
      <c r="A5" s="6" t="s">
        <v>552</v>
      </c>
      <c r="B5" s="6" t="s">
        <v>553</v>
      </c>
      <c r="C5" s="50" t="n">
        <v>2852</v>
      </c>
      <c r="D5" s="50" t="n">
        <v>3716</v>
      </c>
      <c r="E5" s="50" t="n">
        <v>4506</v>
      </c>
      <c r="F5" s="50" t="n">
        <v>6118</v>
      </c>
      <c r="G5" s="51" t="n">
        <f aca="false">D5/$D$56</f>
        <v>1.29387186629526</v>
      </c>
      <c r="H5" s="6" t="s">
        <v>68</v>
      </c>
      <c r="I5" s="6"/>
    </row>
    <row r="6" customFormat="false" ht="15" hidden="false" customHeight="false" outlineLevel="0" collapsed="false">
      <c r="A6" s="6" t="s">
        <v>557</v>
      </c>
      <c r="B6" s="6" t="s">
        <v>558</v>
      </c>
      <c r="C6" s="50" t="n">
        <v>1177</v>
      </c>
      <c r="D6" s="50" t="n">
        <v>1492</v>
      </c>
      <c r="E6" s="50" t="n">
        <v>1825</v>
      </c>
      <c r="F6" s="50" t="n">
        <v>2420</v>
      </c>
      <c r="G6" s="51" t="n">
        <f aca="false">D6/$D$56</f>
        <v>0.51949860724234</v>
      </c>
      <c r="H6" s="6" t="s">
        <v>68</v>
      </c>
      <c r="I6" s="6"/>
    </row>
    <row r="7" customFormat="false" ht="15" hidden="false" customHeight="false" outlineLevel="0" collapsed="false">
      <c r="A7" s="6" t="s">
        <v>560</v>
      </c>
      <c r="B7" s="6" t="s">
        <v>561</v>
      </c>
      <c r="C7" s="50" t="n">
        <v>1895</v>
      </c>
      <c r="D7" s="50" t="n">
        <v>2397</v>
      </c>
      <c r="E7" s="50" t="n">
        <v>2917</v>
      </c>
      <c r="F7" s="50" t="n">
        <v>4011</v>
      </c>
      <c r="G7" s="51" t="n">
        <f aca="false">D7/$D$56</f>
        <v>0.834610027855153</v>
      </c>
      <c r="H7" s="6" t="s">
        <v>68</v>
      </c>
      <c r="I7" s="6"/>
    </row>
    <row r="8" customFormat="false" ht="15" hidden="false" customHeight="false" outlineLevel="0" collapsed="false">
      <c r="A8" s="6" t="s">
        <v>563</v>
      </c>
      <c r="B8" s="6" t="s">
        <v>564</v>
      </c>
      <c r="C8" s="50" t="n">
        <v>2458</v>
      </c>
      <c r="D8" s="50" t="n">
        <v>3195</v>
      </c>
      <c r="E8" s="50" t="n">
        <v>3960</v>
      </c>
      <c r="F8" s="50" t="n">
        <v>5450</v>
      </c>
      <c r="G8" s="51" t="n">
        <f aca="false">D8/$D$56</f>
        <v>1.1124651810585</v>
      </c>
      <c r="H8" s="6" t="s">
        <v>68</v>
      </c>
      <c r="I8" s="6"/>
    </row>
    <row r="9" customFormat="false" ht="15" hidden="false" customHeight="false" outlineLevel="0" collapsed="false">
      <c r="A9" s="6" t="s">
        <v>565</v>
      </c>
      <c r="B9" s="6" t="s">
        <v>397</v>
      </c>
      <c r="C9" s="50" t="n">
        <v>1244</v>
      </c>
      <c r="D9" s="50" t="n">
        <v>1653</v>
      </c>
      <c r="E9" s="50" t="n">
        <v>2090</v>
      </c>
      <c r="F9" s="50" t="n">
        <v>3092</v>
      </c>
      <c r="G9" s="51" t="n">
        <f aca="false">D9/$D$56</f>
        <v>0.575557103064067</v>
      </c>
      <c r="H9" s="6" t="s">
        <v>98</v>
      </c>
      <c r="I9" s="6"/>
    </row>
    <row r="10" customFormat="false" ht="15" hidden="false" customHeight="false" outlineLevel="0" collapsed="false">
      <c r="A10" s="6" t="s">
        <v>568</v>
      </c>
      <c r="B10" s="6" t="s">
        <v>569</v>
      </c>
      <c r="C10" s="50" t="n">
        <v>4058</v>
      </c>
      <c r="D10" s="50" t="n">
        <v>5511</v>
      </c>
      <c r="E10" s="50" t="n">
        <v>6847</v>
      </c>
      <c r="F10" s="50" t="n">
        <v>8994</v>
      </c>
      <c r="G10" s="51" t="n">
        <f aca="false">D10/$D$56</f>
        <v>1.91887186629526</v>
      </c>
      <c r="H10" s="6" t="s">
        <v>68</v>
      </c>
      <c r="I10" s="6"/>
    </row>
    <row r="11" customFormat="false" ht="15" hidden="false" customHeight="false" outlineLevel="0" collapsed="false">
      <c r="A11" s="6" t="s">
        <v>570</v>
      </c>
      <c r="B11" s="6" t="s">
        <v>571</v>
      </c>
      <c r="C11" s="50" t="n">
        <v>1673</v>
      </c>
      <c r="D11" s="50" t="n">
        <v>2132</v>
      </c>
      <c r="E11" s="50" t="n">
        <v>2600</v>
      </c>
      <c r="F11" s="50" t="n">
        <v>3524</v>
      </c>
      <c r="G11" s="51" t="n">
        <f aca="false">D11/$D$56</f>
        <v>0.742339832869081</v>
      </c>
      <c r="H11" s="6" t="s">
        <v>68</v>
      </c>
      <c r="I11" s="6"/>
    </row>
    <row r="12" customFormat="false" ht="15" hidden="false" customHeight="false" outlineLevel="0" collapsed="false">
      <c r="A12" s="6" t="s">
        <v>574</v>
      </c>
      <c r="B12" s="6" t="s">
        <v>575</v>
      </c>
      <c r="C12" s="50" t="n">
        <v>1140</v>
      </c>
      <c r="D12" s="50" t="n">
        <v>1461</v>
      </c>
      <c r="E12" s="50" t="n">
        <v>1796</v>
      </c>
      <c r="F12" s="50" t="n">
        <v>2662</v>
      </c>
      <c r="G12" s="51" t="n">
        <f aca="false">D12/$D$56</f>
        <v>0.508704735376045</v>
      </c>
      <c r="H12" s="6" t="s">
        <v>68</v>
      </c>
      <c r="I12" s="6"/>
    </row>
    <row r="13" customFormat="false" ht="15" hidden="false" customHeight="false" outlineLevel="0" collapsed="false">
      <c r="A13" s="6" t="s">
        <v>577</v>
      </c>
      <c r="B13" s="6" t="s">
        <v>128</v>
      </c>
      <c r="C13" s="50" t="n">
        <v>6203</v>
      </c>
      <c r="D13" s="50" t="n">
        <v>8471</v>
      </c>
      <c r="E13" s="50" t="n">
        <v>11161</v>
      </c>
      <c r="F13" s="50" t="n">
        <v>16690</v>
      </c>
      <c r="G13" s="51" t="n">
        <f aca="false">D13/$D$56</f>
        <v>2.94951253481894</v>
      </c>
      <c r="H13" s="6" t="s">
        <v>68</v>
      </c>
      <c r="I13" s="6"/>
    </row>
    <row r="14" customFormat="false" ht="15" hidden="false" customHeight="false" outlineLevel="0" collapsed="false">
      <c r="A14" s="6" t="s">
        <v>581</v>
      </c>
      <c r="B14" s="6" t="s">
        <v>582</v>
      </c>
      <c r="C14" s="50" t="n">
        <v>1784</v>
      </c>
      <c r="D14" s="50" t="n">
        <v>2301</v>
      </c>
      <c r="E14" s="50" t="n">
        <v>2888</v>
      </c>
      <c r="F14" s="50" t="n">
        <v>4120</v>
      </c>
      <c r="G14" s="51" t="n">
        <f aca="false">D14/$D$56</f>
        <v>0.801183844011142</v>
      </c>
      <c r="H14" s="6" t="s">
        <v>68</v>
      </c>
      <c r="I14" s="6"/>
    </row>
    <row r="15" customFormat="false" ht="15" hidden="false" customHeight="false" outlineLevel="0" collapsed="false">
      <c r="A15" s="6" t="s">
        <v>583</v>
      </c>
      <c r="B15" s="6" t="s">
        <v>584</v>
      </c>
      <c r="C15" s="50" t="n">
        <v>558</v>
      </c>
      <c r="D15" s="50" t="n">
        <v>738</v>
      </c>
      <c r="E15" s="50" t="n">
        <v>943</v>
      </c>
      <c r="F15" s="50" t="n">
        <v>1315</v>
      </c>
      <c r="G15" s="51" t="n">
        <f aca="false">D15/$D$56</f>
        <v>0.256963788300836</v>
      </c>
      <c r="H15" s="6" t="s">
        <v>68</v>
      </c>
      <c r="I15" s="6" t="s">
        <v>797</v>
      </c>
    </row>
    <row r="16" customFormat="false" ht="15" hidden="false" customHeight="false" outlineLevel="0" collapsed="false">
      <c r="A16" s="6" t="s">
        <v>588</v>
      </c>
      <c r="B16" s="6" t="s">
        <v>589</v>
      </c>
      <c r="C16" s="50" t="n">
        <v>1800</v>
      </c>
      <c r="D16" s="50" t="n">
        <v>2412</v>
      </c>
      <c r="E16" s="50" t="n">
        <v>3009</v>
      </c>
      <c r="F16" s="50" t="n">
        <v>4189</v>
      </c>
      <c r="G16" s="51" t="n">
        <f aca="false">D16/$D$56</f>
        <v>0.83983286908078</v>
      </c>
      <c r="H16" s="6" t="s">
        <v>68</v>
      </c>
      <c r="I16" s="6"/>
    </row>
    <row r="17" customFormat="false" ht="15" hidden="false" customHeight="false" outlineLevel="0" collapsed="false">
      <c r="A17" s="6" t="s">
        <v>590</v>
      </c>
      <c r="B17" s="6" t="s">
        <v>591</v>
      </c>
      <c r="C17" s="50" t="n">
        <v>2176</v>
      </c>
      <c r="D17" s="50" t="n">
        <v>2802</v>
      </c>
      <c r="E17" s="50" t="n">
        <v>3357</v>
      </c>
      <c r="F17" s="50" t="n">
        <v>4678</v>
      </c>
      <c r="G17" s="51" t="n">
        <f aca="false">D17/$D$56</f>
        <v>0.975626740947075</v>
      </c>
      <c r="H17" s="6" t="s">
        <v>68</v>
      </c>
      <c r="I17" s="6"/>
    </row>
    <row r="18" customFormat="false" ht="15" hidden="false" customHeight="false" outlineLevel="0" collapsed="false">
      <c r="A18" s="6" t="s">
        <v>594</v>
      </c>
      <c r="B18" s="6" t="s">
        <v>595</v>
      </c>
      <c r="C18" s="50" t="n">
        <v>2183</v>
      </c>
      <c r="D18" s="50" t="n">
        <v>2869</v>
      </c>
      <c r="E18" s="50" t="n">
        <v>3490</v>
      </c>
      <c r="F18" s="50" t="n">
        <v>4597</v>
      </c>
      <c r="G18" s="51" t="n">
        <f aca="false">D18/$D$56</f>
        <v>0.998955431754875</v>
      </c>
      <c r="H18" s="6" t="s">
        <v>68</v>
      </c>
      <c r="I18" s="6"/>
    </row>
    <row r="19" customFormat="false" ht="15" hidden="false" customHeight="false" outlineLevel="0" collapsed="false">
      <c r="A19" s="6" t="s">
        <v>596</v>
      </c>
      <c r="B19" s="6" t="s">
        <v>597</v>
      </c>
      <c r="C19" s="50" t="n">
        <v>2406</v>
      </c>
      <c r="D19" s="50" t="n">
        <v>3148</v>
      </c>
      <c r="E19" s="50" t="n">
        <v>3820</v>
      </c>
      <c r="F19" s="50" t="n">
        <v>5051</v>
      </c>
      <c r="G19" s="51" t="n">
        <f aca="false">D19/$D$56</f>
        <v>1.09610027855153</v>
      </c>
      <c r="H19" s="6" t="s">
        <v>68</v>
      </c>
      <c r="I19" s="6"/>
    </row>
    <row r="20" customFormat="false" ht="15" hidden="false" customHeight="false" outlineLevel="0" collapsed="false">
      <c r="A20" s="6" t="s">
        <v>599</v>
      </c>
      <c r="B20" s="6" t="s">
        <v>600</v>
      </c>
      <c r="C20" s="50" t="n">
        <v>3822</v>
      </c>
      <c r="D20" s="50" t="n">
        <v>5289</v>
      </c>
      <c r="E20" s="50" t="n">
        <v>6763</v>
      </c>
      <c r="F20" s="50" t="n">
        <v>9553</v>
      </c>
      <c r="G20" s="51" t="n">
        <f aca="false">D20/$D$56</f>
        <v>1.84157381615599</v>
      </c>
      <c r="H20" s="6" t="s">
        <v>68</v>
      </c>
      <c r="I20" s="6"/>
    </row>
    <row r="21" customFormat="false" ht="15" hidden="false" customHeight="false" outlineLevel="0" collapsed="false">
      <c r="A21" s="6" t="s">
        <v>603</v>
      </c>
      <c r="B21" s="6" t="s">
        <v>604</v>
      </c>
      <c r="C21" s="50" t="n">
        <v>3587</v>
      </c>
      <c r="D21" s="50" t="n">
        <v>4471</v>
      </c>
      <c r="E21" s="50" t="n">
        <v>5450</v>
      </c>
      <c r="F21" s="50" t="n">
        <v>7030</v>
      </c>
      <c r="G21" s="51" t="n">
        <f aca="false">D21/$D$56</f>
        <v>1.55675487465181</v>
      </c>
      <c r="H21" s="6" t="s">
        <v>68</v>
      </c>
      <c r="I21" s="6"/>
    </row>
    <row r="22" customFormat="false" ht="15" hidden="false" customHeight="false" outlineLevel="0" collapsed="false">
      <c r="A22" s="6" t="s">
        <v>607</v>
      </c>
      <c r="B22" s="6" t="s">
        <v>608</v>
      </c>
      <c r="C22" s="50" t="n">
        <v>3766</v>
      </c>
      <c r="D22" s="50" t="n">
        <v>5185</v>
      </c>
      <c r="E22" s="50" t="n">
        <v>6613</v>
      </c>
      <c r="F22" s="50" t="n">
        <v>9540</v>
      </c>
      <c r="G22" s="51" t="n">
        <f aca="false">D22/$D$56</f>
        <v>1.80536211699164</v>
      </c>
      <c r="H22" s="6" t="s">
        <v>68</v>
      </c>
      <c r="I22" s="6"/>
    </row>
    <row r="23" customFormat="false" ht="15" hidden="false" customHeight="false" outlineLevel="0" collapsed="false">
      <c r="A23" s="6" t="s">
        <v>610</v>
      </c>
      <c r="B23" s="6" t="s">
        <v>611</v>
      </c>
      <c r="C23" s="50" t="n">
        <v>956</v>
      </c>
      <c r="D23" s="50" t="n">
        <v>1299</v>
      </c>
      <c r="E23" s="50" t="n">
        <v>1642</v>
      </c>
      <c r="F23" s="50" t="n">
        <v>2377</v>
      </c>
      <c r="G23" s="51" t="n">
        <f aca="false">D23/$D$56</f>
        <v>0.452298050139276</v>
      </c>
      <c r="H23" s="6" t="s">
        <v>68</v>
      </c>
      <c r="I23" s="6"/>
    </row>
    <row r="24" customFormat="false" ht="15" hidden="false" customHeight="false" outlineLevel="0" collapsed="false">
      <c r="A24" s="6" t="s">
        <v>613</v>
      </c>
      <c r="B24" s="6" t="s">
        <v>614</v>
      </c>
      <c r="C24" s="50" t="n">
        <v>1743</v>
      </c>
      <c r="D24" s="50" t="n">
        <v>2242</v>
      </c>
      <c r="E24" s="50" t="n">
        <v>2728</v>
      </c>
      <c r="F24" s="50" t="n">
        <v>3659</v>
      </c>
      <c r="G24" s="51" t="n">
        <f aca="false">D24/$D$56</f>
        <v>0.780640668523677</v>
      </c>
      <c r="H24" s="6" t="s">
        <v>98</v>
      </c>
      <c r="I24" s="6"/>
    </row>
    <row r="25" customFormat="false" ht="15" hidden="false" customHeight="false" outlineLevel="0" collapsed="false">
      <c r="A25" s="6" t="s">
        <v>617</v>
      </c>
      <c r="B25" s="6" t="s">
        <v>618</v>
      </c>
      <c r="C25" s="50" t="n">
        <v>1616</v>
      </c>
      <c r="D25" s="50" t="n">
        <v>2112</v>
      </c>
      <c r="E25" s="50" t="n">
        <v>2584</v>
      </c>
      <c r="F25" s="50" t="n">
        <v>3543</v>
      </c>
      <c r="G25" s="51" t="n">
        <f aca="false">D25/$D$56</f>
        <v>0.735376044568245</v>
      </c>
      <c r="H25" s="6" t="s">
        <v>98</v>
      </c>
      <c r="I25" s="6"/>
    </row>
    <row r="26" customFormat="false" ht="15" hidden="false" customHeight="false" outlineLevel="0" collapsed="false">
      <c r="A26" s="6" t="s">
        <v>621</v>
      </c>
      <c r="B26" s="6" t="s">
        <v>622</v>
      </c>
      <c r="C26" s="50" t="n">
        <v>2249</v>
      </c>
      <c r="D26" s="50" t="n">
        <v>3071</v>
      </c>
      <c r="E26" s="50" t="n">
        <v>4044</v>
      </c>
      <c r="F26" s="50" t="n">
        <v>5545</v>
      </c>
      <c r="G26" s="51" t="n">
        <f aca="false">D26/$D$56</f>
        <v>1.06928969359331</v>
      </c>
      <c r="H26" s="6" t="s">
        <v>68</v>
      </c>
      <c r="I26" s="6"/>
    </row>
    <row r="27" customFormat="false" ht="15" hidden="false" customHeight="false" outlineLevel="0" collapsed="false">
      <c r="A27" s="6" t="s">
        <v>625</v>
      </c>
      <c r="B27" s="6" t="s">
        <v>626</v>
      </c>
      <c r="C27" s="50" t="n">
        <v>2344</v>
      </c>
      <c r="D27" s="50" t="n">
        <v>3333</v>
      </c>
      <c r="E27" s="50" t="n">
        <v>4257</v>
      </c>
      <c r="F27" s="50" t="n">
        <v>5698</v>
      </c>
      <c r="G27" s="51" t="n">
        <f aca="false">D27/$D$56</f>
        <v>1.16051532033426</v>
      </c>
      <c r="H27" s="6" t="s">
        <v>68</v>
      </c>
      <c r="I27" s="6"/>
    </row>
    <row r="28" customFormat="false" ht="15" hidden="false" customHeight="false" outlineLevel="0" collapsed="false">
      <c r="A28" s="6" t="s">
        <v>628</v>
      </c>
      <c r="B28" s="6" t="s">
        <v>629</v>
      </c>
      <c r="C28" s="50" t="n">
        <v>1995</v>
      </c>
      <c r="D28" s="50" t="n">
        <v>2602</v>
      </c>
      <c r="E28" s="50" t="n">
        <v>3092</v>
      </c>
      <c r="F28" s="50" t="n">
        <v>4216</v>
      </c>
      <c r="G28" s="51" t="n">
        <f aca="false">D28/$D$56</f>
        <v>0.905988857938719</v>
      </c>
      <c r="H28" s="6" t="s">
        <v>68</v>
      </c>
      <c r="I28" s="6"/>
    </row>
    <row r="29" customFormat="false" ht="15" hidden="false" customHeight="false" outlineLevel="0" collapsed="false">
      <c r="A29" s="6" t="s">
        <v>630</v>
      </c>
      <c r="B29" s="6" t="s">
        <v>631</v>
      </c>
      <c r="C29" s="50" t="n">
        <v>2933</v>
      </c>
      <c r="D29" s="50" t="n">
        <v>3783</v>
      </c>
      <c r="E29" s="50" t="n">
        <v>4578</v>
      </c>
      <c r="F29" s="50" t="n">
        <v>6199</v>
      </c>
      <c r="G29" s="51" t="n">
        <f aca="false">D29/$D$56</f>
        <v>1.31720055710306</v>
      </c>
      <c r="H29" s="6" t="s">
        <v>68</v>
      </c>
      <c r="I29" s="6"/>
    </row>
    <row r="30" customFormat="false" ht="15" hidden="false" customHeight="false" outlineLevel="0" collapsed="false">
      <c r="A30" s="6" t="s">
        <v>632</v>
      </c>
      <c r="B30" s="6" t="s">
        <v>633</v>
      </c>
      <c r="C30" s="50" t="n">
        <v>2419</v>
      </c>
      <c r="D30" s="50" t="n">
        <v>3221</v>
      </c>
      <c r="E30" s="50" t="n">
        <v>3910</v>
      </c>
      <c r="F30" s="50" t="n">
        <v>5252</v>
      </c>
      <c r="G30" s="51" t="n">
        <f aca="false">D30/$D$56</f>
        <v>1.12151810584958</v>
      </c>
      <c r="H30" s="6" t="s">
        <v>68</v>
      </c>
      <c r="I30" s="6"/>
    </row>
    <row r="31" customFormat="false" ht="15" hidden="false" customHeight="false" outlineLevel="0" collapsed="false">
      <c r="A31" s="6" t="s">
        <v>634</v>
      </c>
      <c r="B31" s="6" t="s">
        <v>635</v>
      </c>
      <c r="C31" s="50" t="n">
        <v>4199</v>
      </c>
      <c r="D31" s="50" t="n">
        <v>5513</v>
      </c>
      <c r="E31" s="50" t="n">
        <v>6754</v>
      </c>
      <c r="F31" s="50" t="n">
        <v>9153</v>
      </c>
      <c r="G31" s="51" t="n">
        <f aca="false">D31/$D$56</f>
        <v>1.91956824512535</v>
      </c>
      <c r="H31" s="6" t="s">
        <v>68</v>
      </c>
      <c r="I31" s="6"/>
    </row>
    <row r="32" customFormat="false" ht="15" hidden="false" customHeight="false" outlineLevel="0" collapsed="false">
      <c r="A32" s="6" t="s">
        <v>636</v>
      </c>
      <c r="B32" s="6" t="s">
        <v>637</v>
      </c>
      <c r="C32" s="50" t="n">
        <v>1377</v>
      </c>
      <c r="D32" s="50" t="n">
        <v>1876</v>
      </c>
      <c r="E32" s="50" t="n">
        <v>2380</v>
      </c>
      <c r="F32" s="50" t="n">
        <v>3399</v>
      </c>
      <c r="G32" s="51" t="n">
        <f aca="false">D32/$D$56</f>
        <v>0.653203342618384</v>
      </c>
      <c r="H32" s="6" t="s">
        <v>68</v>
      </c>
      <c r="I32" s="6"/>
    </row>
    <row r="33" customFormat="false" ht="15" hidden="false" customHeight="false" outlineLevel="0" collapsed="false">
      <c r="A33" s="6" t="s">
        <v>639</v>
      </c>
      <c r="B33" s="6" t="s">
        <v>640</v>
      </c>
      <c r="C33" s="50" t="n">
        <v>1013</v>
      </c>
      <c r="D33" s="50" t="n">
        <v>1324</v>
      </c>
      <c r="E33" s="50" t="n">
        <v>1627</v>
      </c>
      <c r="F33" s="50" t="n">
        <v>2206</v>
      </c>
      <c r="G33" s="51" t="n">
        <f aca="false">D33/$D$56</f>
        <v>0.46100278551532</v>
      </c>
      <c r="H33" s="6" t="s">
        <v>68</v>
      </c>
      <c r="I33" s="6"/>
    </row>
    <row r="34" customFormat="false" ht="15" hidden="false" customHeight="false" outlineLevel="0" collapsed="false">
      <c r="A34" s="6" t="s">
        <v>642</v>
      </c>
      <c r="B34" s="6" t="s">
        <v>643</v>
      </c>
      <c r="C34" s="50" t="n">
        <v>1079</v>
      </c>
      <c r="D34" s="50" t="n">
        <v>1449</v>
      </c>
      <c r="E34" s="50" t="n">
        <v>1837</v>
      </c>
      <c r="F34" s="50" t="n">
        <v>2542</v>
      </c>
      <c r="G34" s="51" t="n">
        <f aca="false">D34/$D$56</f>
        <v>0.504526462395543</v>
      </c>
      <c r="H34" s="6" t="s">
        <v>68</v>
      </c>
      <c r="I34" s="6"/>
    </row>
    <row r="35" customFormat="false" ht="15" hidden="false" customHeight="false" outlineLevel="0" collapsed="false">
      <c r="A35" s="6" t="s">
        <v>646</v>
      </c>
      <c r="B35" s="6" t="s">
        <v>647</v>
      </c>
      <c r="C35" s="50" t="n">
        <v>2378</v>
      </c>
      <c r="D35" s="50" t="n">
        <v>3497</v>
      </c>
      <c r="E35" s="50" t="n">
        <v>4577</v>
      </c>
      <c r="F35" s="50" t="n">
        <v>6790</v>
      </c>
      <c r="G35" s="51" t="n">
        <f aca="false">D35/$D$56</f>
        <v>1.21761838440111</v>
      </c>
      <c r="H35" s="6" t="s">
        <v>68</v>
      </c>
      <c r="I35" s="6"/>
    </row>
    <row r="36" customFormat="false" ht="15" hidden="false" customHeight="false" outlineLevel="0" collapsed="false">
      <c r="A36" s="6" t="s">
        <v>648</v>
      </c>
      <c r="B36" s="6" t="s">
        <v>649</v>
      </c>
      <c r="C36" s="50" t="n">
        <v>1401</v>
      </c>
      <c r="D36" s="50" t="n">
        <v>1844</v>
      </c>
      <c r="E36" s="50" t="n">
        <v>2339</v>
      </c>
      <c r="F36" s="50" t="n">
        <v>3356</v>
      </c>
      <c r="G36" s="51" t="n">
        <f aca="false">D36/$D$56</f>
        <v>0.642061281337047</v>
      </c>
      <c r="H36" s="6" t="s">
        <v>68</v>
      </c>
      <c r="I36" s="6"/>
    </row>
    <row r="37" customFormat="false" ht="15" hidden="false" customHeight="false" outlineLevel="0" collapsed="false">
      <c r="A37" s="6" t="s">
        <v>652</v>
      </c>
      <c r="B37" s="6" t="s">
        <v>653</v>
      </c>
      <c r="C37" s="50" t="n">
        <v>2481</v>
      </c>
      <c r="D37" s="50" t="n">
        <v>3799</v>
      </c>
      <c r="E37" s="50" t="n">
        <v>4768</v>
      </c>
      <c r="F37" s="50" t="n">
        <v>6692</v>
      </c>
      <c r="G37" s="51" t="n">
        <f aca="false">D37/$D$56</f>
        <v>1.32277158774373</v>
      </c>
      <c r="H37" s="6" t="s">
        <v>68</v>
      </c>
      <c r="I37" s="6"/>
    </row>
    <row r="38" customFormat="false" ht="15" hidden="false" customHeight="false" outlineLevel="0" collapsed="false">
      <c r="A38" s="6" t="s">
        <v>655</v>
      </c>
      <c r="B38" s="6" t="s">
        <v>656</v>
      </c>
      <c r="C38" s="50" t="n">
        <v>2173</v>
      </c>
      <c r="D38" s="50" t="n">
        <v>2846</v>
      </c>
      <c r="E38" s="50" t="n">
        <v>3537</v>
      </c>
      <c r="F38" s="50" t="n">
        <v>4776</v>
      </c>
      <c r="G38" s="51" t="n">
        <f aca="false">D38/$D$56</f>
        <v>0.990947075208914</v>
      </c>
      <c r="H38" s="6" t="s">
        <v>68</v>
      </c>
      <c r="I38" s="6"/>
    </row>
    <row r="39" customFormat="false" ht="15" hidden="false" customHeight="false" outlineLevel="0" collapsed="false">
      <c r="A39" s="6" t="s">
        <v>658</v>
      </c>
      <c r="B39" s="6" t="s">
        <v>659</v>
      </c>
      <c r="C39" s="50" t="n">
        <v>1687</v>
      </c>
      <c r="D39" s="50" t="n">
        <v>2109</v>
      </c>
      <c r="E39" s="50" t="n">
        <v>2564</v>
      </c>
      <c r="F39" s="50" t="n">
        <v>3530</v>
      </c>
      <c r="G39" s="51" t="n">
        <f aca="false">D39/$D$56</f>
        <v>0.73433147632312</v>
      </c>
      <c r="H39" s="6" t="s">
        <v>68</v>
      </c>
      <c r="I39" s="6"/>
    </row>
    <row r="40" customFormat="false" ht="15" hidden="false" customHeight="false" outlineLevel="0" collapsed="false">
      <c r="A40" s="6" t="s">
        <v>660</v>
      </c>
      <c r="B40" s="6" t="s">
        <v>661</v>
      </c>
      <c r="C40" s="50" t="n">
        <v>3756</v>
      </c>
      <c r="D40" s="50" t="n">
        <v>5378</v>
      </c>
      <c r="E40" s="50" t="n">
        <v>7105</v>
      </c>
      <c r="F40" s="50" t="n">
        <v>10232</v>
      </c>
      <c r="G40" s="51" t="n">
        <f aca="false">D40/$D$56</f>
        <v>1.87256267409471</v>
      </c>
      <c r="H40" s="6" t="s">
        <v>68</v>
      </c>
      <c r="I40" s="6"/>
    </row>
    <row r="41" customFormat="false" ht="15" hidden="false" customHeight="false" outlineLevel="0" collapsed="false">
      <c r="A41" s="6" t="s">
        <v>662</v>
      </c>
      <c r="B41" s="6" t="s">
        <v>663</v>
      </c>
      <c r="C41" s="50" t="n">
        <v>1275</v>
      </c>
      <c r="D41" s="50" t="n">
        <v>1647</v>
      </c>
      <c r="E41" s="50" t="n">
        <v>2057</v>
      </c>
      <c r="F41" s="50" t="n">
        <v>2860</v>
      </c>
      <c r="G41" s="51" t="n">
        <f aca="false">D41/$D$56</f>
        <v>0.573467966573816</v>
      </c>
      <c r="H41" s="6" t="s">
        <v>68</v>
      </c>
      <c r="I41" s="6"/>
    </row>
    <row r="42" customFormat="false" ht="15" hidden="false" customHeight="false" outlineLevel="0" collapsed="false">
      <c r="A42" s="6" t="s">
        <v>664</v>
      </c>
      <c r="B42" s="6" t="s">
        <v>665</v>
      </c>
      <c r="C42" s="50" t="n">
        <v>1104</v>
      </c>
      <c r="D42" s="50" t="n">
        <v>1434</v>
      </c>
      <c r="E42" s="50" t="n">
        <v>1755</v>
      </c>
      <c r="F42" s="50" t="n">
        <v>2424</v>
      </c>
      <c r="G42" s="51" t="n">
        <f aca="false">D42/$D$56</f>
        <v>0.499303621169916</v>
      </c>
      <c r="H42" s="6" t="s">
        <v>68</v>
      </c>
      <c r="I42" s="6"/>
    </row>
    <row r="43" customFormat="false" ht="15" hidden="false" customHeight="false" outlineLevel="0" collapsed="false">
      <c r="A43" s="6" t="s">
        <v>668</v>
      </c>
      <c r="B43" s="6" t="s">
        <v>669</v>
      </c>
      <c r="C43" s="50" t="n">
        <v>1768</v>
      </c>
      <c r="D43" s="50" t="n">
        <v>2379</v>
      </c>
      <c r="E43" s="50" t="n">
        <v>2934</v>
      </c>
      <c r="F43" s="50" t="n">
        <v>4102</v>
      </c>
      <c r="G43" s="51" t="n">
        <f aca="false">D43/$D$56</f>
        <v>0.828342618384401</v>
      </c>
      <c r="H43" s="6" t="s">
        <v>68</v>
      </c>
      <c r="I43" s="6"/>
    </row>
    <row r="44" customFormat="false" ht="15" hidden="false" customHeight="false" outlineLevel="0" collapsed="false">
      <c r="A44" s="6" t="s">
        <v>670</v>
      </c>
      <c r="B44" s="6" t="s">
        <v>671</v>
      </c>
      <c r="C44" s="50" t="n">
        <v>2032</v>
      </c>
      <c r="D44" s="50" t="n">
        <v>2870</v>
      </c>
      <c r="E44" s="50" t="n">
        <v>3690</v>
      </c>
      <c r="F44" s="50" t="n">
        <v>5208</v>
      </c>
      <c r="G44" s="51" t="n">
        <f aca="false">D44/$D$56</f>
        <v>0.999303621169916</v>
      </c>
      <c r="H44" s="6" t="s">
        <v>68</v>
      </c>
      <c r="I44" s="6"/>
    </row>
    <row r="45" customFormat="false" ht="15" hidden="false" customHeight="false" outlineLevel="0" collapsed="false">
      <c r="A45" s="6" t="s">
        <v>672</v>
      </c>
      <c r="B45" s="6" t="s">
        <v>673</v>
      </c>
      <c r="C45" s="50" t="n">
        <v>2732</v>
      </c>
      <c r="D45" s="50" t="n">
        <v>3740</v>
      </c>
      <c r="E45" s="50" t="n">
        <v>4606</v>
      </c>
      <c r="F45" s="50" t="n">
        <v>6127</v>
      </c>
      <c r="G45" s="51" t="n">
        <f aca="false">D45/$D$56</f>
        <v>1.30222841225627</v>
      </c>
      <c r="H45" s="6" t="s">
        <v>68</v>
      </c>
      <c r="I45" s="6"/>
    </row>
    <row r="46" customFormat="false" ht="15" hidden="false" customHeight="false" outlineLevel="0" collapsed="false">
      <c r="A46" s="6" t="s">
        <v>674</v>
      </c>
      <c r="B46" s="6" t="s">
        <v>675</v>
      </c>
      <c r="C46" s="50" t="n">
        <v>2409</v>
      </c>
      <c r="D46" s="50" t="n">
        <v>3198</v>
      </c>
      <c r="E46" s="50" t="n">
        <v>3970</v>
      </c>
      <c r="F46" s="50" t="n">
        <v>5489</v>
      </c>
      <c r="G46" s="51" t="n">
        <f aca="false">D46/$D$56</f>
        <v>1.11350974930362</v>
      </c>
      <c r="H46" s="6" t="s">
        <v>68</v>
      </c>
      <c r="I46" s="6"/>
    </row>
    <row r="47" customFormat="false" ht="15" hidden="false" customHeight="false" outlineLevel="0" collapsed="false">
      <c r="A47" s="6" t="s">
        <v>676</v>
      </c>
      <c r="B47" s="6" t="s">
        <v>56</v>
      </c>
      <c r="C47" s="50" t="n">
        <v>3294</v>
      </c>
      <c r="D47" s="50" t="n">
        <v>4582</v>
      </c>
      <c r="E47" s="50" t="n">
        <v>5733</v>
      </c>
      <c r="F47" s="50" t="n">
        <v>7858</v>
      </c>
      <c r="G47" s="51" t="n">
        <f aca="false">D47/$D$56</f>
        <v>1.59540389972145</v>
      </c>
      <c r="H47" s="6" t="s">
        <v>68</v>
      </c>
      <c r="I47" s="6"/>
    </row>
    <row r="48" customFormat="false" ht="15" hidden="false" customHeight="false" outlineLevel="0" collapsed="false">
      <c r="A48" s="6" t="s">
        <v>678</v>
      </c>
      <c r="B48" s="6" t="s">
        <v>679</v>
      </c>
      <c r="C48" s="50" t="n">
        <v>1352</v>
      </c>
      <c r="D48" s="50" t="n">
        <v>1771</v>
      </c>
      <c r="E48" s="50" t="n">
        <v>2179</v>
      </c>
      <c r="F48" s="50" t="n">
        <v>2951</v>
      </c>
      <c r="G48" s="51" t="n">
        <f aca="false">D48/$D$56</f>
        <v>0.616643454038997</v>
      </c>
      <c r="H48" s="6" t="s">
        <v>68</v>
      </c>
      <c r="I48" s="6"/>
    </row>
    <row r="49" customFormat="false" ht="15" hidden="false" customHeight="false" outlineLevel="0" collapsed="false">
      <c r="A49" s="6" t="s">
        <v>682</v>
      </c>
      <c r="B49" s="6" t="s">
        <v>683</v>
      </c>
      <c r="C49" s="50" t="n">
        <v>782</v>
      </c>
      <c r="D49" s="50" t="n">
        <v>1017</v>
      </c>
      <c r="E49" s="50" t="n">
        <v>1247</v>
      </c>
      <c r="F49" s="50" t="n">
        <v>1663</v>
      </c>
      <c r="G49" s="51" t="n">
        <f aca="false">D49/$D$56</f>
        <v>0.354108635097493</v>
      </c>
      <c r="H49" s="6" t="s">
        <v>68</v>
      </c>
      <c r="I49" s="6"/>
    </row>
    <row r="50" customFormat="false" ht="15" hidden="false" customHeight="false" outlineLevel="0" collapsed="false">
      <c r="A50" s="6" t="s">
        <v>684</v>
      </c>
      <c r="B50" s="6" t="s">
        <v>685</v>
      </c>
      <c r="C50" s="50" t="n">
        <v>1579</v>
      </c>
      <c r="D50" s="50" t="n">
        <v>1939</v>
      </c>
      <c r="E50" s="50" t="n">
        <v>2379</v>
      </c>
      <c r="F50" s="50" t="n">
        <v>3336</v>
      </c>
      <c r="G50" s="51" t="n">
        <f aca="false">D50/$D$56</f>
        <v>0.675139275766017</v>
      </c>
      <c r="H50" s="6" t="s">
        <v>68</v>
      </c>
      <c r="I50" s="6"/>
    </row>
    <row r="51" customFormat="false" ht="15" hidden="false" customHeight="false" outlineLevel="0" collapsed="false">
      <c r="A51" s="6" t="s">
        <v>686</v>
      </c>
      <c r="B51" s="6" t="s">
        <v>687</v>
      </c>
      <c r="C51" s="50" t="n">
        <v>1375</v>
      </c>
      <c r="D51" s="50" t="n">
        <v>1766</v>
      </c>
      <c r="E51" s="50" t="n">
        <v>2174</v>
      </c>
      <c r="F51" s="50" t="n">
        <v>3027</v>
      </c>
      <c r="G51" s="51" t="n">
        <f aca="false">D51/$D$56</f>
        <v>0.614902506963788</v>
      </c>
      <c r="H51" s="6" t="s">
        <v>68</v>
      </c>
      <c r="I51" s="6"/>
    </row>
    <row r="52" customFormat="false" ht="15" hidden="false" customHeight="false" outlineLevel="0" collapsed="false">
      <c r="A52" s="6" t="s">
        <v>689</v>
      </c>
      <c r="B52" s="6" t="s">
        <v>690</v>
      </c>
      <c r="C52" s="50" t="n">
        <v>1139</v>
      </c>
      <c r="D52" s="50" t="n">
        <v>1558</v>
      </c>
      <c r="E52" s="50" t="n">
        <v>1994</v>
      </c>
      <c r="F52" s="50" t="n">
        <v>2770</v>
      </c>
      <c r="G52" s="51" t="n">
        <f aca="false">D52/$D$56</f>
        <v>0.542479108635098</v>
      </c>
      <c r="H52" s="6" t="s">
        <v>68</v>
      </c>
      <c r="I52" s="6"/>
    </row>
    <row r="53" customFormat="false" ht="15" hidden="false" customHeight="false" outlineLevel="0" collapsed="false">
      <c r="A53" s="6" t="s">
        <v>691</v>
      </c>
      <c r="B53" s="6" t="s">
        <v>692</v>
      </c>
      <c r="C53" s="50" t="n">
        <v>1572</v>
      </c>
      <c r="D53" s="50" t="n">
        <v>1961</v>
      </c>
      <c r="E53" s="50" t="n">
        <v>2333</v>
      </c>
      <c r="F53" s="50" t="n">
        <v>3037</v>
      </c>
      <c r="G53" s="51" t="n">
        <f aca="false">D53/$D$56</f>
        <v>0.682799442896936</v>
      </c>
      <c r="H53" s="6" t="s">
        <v>68</v>
      </c>
      <c r="I53" s="6"/>
    </row>
    <row r="54" customFormat="false" ht="15" hidden="false" customHeight="false" outlineLevel="0" collapsed="false">
      <c r="A54" s="6" t="s">
        <v>693</v>
      </c>
      <c r="B54" s="6" t="s">
        <v>694</v>
      </c>
      <c r="C54" s="50" t="n">
        <v>1420</v>
      </c>
      <c r="D54" s="50" t="n">
        <v>1836</v>
      </c>
      <c r="E54" s="50" t="n">
        <v>2227</v>
      </c>
      <c r="F54" s="50" t="n">
        <v>2948</v>
      </c>
      <c r="G54" s="51" t="n">
        <f aca="false">D54/$D$56</f>
        <v>0.639275766016713</v>
      </c>
      <c r="H54" s="6" t="s">
        <v>68</v>
      </c>
      <c r="I54" s="6"/>
    </row>
    <row r="55" customFormat="false" ht="15" hidden="false" customHeight="false" outlineLevel="0" collapsed="false">
      <c r="A55" s="6" t="s">
        <v>695</v>
      </c>
      <c r="B55" s="6" t="s">
        <v>696</v>
      </c>
      <c r="C55" s="50" t="n">
        <v>1470</v>
      </c>
      <c r="D55" s="50" t="n">
        <v>2075</v>
      </c>
      <c r="E55" s="50" t="n">
        <v>2730</v>
      </c>
      <c r="F55" s="50" t="n">
        <v>4051</v>
      </c>
      <c r="G55" s="51" t="n">
        <f aca="false">D55/$D$56</f>
        <v>0.722493036211699</v>
      </c>
      <c r="H55" s="6" t="s">
        <v>68</v>
      </c>
      <c r="I55" s="6"/>
    </row>
    <row r="56" customFormat="false" ht="15" hidden="false" customHeight="false" outlineLevel="0" collapsed="false">
      <c r="A56" s="6" t="s">
        <v>697</v>
      </c>
      <c r="B56" s="6" t="s">
        <v>698</v>
      </c>
      <c r="C56" s="50" t="n">
        <v>2156</v>
      </c>
      <c r="D56" s="50" t="n">
        <v>2872</v>
      </c>
      <c r="E56" s="50" t="n">
        <v>3579</v>
      </c>
      <c r="F56" s="50" t="n">
        <v>4960</v>
      </c>
      <c r="G56" s="51" t="n">
        <f aca="false">D56/$D$56</f>
        <v>1</v>
      </c>
      <c r="H56" s="6" t="s">
        <v>68</v>
      </c>
      <c r="I56" s="6" t="s">
        <v>798</v>
      </c>
    </row>
    <row r="57" customFormat="false" ht="15" hidden="false" customHeight="false" outlineLevel="0" collapsed="false">
      <c r="A57" s="2" t="s">
        <v>799</v>
      </c>
    </row>
    <row r="59" customFormat="false" ht="15" hidden="false" customHeight="false" outlineLevel="0" collapsed="false">
      <c r="A59" s="3" t="s">
        <v>800</v>
      </c>
    </row>
    <row r="60" customFormat="false" ht="15" hidden="false" customHeight="false" outlineLevel="0" collapsed="false">
      <c r="A60" s="9" t="s">
        <v>714</v>
      </c>
      <c r="B60" s="9" t="s">
        <v>463</v>
      </c>
      <c r="C60" s="9" t="s">
        <v>704</v>
      </c>
    </row>
    <row r="61" customFormat="false" ht="15" hidden="false" customHeight="false" outlineLevel="0" collapsed="false">
      <c r="A61" s="6" t="s">
        <v>801</v>
      </c>
      <c r="B61" s="50" t="n">
        <v>1000</v>
      </c>
      <c r="C61" s="6"/>
    </row>
    <row r="62" customFormat="false" ht="15" hidden="false" customHeight="false" outlineLevel="0" collapsed="false">
      <c r="A62" s="6" t="s">
        <v>802</v>
      </c>
      <c r="B62" s="50" t="n">
        <v>2500</v>
      </c>
      <c r="C62" s="6"/>
    </row>
    <row r="63" customFormat="false" ht="15" hidden="false" customHeight="false" outlineLevel="0" collapsed="false">
      <c r="A63" s="6" t="s">
        <v>803</v>
      </c>
      <c r="B63" s="50" t="n">
        <v>5000</v>
      </c>
      <c r="C63" s="6"/>
    </row>
    <row r="64" customFormat="false" ht="15" hidden="false" customHeight="false" outlineLevel="0" collapsed="false">
      <c r="A64" s="6" t="s">
        <v>804</v>
      </c>
      <c r="B64" s="7" t="n">
        <v>1</v>
      </c>
      <c r="C64" s="6" t="s">
        <v>710</v>
      </c>
    </row>
    <row r="65" customFormat="false" ht="15" hidden="false" customHeight="false" outlineLevel="0" collapsed="false">
      <c r="A65" s="6" t="s">
        <v>805</v>
      </c>
      <c r="B65" s="57" t="n">
        <v>0.91</v>
      </c>
      <c r="C65" s="6" t="s">
        <v>806</v>
      </c>
    </row>
    <row r="66" customFormat="false" ht="15" hidden="false" customHeight="false" outlineLevel="0" collapsed="false">
      <c r="A66" s="6" t="s">
        <v>807</v>
      </c>
      <c r="B66" s="57" t="n">
        <v>0.84</v>
      </c>
      <c r="C66" s="6" t="s">
        <v>806</v>
      </c>
    </row>
    <row r="67" customFormat="false" ht="15" hidden="false" customHeight="false" outlineLevel="0" collapsed="false">
      <c r="A67" s="6" t="s">
        <v>808</v>
      </c>
      <c r="B67" s="57" t="n">
        <v>0.991</v>
      </c>
      <c r="C67" s="6" t="s">
        <v>806</v>
      </c>
    </row>
    <row r="68" customFormat="false" ht="15" hidden="false" customHeight="false" outlineLevel="0" collapsed="false">
      <c r="A68" s="6" t="s">
        <v>809</v>
      </c>
      <c r="B68" s="7" t="n">
        <v>1</v>
      </c>
      <c r="C68" s="6" t="s">
        <v>710</v>
      </c>
    </row>
    <row r="69" customFormat="false" ht="15" hidden="false" customHeight="false" outlineLevel="0" collapsed="false">
      <c r="A69" s="6" t="s">
        <v>810</v>
      </c>
      <c r="B69" s="57" t="n">
        <v>1.005</v>
      </c>
      <c r="C69" s="6" t="s">
        <v>806</v>
      </c>
    </row>
    <row r="70" customFormat="false" ht="15" hidden="false" customHeight="false" outlineLevel="0" collapsed="false">
      <c r="A70" s="6" t="s">
        <v>811</v>
      </c>
      <c r="B70" s="7" t="n">
        <v>1</v>
      </c>
      <c r="C70" s="6" t="s">
        <v>710</v>
      </c>
    </row>
    <row r="71" customFormat="false" ht="15" hidden="false" customHeight="false" outlineLevel="0" collapsed="false">
      <c r="A71" s="6" t="s">
        <v>812</v>
      </c>
      <c r="B71" s="57" t="n">
        <v>1.16</v>
      </c>
      <c r="C71" s="6" t="s">
        <v>813</v>
      </c>
    </row>
    <row r="72" customFormat="false" ht="15" hidden="false" customHeight="false" outlineLevel="0" collapsed="false">
      <c r="A72" s="6" t="s">
        <v>814</v>
      </c>
      <c r="B72" s="57" t="n">
        <v>1.29</v>
      </c>
      <c r="C72" s="6" t="s">
        <v>815</v>
      </c>
    </row>
    <row r="73" customFormat="false" ht="15" hidden="false" customHeight="false" outlineLevel="0" collapsed="false">
      <c r="A73" s="6" t="s">
        <v>816</v>
      </c>
      <c r="B73" s="57" t="n">
        <v>1.45</v>
      </c>
      <c r="C73" s="6" t="s">
        <v>708</v>
      </c>
    </row>
    <row r="74" customFormat="false" ht="15" hidden="false" customHeight="false" outlineLevel="0" collapsed="false">
      <c r="A74" s="6" t="s">
        <v>726</v>
      </c>
      <c r="B74" s="57" t="n">
        <v>2.11</v>
      </c>
      <c r="C74" s="6" t="s">
        <v>817</v>
      </c>
    </row>
    <row r="75" customFormat="false" ht="15" hidden="false" customHeight="false" outlineLevel="0" collapsed="false">
      <c r="A75" s="6" t="s">
        <v>818</v>
      </c>
      <c r="B75" s="57" t="n">
        <v>1.07</v>
      </c>
      <c r="C75" s="6" t="s">
        <v>819</v>
      </c>
    </row>
    <row r="76" customFormat="false" ht="15" hidden="false" customHeight="false" outlineLevel="0" collapsed="false">
      <c r="A76" s="6" t="s">
        <v>728</v>
      </c>
      <c r="B76" s="7" t="n">
        <v>1</v>
      </c>
      <c r="C76" s="6" t="s">
        <v>710</v>
      </c>
    </row>
    <row r="77" customFormat="false" ht="15" hidden="false" customHeight="false" outlineLevel="0" collapsed="false">
      <c r="A77" s="6" t="s">
        <v>729</v>
      </c>
      <c r="B77" s="57" t="n">
        <v>0.89</v>
      </c>
      <c r="C77" s="6" t="s">
        <v>820</v>
      </c>
    </row>
    <row r="78" customFormat="false" ht="15" hidden="false" customHeight="false" outlineLevel="0" collapsed="false">
      <c r="A78" s="6" t="s">
        <v>821</v>
      </c>
      <c r="B78" s="57" t="n">
        <v>0.98</v>
      </c>
      <c r="C78" s="6" t="s">
        <v>822</v>
      </c>
    </row>
    <row r="79" customFormat="false" ht="15" hidden="false" customHeight="false" outlineLevel="0" collapsed="false">
      <c r="A79" s="6" t="s">
        <v>823</v>
      </c>
      <c r="B79" s="57" t="n">
        <v>1.1</v>
      </c>
      <c r="C79" s="6" t="s">
        <v>708</v>
      </c>
    </row>
    <row r="80" customFormat="false" ht="15" hidden="false" customHeight="false" outlineLevel="0" collapsed="false">
      <c r="A80" s="6" t="s">
        <v>824</v>
      </c>
      <c r="B80" s="57" t="n">
        <v>1.3</v>
      </c>
      <c r="C80" s="6" t="s">
        <v>825</v>
      </c>
    </row>
    <row r="81" customFormat="false" ht="15" hidden="false" customHeight="false" outlineLevel="0" collapsed="false">
      <c r="A81" s="6" t="s">
        <v>826</v>
      </c>
      <c r="B81" s="57" t="n">
        <v>1.18</v>
      </c>
      <c r="C81" s="6" t="s">
        <v>708</v>
      </c>
    </row>
    <row r="82" customFormat="false" ht="15" hidden="false" customHeight="false" outlineLevel="0" collapsed="false">
      <c r="A82" s="6" t="s">
        <v>827</v>
      </c>
      <c r="B82" s="57" t="n">
        <v>1.08</v>
      </c>
      <c r="C82" s="6" t="s">
        <v>708</v>
      </c>
    </row>
    <row r="83" customFormat="false" ht="15" hidden="false" customHeight="false" outlineLevel="0" collapsed="false">
      <c r="A83" s="6" t="s">
        <v>828</v>
      </c>
      <c r="B83" s="57" t="n">
        <v>0.95</v>
      </c>
      <c r="C83" s="6" t="s">
        <v>708</v>
      </c>
    </row>
    <row r="84" customFormat="false" ht="15" hidden="false" customHeight="false" outlineLevel="0" collapsed="false">
      <c r="A84" s="6" t="s">
        <v>829</v>
      </c>
      <c r="B84" s="57" t="n">
        <v>1.2</v>
      </c>
      <c r="C84" s="6" t="s">
        <v>708</v>
      </c>
    </row>
    <row r="85" customFormat="false" ht="15" hidden="false" customHeight="false" outlineLevel="0" collapsed="false">
      <c r="A85" s="6" t="s">
        <v>830</v>
      </c>
      <c r="B85" s="57" t="n">
        <v>1.35</v>
      </c>
      <c r="C85" s="6" t="s">
        <v>708</v>
      </c>
    </row>
    <row r="86" customFormat="false" ht="15" hidden="false" customHeight="false" outlineLevel="0" collapsed="false">
      <c r="A86" s="6" t="s">
        <v>831</v>
      </c>
      <c r="B86" s="57" t="n">
        <v>1.15</v>
      </c>
      <c r="C86" s="6" t="s">
        <v>708</v>
      </c>
    </row>
    <row r="87" customFormat="false" ht="15" hidden="false" customHeight="false" outlineLevel="0" collapsed="false">
      <c r="A87" s="6" t="s">
        <v>832</v>
      </c>
      <c r="B87" s="57" t="n">
        <v>1.15</v>
      </c>
      <c r="C87" s="6" t="s">
        <v>708</v>
      </c>
    </row>
    <row r="88" customFormat="false" ht="15" hidden="false" customHeight="false" outlineLevel="0" collapsed="false">
      <c r="A88" s="6" t="s">
        <v>833</v>
      </c>
      <c r="B88" s="57" t="n">
        <v>1.08</v>
      </c>
      <c r="C88" s="6" t="s">
        <v>708</v>
      </c>
    </row>
    <row r="89" customFormat="false" ht="15" hidden="false" customHeight="false" outlineLevel="0" collapsed="false">
      <c r="A89" s="6" t="s">
        <v>834</v>
      </c>
      <c r="B89" s="57" t="n">
        <v>0.6</v>
      </c>
      <c r="C89" s="6" t="s">
        <v>835</v>
      </c>
    </row>
    <row r="90" customFormat="false" ht="15" hidden="false" customHeight="false" outlineLevel="0" collapsed="false">
      <c r="A90" s="6" t="s">
        <v>836</v>
      </c>
      <c r="B90" s="50" t="n">
        <v>30000</v>
      </c>
      <c r="C90" s="6" t="s">
        <v>708</v>
      </c>
    </row>
    <row r="91" customFormat="false" ht="15" hidden="false" customHeight="false" outlineLevel="0" collapsed="false">
      <c r="A91" s="6" t="s">
        <v>837</v>
      </c>
      <c r="B91" s="57" t="n">
        <v>0.47</v>
      </c>
      <c r="C91" s="6" t="s">
        <v>838</v>
      </c>
    </row>
    <row r="93" customFormat="false" ht="15" hidden="false" customHeight="false" outlineLevel="0" collapsed="false">
      <c r="A93" s="3" t="s">
        <v>839</v>
      </c>
    </row>
    <row r="94" customFormat="false" ht="15" hidden="false" customHeight="false" outlineLevel="0" collapsed="false">
      <c r="A94" s="9" t="s">
        <v>146</v>
      </c>
      <c r="B94" s="9" t="s">
        <v>840</v>
      </c>
      <c r="C94" s="9" t="s">
        <v>704</v>
      </c>
    </row>
    <row r="95" customFormat="false" ht="15" hidden="false" customHeight="false" outlineLevel="0" collapsed="false">
      <c r="A95" s="6" t="s">
        <v>151</v>
      </c>
      <c r="B95" s="50" t="n">
        <v>162</v>
      </c>
      <c r="C95" s="6" t="s">
        <v>841</v>
      </c>
    </row>
    <row r="96" customFormat="false" ht="15" hidden="false" customHeight="false" outlineLevel="0" collapsed="false">
      <c r="A96" s="6" t="s">
        <v>153</v>
      </c>
      <c r="B96" s="50" t="n">
        <v>280</v>
      </c>
      <c r="C96" s="6" t="s">
        <v>842</v>
      </c>
    </row>
    <row r="97" customFormat="false" ht="15" hidden="false" customHeight="false" outlineLevel="0" collapsed="false">
      <c r="A97" s="6" t="s">
        <v>155</v>
      </c>
      <c r="B97" s="50" t="n">
        <v>350</v>
      </c>
      <c r="C97" s="6" t="s">
        <v>843</v>
      </c>
    </row>
    <row r="99" customFormat="false" ht="15" hidden="false" customHeight="false" outlineLevel="0" collapsed="false">
      <c r="A99" s="3" t="s">
        <v>844</v>
      </c>
    </row>
    <row r="100" customFormat="false" ht="23.85" hidden="false" customHeight="false" outlineLevel="0" collapsed="false">
      <c r="A100" s="9" t="s">
        <v>845</v>
      </c>
      <c r="B100" s="9" t="s">
        <v>846</v>
      </c>
      <c r="C100" s="9" t="s">
        <v>704</v>
      </c>
    </row>
    <row r="101" customFormat="false" ht="15" hidden="false" customHeight="false" outlineLevel="0" collapsed="false">
      <c r="A101" s="6" t="s">
        <v>847</v>
      </c>
      <c r="B101" s="50" t="n">
        <v>83991</v>
      </c>
      <c r="C101" s="6" t="s">
        <v>848</v>
      </c>
    </row>
    <row r="102" customFormat="false" ht="15" hidden="false" customHeight="false" outlineLevel="0" collapsed="false">
      <c r="A102" s="6" t="s">
        <v>849</v>
      </c>
      <c r="B102" s="50" t="n">
        <v>31690</v>
      </c>
      <c r="C102" s="6" t="s">
        <v>848</v>
      </c>
    </row>
    <row r="103" customFormat="false" ht="15" hidden="false" customHeight="false" outlineLevel="0" collapsed="false">
      <c r="A103" s="6" t="s">
        <v>850</v>
      </c>
      <c r="B103" s="50" t="n">
        <v>13954</v>
      </c>
      <c r="C103" s="6" t="s">
        <v>848</v>
      </c>
    </row>
    <row r="104" customFormat="false" ht="15" hidden="false" customHeight="false" outlineLevel="0" collapsed="false">
      <c r="A104" s="6" t="s">
        <v>851</v>
      </c>
      <c r="B104" s="50" t="n">
        <v>13511</v>
      </c>
      <c r="C104" s="6" t="s">
        <v>848</v>
      </c>
    </row>
    <row r="105" customFormat="false" ht="15" hidden="false" customHeight="false" outlineLevel="0" collapsed="false">
      <c r="A105" s="6" t="s">
        <v>217</v>
      </c>
      <c r="B105" s="50" t="n">
        <v>5024</v>
      </c>
      <c r="C105" s="6" t="s">
        <v>848</v>
      </c>
    </row>
    <row r="107" customFormat="false" ht="15" hidden="false" customHeight="false" outlineLevel="0" collapsed="false">
      <c r="A107" s="3" t="s">
        <v>852</v>
      </c>
    </row>
    <row r="108" customFormat="false" ht="15" hidden="false" customHeight="false" outlineLevel="0" collapsed="false">
      <c r="A108" s="9" t="s">
        <v>714</v>
      </c>
      <c r="B108" s="9" t="s">
        <v>463</v>
      </c>
      <c r="C108" s="9" t="s">
        <v>704</v>
      </c>
    </row>
    <row r="109" customFormat="false" ht="15" hidden="false" customHeight="false" outlineLevel="0" collapsed="false">
      <c r="A109" s="6" t="s">
        <v>853</v>
      </c>
      <c r="B109" s="7" t="n">
        <v>20</v>
      </c>
      <c r="C109" s="6" t="s">
        <v>854</v>
      </c>
    </row>
    <row r="110" customFormat="false" ht="15" hidden="false" customHeight="false" outlineLevel="0" collapsed="false">
      <c r="A110" s="6" t="s">
        <v>855</v>
      </c>
      <c r="B110" s="7" t="n">
        <v>35</v>
      </c>
      <c r="C110" s="6" t="s">
        <v>854</v>
      </c>
    </row>
    <row r="111" customFormat="false" ht="15" hidden="false" customHeight="false" outlineLevel="0" collapsed="false">
      <c r="A111" s="6" t="s">
        <v>856</v>
      </c>
      <c r="B111" s="7" t="n">
        <v>45</v>
      </c>
      <c r="C111" s="6" t="s">
        <v>854</v>
      </c>
    </row>
    <row r="112" customFormat="false" ht="15" hidden="false" customHeight="false" outlineLevel="0" collapsed="false">
      <c r="A112" s="6" t="s">
        <v>857</v>
      </c>
      <c r="B112" s="7" t="n">
        <v>25</v>
      </c>
      <c r="C112" s="6" t="s">
        <v>854</v>
      </c>
    </row>
    <row r="113" customFormat="false" ht="15" hidden="false" customHeight="false" outlineLevel="0" collapsed="false">
      <c r="A113" s="6" t="s">
        <v>858</v>
      </c>
      <c r="B113" s="54" t="n">
        <v>0.1</v>
      </c>
      <c r="C113" s="6" t="s">
        <v>708</v>
      </c>
    </row>
    <row r="114" customFormat="false" ht="15" hidden="false" customHeight="false" outlineLevel="0" collapsed="false">
      <c r="A114" s="6" t="s">
        <v>859</v>
      </c>
      <c r="B114" s="54" t="n">
        <v>0.25</v>
      </c>
      <c r="C114" s="6" t="s">
        <v>708</v>
      </c>
    </row>
    <row r="115" customFormat="false" ht="15" hidden="false" customHeight="false" outlineLevel="0" collapsed="false">
      <c r="A115" s="6" t="s">
        <v>860</v>
      </c>
      <c r="B115" s="54" t="n">
        <v>0.1</v>
      </c>
      <c r="C115" s="6" t="s">
        <v>708</v>
      </c>
    </row>
    <row r="116" customFormat="false" ht="15" hidden="false" customHeight="false" outlineLevel="0" collapsed="false">
      <c r="A116" s="6" t="s">
        <v>861</v>
      </c>
      <c r="B116" s="50" t="n">
        <v>40000</v>
      </c>
      <c r="C116" s="6" t="s">
        <v>708</v>
      </c>
    </row>
    <row r="117" customFormat="false" ht="15" hidden="false" customHeight="false" outlineLevel="0" collapsed="false">
      <c r="A117" s="6" t="s">
        <v>862</v>
      </c>
      <c r="B117" s="50" t="n">
        <v>10000</v>
      </c>
      <c r="C117" s="6" t="s">
        <v>708</v>
      </c>
    </row>
    <row r="118" customFormat="false" ht="15" hidden="false" customHeight="false" outlineLevel="0" collapsed="false">
      <c r="A118" s="6" t="s">
        <v>863</v>
      </c>
      <c r="B118" s="50" t="n">
        <v>500000</v>
      </c>
      <c r="C118" s="6" t="s">
        <v>708</v>
      </c>
    </row>
    <row r="119" customFormat="false" ht="15" hidden="false" customHeight="false" outlineLevel="0" collapsed="false">
      <c r="A119" s="6" t="s">
        <v>864</v>
      </c>
      <c r="B119" s="50" t="n">
        <v>1000000</v>
      </c>
      <c r="C119" s="6" t="s">
        <v>708</v>
      </c>
    </row>
    <row r="120" customFormat="false" ht="15" hidden="false" customHeight="false" outlineLevel="0" collapsed="false">
      <c r="A120" s="6" t="s">
        <v>865</v>
      </c>
      <c r="B120" s="50" t="n">
        <v>50000</v>
      </c>
      <c r="C120" s="6" t="s">
        <v>708</v>
      </c>
    </row>
    <row r="121" customFormat="false" ht="15" hidden="false" customHeight="false" outlineLevel="0" collapsed="false">
      <c r="A121" s="6" t="s">
        <v>866</v>
      </c>
      <c r="B121" s="50" t="n">
        <v>50000</v>
      </c>
      <c r="C121" s="6" t="s">
        <v>708</v>
      </c>
    </row>
    <row r="122" customFormat="false" ht="15" hidden="false" customHeight="false" outlineLevel="0" collapsed="false">
      <c r="A122" s="6" t="s">
        <v>867</v>
      </c>
      <c r="B122" s="54" t="n">
        <v>0.85</v>
      </c>
      <c r="C122" s="6" t="s">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false"/>
  </sheetPr>
  <dimension ref="A1:K18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3" min="3" style="0" width="46"/>
    <col collapsed="false" customWidth="true" hidden="false" outlineLevel="0" max="4" min="4" style="0" width="44"/>
    <col collapsed="false" customWidth="true" hidden="false" outlineLevel="0" max="5" min="5" style="0" width="9"/>
    <col collapsed="false" customWidth="true" hidden="false" outlineLevel="0" max="6" min="6" style="0" width="13"/>
    <col collapsed="false" customWidth="true" hidden="false" outlineLevel="0" max="8" min="7" style="0" width="14"/>
    <col collapsed="false" customWidth="true" hidden="false" outlineLevel="0" max="9" min="9" style="0" width="40"/>
    <col collapsed="false" customWidth="true" hidden="false" outlineLevel="0" max="10" min="10" style="0" width="14"/>
    <col collapsed="false" customWidth="true" hidden="false" outlineLevel="0" max="11" min="11" style="0" width="12"/>
  </cols>
  <sheetData>
    <row r="1" customFormat="false" ht="19.7" hidden="false" customHeight="false" outlineLevel="0" collapsed="false">
      <c r="A1" s="1" t="s">
        <v>868</v>
      </c>
    </row>
    <row r="2" customFormat="false" ht="15" hidden="false" customHeight="false" outlineLevel="0" collapsed="false">
      <c r="A2" s="2" t="s">
        <v>869</v>
      </c>
    </row>
    <row r="3" customFormat="false" ht="35.05" hidden="false" customHeight="false" outlineLevel="0" collapsed="false">
      <c r="A3" s="9" t="s">
        <v>499</v>
      </c>
      <c r="B3" s="9" t="s">
        <v>870</v>
      </c>
      <c r="C3" s="9" t="s">
        <v>253</v>
      </c>
      <c r="D3" s="9" t="s">
        <v>871</v>
      </c>
      <c r="E3" s="9" t="s">
        <v>872</v>
      </c>
      <c r="F3" s="9" t="s">
        <v>873</v>
      </c>
      <c r="G3" s="9" t="s">
        <v>874</v>
      </c>
      <c r="H3" s="9" t="s">
        <v>875</v>
      </c>
      <c r="I3" s="9" t="s">
        <v>876</v>
      </c>
      <c r="J3" s="9" t="s">
        <v>877</v>
      </c>
      <c r="K3" s="9" t="s">
        <v>878</v>
      </c>
    </row>
    <row r="4" customFormat="false" ht="15" hidden="false" customHeight="false" outlineLevel="0" collapsed="false">
      <c r="A4" s="39" t="s">
        <v>879</v>
      </c>
      <c r="B4" s="39" t="s">
        <v>880</v>
      </c>
      <c r="C4" s="39" t="s">
        <v>881</v>
      </c>
      <c r="D4" s="39" t="s">
        <v>882</v>
      </c>
      <c r="E4" s="39" t="s">
        <v>883</v>
      </c>
      <c r="F4" s="39"/>
      <c r="G4" s="58" t="n">
        <v>6845</v>
      </c>
      <c r="H4" s="34" t="n">
        <f aca="false">G4*2</f>
        <v>13690</v>
      </c>
      <c r="I4" s="39" t="str">
        <f aca="false">A4&amp;"|"&amp;B4&amp;"|"&amp;D4&amp;"|"&amp;E4&amp;F4</f>
        <v>auto|Oklahoma City|scenario A (age 16)|male</v>
      </c>
      <c r="J4" s="34" t="n">
        <f aca="false" t="array" ref="J4:J4">MEDIAN(IF($I$4:$I$1803=I4,$H$4:$H$1803))</f>
        <v>8358</v>
      </c>
      <c r="K4" s="59" t="n">
        <f aca="false">H4/J4</f>
        <v>1.63795166307729</v>
      </c>
    </row>
    <row r="5" customFormat="false" ht="15" hidden="false" customHeight="false" outlineLevel="0" collapsed="false">
      <c r="A5" s="39" t="s">
        <v>879</v>
      </c>
      <c r="B5" s="39" t="s">
        <v>880</v>
      </c>
      <c r="C5" s="39" t="s">
        <v>881</v>
      </c>
      <c r="D5" s="39" t="s">
        <v>882</v>
      </c>
      <c r="E5" s="39" t="s">
        <v>884</v>
      </c>
      <c r="F5" s="39"/>
      <c r="G5" s="58" t="n">
        <v>6287</v>
      </c>
      <c r="H5" s="34" t="n">
        <f aca="false">G5*2</f>
        <v>12574</v>
      </c>
      <c r="I5" s="39" t="str">
        <f aca="false">A5&amp;"|"&amp;B5&amp;"|"&amp;D5&amp;"|"&amp;E5&amp;F5</f>
        <v>auto|Oklahoma City|scenario A (age 16)|female</v>
      </c>
      <c r="J5" s="34" t="n">
        <f aca="false" t="array" ref="J5:J5">MEDIAN(IF($I$4:$I$1803=I5,$H$4:$H$1803))</f>
        <v>6710</v>
      </c>
      <c r="K5" s="59" t="n">
        <f aca="false">H5/J5</f>
        <v>1.87391952309985</v>
      </c>
    </row>
    <row r="6" customFormat="false" ht="15" hidden="false" customHeight="false" outlineLevel="0" collapsed="false">
      <c r="A6" s="39" t="s">
        <v>879</v>
      </c>
      <c r="B6" s="39" t="s">
        <v>880</v>
      </c>
      <c r="C6" s="39" t="s">
        <v>881</v>
      </c>
      <c r="D6" s="39" t="s">
        <v>885</v>
      </c>
      <c r="E6" s="39" t="s">
        <v>883</v>
      </c>
      <c r="F6" s="39"/>
      <c r="G6" s="58" t="n">
        <v>2067</v>
      </c>
      <c r="H6" s="34" t="n">
        <f aca="false">G6*2</f>
        <v>4134</v>
      </c>
      <c r="I6" s="39" t="str">
        <f aca="false">A6&amp;"|"&amp;B6&amp;"|"&amp;D6&amp;"|"&amp;E6&amp;F6</f>
        <v>auto|Oklahoma City|scenario B (age 21)|male</v>
      </c>
      <c r="J6" s="34" t="n">
        <f aca="false" t="array" ref="J6:J6">MEDIAN(IF($I$4:$I$1803=I6,$H$4:$H$1803))</f>
        <v>3517</v>
      </c>
      <c r="K6" s="59" t="n">
        <f aca="false">H6/J6</f>
        <v>1.1754336081888</v>
      </c>
    </row>
    <row r="7" customFormat="false" ht="15" hidden="false" customHeight="false" outlineLevel="0" collapsed="false">
      <c r="A7" s="39" t="s">
        <v>879</v>
      </c>
      <c r="B7" s="39" t="s">
        <v>880</v>
      </c>
      <c r="C7" s="39" t="s">
        <v>881</v>
      </c>
      <c r="D7" s="39" t="s">
        <v>885</v>
      </c>
      <c r="E7" s="39" t="s">
        <v>884</v>
      </c>
      <c r="F7" s="39"/>
      <c r="G7" s="58" t="n">
        <v>1683</v>
      </c>
      <c r="H7" s="34" t="n">
        <f aca="false">G7*2</f>
        <v>3366</v>
      </c>
      <c r="I7" s="39" t="str">
        <f aca="false">A7&amp;"|"&amp;B7&amp;"|"&amp;D7&amp;"|"&amp;E7&amp;F7</f>
        <v>auto|Oklahoma City|scenario B (age 21)|female</v>
      </c>
      <c r="J7" s="34" t="n">
        <f aca="false" t="array" ref="J7:J7">MEDIAN(IF($I$4:$I$1803=I7,$H$4:$H$1803))</f>
        <v>3138</v>
      </c>
      <c r="K7" s="59" t="n">
        <f aca="false">H7/J7</f>
        <v>1.07265774378585</v>
      </c>
    </row>
    <row r="8" customFormat="false" ht="15" hidden="false" customHeight="false" outlineLevel="0" collapsed="false">
      <c r="A8" s="39" t="s">
        <v>879</v>
      </c>
      <c r="B8" s="39" t="s">
        <v>880</v>
      </c>
      <c r="C8" s="39" t="s">
        <v>881</v>
      </c>
      <c r="D8" s="39" t="s">
        <v>886</v>
      </c>
      <c r="E8" s="39" t="s">
        <v>883</v>
      </c>
      <c r="F8" s="39"/>
      <c r="G8" s="58" t="n">
        <v>1095</v>
      </c>
      <c r="H8" s="34" t="n">
        <f aca="false">G8*2</f>
        <v>2190</v>
      </c>
      <c r="I8" s="39" t="str">
        <f aca="false">A8&amp;"|"&amp;B8&amp;"|"&amp;D8&amp;"|"&amp;E8&amp;F8</f>
        <v>auto|Oklahoma City|scenario C (age 36)|male</v>
      </c>
      <c r="J8" s="34" t="n">
        <f aca="false" t="array" ref="J8:J8">MEDIAN(IF($I$4:$I$1803=I8,$H$4:$H$1803))</f>
        <v>2128</v>
      </c>
      <c r="K8" s="59" t="n">
        <f aca="false">H8/J8</f>
        <v>1.02913533834586</v>
      </c>
    </row>
    <row r="9" customFormat="false" ht="15" hidden="false" customHeight="false" outlineLevel="0" collapsed="false">
      <c r="A9" s="39" t="s">
        <v>879</v>
      </c>
      <c r="B9" s="39" t="s">
        <v>880</v>
      </c>
      <c r="C9" s="39" t="s">
        <v>881</v>
      </c>
      <c r="D9" s="39" t="s">
        <v>886</v>
      </c>
      <c r="E9" s="39" t="s">
        <v>884</v>
      </c>
      <c r="F9" s="39"/>
      <c r="G9" s="58" t="n">
        <v>1095</v>
      </c>
      <c r="H9" s="34" t="n">
        <f aca="false">G9*2</f>
        <v>2190</v>
      </c>
      <c r="I9" s="39" t="str">
        <f aca="false">A9&amp;"|"&amp;B9&amp;"|"&amp;D9&amp;"|"&amp;E9&amp;F9</f>
        <v>auto|Oklahoma City|scenario C (age 36)|female</v>
      </c>
      <c r="J9" s="34" t="n">
        <f aca="false" t="array" ref="J9:J9">MEDIAN(IF($I$4:$I$1803=I9,$H$4:$H$1803))</f>
        <v>2026</v>
      </c>
      <c r="K9" s="59" t="n">
        <f aca="false">H9/J9</f>
        <v>1.08094768015795</v>
      </c>
    </row>
    <row r="10" customFormat="false" ht="15" hidden="false" customHeight="false" outlineLevel="0" collapsed="false">
      <c r="A10" s="39" t="s">
        <v>879</v>
      </c>
      <c r="B10" s="39" t="s">
        <v>880</v>
      </c>
      <c r="C10" s="39" t="s">
        <v>881</v>
      </c>
      <c r="D10" s="39" t="s">
        <v>887</v>
      </c>
      <c r="E10" s="39" t="s">
        <v>883</v>
      </c>
      <c r="F10" s="39"/>
      <c r="G10" s="58" t="n">
        <v>1074</v>
      </c>
      <c r="H10" s="34" t="n">
        <f aca="false">G10*2</f>
        <v>2148</v>
      </c>
      <c r="I10" s="39" t="str">
        <f aca="false">A10&amp;"|"&amp;B10&amp;"|"&amp;D10&amp;"|"&amp;E10&amp;F10</f>
        <v>auto|Oklahoma City|scenario D (age 55)|male</v>
      </c>
      <c r="J10" s="34" t="n">
        <f aca="false" t="array" ref="J10:J10">MEDIAN(IF($I$4:$I$1803=I10,$H$4:$H$1803))</f>
        <v>1762</v>
      </c>
      <c r="K10" s="59" t="n">
        <f aca="false">H10/J10</f>
        <v>1.21906923950057</v>
      </c>
    </row>
    <row r="11" customFormat="false" ht="15" hidden="false" customHeight="false" outlineLevel="0" collapsed="false">
      <c r="A11" s="39" t="s">
        <v>879</v>
      </c>
      <c r="B11" s="39" t="s">
        <v>880</v>
      </c>
      <c r="C11" s="39" t="s">
        <v>881</v>
      </c>
      <c r="D11" s="39" t="s">
        <v>887</v>
      </c>
      <c r="E11" s="39" t="s">
        <v>884</v>
      </c>
      <c r="F11" s="39"/>
      <c r="G11" s="58" t="n">
        <v>1016</v>
      </c>
      <c r="H11" s="34" t="n">
        <f aca="false">G11*2</f>
        <v>2032</v>
      </c>
      <c r="I11" s="39" t="str">
        <f aca="false">A11&amp;"|"&amp;B11&amp;"|"&amp;D11&amp;"|"&amp;E11&amp;F11</f>
        <v>auto|Oklahoma City|scenario D (age 55)|female</v>
      </c>
      <c r="J11" s="34" t="n">
        <f aca="false" t="array" ref="J11:J11">MEDIAN(IF($I$4:$I$1803=I11,$H$4:$H$1803))</f>
        <v>1664</v>
      </c>
      <c r="K11" s="59" t="n">
        <f aca="false">H11/J11</f>
        <v>1.22115384615385</v>
      </c>
    </row>
    <row r="12" customFormat="false" ht="15" hidden="false" customHeight="false" outlineLevel="0" collapsed="false">
      <c r="A12" s="39" t="s">
        <v>879</v>
      </c>
      <c r="B12" s="39" t="s">
        <v>880</v>
      </c>
      <c r="C12" s="39" t="s">
        <v>881</v>
      </c>
      <c r="D12" s="39" t="s">
        <v>888</v>
      </c>
      <c r="E12" s="39" t="s">
        <v>883</v>
      </c>
      <c r="F12" s="39"/>
      <c r="G12" s="58" t="n">
        <v>1136</v>
      </c>
      <c r="H12" s="34" t="n">
        <f aca="false">G12*2</f>
        <v>2272</v>
      </c>
      <c r="I12" s="39" t="str">
        <f aca="false">A12&amp;"|"&amp;B12&amp;"|"&amp;D12&amp;"|"&amp;E12&amp;F12</f>
        <v>auto|Oklahoma City|scenario E (age 70)|male</v>
      </c>
      <c r="J12" s="34" t="n">
        <f aca="false" t="array" ref="J12:J12">MEDIAN(IF($I$4:$I$1803=I12,$H$4:$H$1803))</f>
        <v>1649</v>
      </c>
      <c r="K12" s="59" t="n">
        <f aca="false">H12/J12</f>
        <v>1.37780473013948</v>
      </c>
    </row>
    <row r="13" customFormat="false" ht="15" hidden="false" customHeight="false" outlineLevel="0" collapsed="false">
      <c r="A13" s="39" t="s">
        <v>879</v>
      </c>
      <c r="B13" s="39" t="s">
        <v>880</v>
      </c>
      <c r="C13" s="39" t="s">
        <v>881</v>
      </c>
      <c r="D13" s="39" t="s">
        <v>888</v>
      </c>
      <c r="E13" s="39" t="s">
        <v>884</v>
      </c>
      <c r="F13" s="39"/>
      <c r="G13" s="58" t="n">
        <v>1074</v>
      </c>
      <c r="H13" s="34" t="n">
        <f aca="false">G13*2</f>
        <v>2148</v>
      </c>
      <c r="I13" s="39" t="str">
        <f aca="false">A13&amp;"|"&amp;B13&amp;"|"&amp;D13&amp;"|"&amp;E13&amp;F13</f>
        <v>auto|Oklahoma City|scenario E (age 70)|female</v>
      </c>
      <c r="J13" s="34" t="n">
        <f aca="false" t="array" ref="J13:J13">MEDIAN(IF($I$4:$I$1803=I13,$H$4:$H$1803))</f>
        <v>1664</v>
      </c>
      <c r="K13" s="59" t="n">
        <f aca="false">H13/J13</f>
        <v>1.29086538461538</v>
      </c>
    </row>
    <row r="14" customFormat="false" ht="15" hidden="false" customHeight="false" outlineLevel="0" collapsed="false">
      <c r="A14" s="39" t="s">
        <v>879</v>
      </c>
      <c r="B14" s="39" t="s">
        <v>880</v>
      </c>
      <c r="C14" s="39" t="s">
        <v>889</v>
      </c>
      <c r="D14" s="39" t="s">
        <v>882</v>
      </c>
      <c r="E14" s="39" t="s">
        <v>883</v>
      </c>
      <c r="F14" s="39"/>
      <c r="G14" s="58" t="n">
        <v>3067</v>
      </c>
      <c r="H14" s="34" t="n">
        <f aca="false">G14*2</f>
        <v>6134</v>
      </c>
      <c r="I14" s="39" t="str">
        <f aca="false">A14&amp;"|"&amp;B14&amp;"|"&amp;D14&amp;"|"&amp;E14&amp;F14</f>
        <v>auto|Oklahoma City|scenario A (age 16)|male</v>
      </c>
      <c r="J14" s="34" t="n">
        <f aca="false" t="array" ref="J14:J14">MEDIAN(IF($I$4:$I$1803=I14,$H$4:$H$1803))</f>
        <v>8358</v>
      </c>
      <c r="K14" s="59" t="n">
        <f aca="false">H14/J14</f>
        <v>0.733907633405121</v>
      </c>
    </row>
    <row r="15" customFormat="false" ht="15" hidden="false" customHeight="false" outlineLevel="0" collapsed="false">
      <c r="A15" s="39" t="s">
        <v>879</v>
      </c>
      <c r="B15" s="39" t="s">
        <v>880</v>
      </c>
      <c r="C15" s="39" t="s">
        <v>889</v>
      </c>
      <c r="D15" s="39" t="s">
        <v>882</v>
      </c>
      <c r="E15" s="39" t="s">
        <v>884</v>
      </c>
      <c r="F15" s="39"/>
      <c r="G15" s="58" t="n">
        <v>2940</v>
      </c>
      <c r="H15" s="34" t="n">
        <f aca="false">G15*2</f>
        <v>5880</v>
      </c>
      <c r="I15" s="39" t="str">
        <f aca="false">A15&amp;"|"&amp;B15&amp;"|"&amp;D15&amp;"|"&amp;E15&amp;F15</f>
        <v>auto|Oklahoma City|scenario A (age 16)|female</v>
      </c>
      <c r="J15" s="34" t="n">
        <f aca="false" t="array" ref="J15:J15">MEDIAN(IF($I$4:$I$1803=I15,$H$4:$H$1803))</f>
        <v>6710</v>
      </c>
      <c r="K15" s="59" t="n">
        <f aca="false">H15/J15</f>
        <v>0.876304023845008</v>
      </c>
    </row>
    <row r="16" customFormat="false" ht="15" hidden="false" customHeight="false" outlineLevel="0" collapsed="false">
      <c r="A16" s="39" t="s">
        <v>879</v>
      </c>
      <c r="B16" s="39" t="s">
        <v>880</v>
      </c>
      <c r="C16" s="39" t="s">
        <v>889</v>
      </c>
      <c r="D16" s="39" t="s">
        <v>885</v>
      </c>
      <c r="E16" s="39" t="s">
        <v>883</v>
      </c>
      <c r="F16" s="39"/>
      <c r="G16" s="58" t="n">
        <v>2127</v>
      </c>
      <c r="H16" s="34" t="n">
        <f aca="false">G16*2</f>
        <v>4254</v>
      </c>
      <c r="I16" s="39" t="str">
        <f aca="false">A16&amp;"|"&amp;B16&amp;"|"&amp;D16&amp;"|"&amp;E16&amp;F16</f>
        <v>auto|Oklahoma City|scenario B (age 21)|male</v>
      </c>
      <c r="J16" s="34" t="n">
        <f aca="false" t="array" ref="J16:J16">MEDIAN(IF($I$4:$I$1803=I16,$H$4:$H$1803))</f>
        <v>3517</v>
      </c>
      <c r="K16" s="59" t="n">
        <f aca="false">H16/J16</f>
        <v>1.20955359681547</v>
      </c>
    </row>
    <row r="17" customFormat="false" ht="15" hidden="false" customHeight="false" outlineLevel="0" collapsed="false">
      <c r="A17" s="39" t="s">
        <v>879</v>
      </c>
      <c r="B17" s="39" t="s">
        <v>880</v>
      </c>
      <c r="C17" s="39" t="s">
        <v>889</v>
      </c>
      <c r="D17" s="39" t="s">
        <v>885</v>
      </c>
      <c r="E17" s="39" t="s">
        <v>884</v>
      </c>
      <c r="F17" s="39"/>
      <c r="G17" s="58" t="n">
        <v>2046</v>
      </c>
      <c r="H17" s="34" t="n">
        <f aca="false">G17*2</f>
        <v>4092</v>
      </c>
      <c r="I17" s="39" t="str">
        <f aca="false">A17&amp;"|"&amp;B17&amp;"|"&amp;D17&amp;"|"&amp;E17&amp;F17</f>
        <v>auto|Oklahoma City|scenario B (age 21)|female</v>
      </c>
      <c r="J17" s="34" t="n">
        <f aca="false" t="array" ref="J17:J17">MEDIAN(IF($I$4:$I$1803=I17,$H$4:$H$1803))</f>
        <v>3138</v>
      </c>
      <c r="K17" s="59" t="n">
        <f aca="false">H17/J17</f>
        <v>1.30401529636711</v>
      </c>
    </row>
    <row r="18" customFormat="false" ht="15" hidden="false" customHeight="false" outlineLevel="0" collapsed="false">
      <c r="A18" s="39" t="s">
        <v>879</v>
      </c>
      <c r="B18" s="39" t="s">
        <v>880</v>
      </c>
      <c r="C18" s="39" t="s">
        <v>889</v>
      </c>
      <c r="D18" s="39" t="s">
        <v>886</v>
      </c>
      <c r="E18" s="39" t="s">
        <v>883</v>
      </c>
      <c r="F18" s="39"/>
      <c r="G18" s="58" t="n">
        <v>1406</v>
      </c>
      <c r="H18" s="34" t="n">
        <f aca="false">G18*2</f>
        <v>2812</v>
      </c>
      <c r="I18" s="39" t="str">
        <f aca="false">A18&amp;"|"&amp;B18&amp;"|"&amp;D18&amp;"|"&amp;E18&amp;F18</f>
        <v>auto|Oklahoma City|scenario C (age 36)|male</v>
      </c>
      <c r="J18" s="34" t="n">
        <f aca="false" t="array" ref="J18:J18">MEDIAN(IF($I$4:$I$1803=I18,$H$4:$H$1803))</f>
        <v>2128</v>
      </c>
      <c r="K18" s="59" t="n">
        <f aca="false">H18/J18</f>
        <v>1.32142857142857</v>
      </c>
    </row>
    <row r="19" customFormat="false" ht="15" hidden="false" customHeight="false" outlineLevel="0" collapsed="false">
      <c r="A19" s="39" t="s">
        <v>879</v>
      </c>
      <c r="B19" s="39" t="s">
        <v>880</v>
      </c>
      <c r="C19" s="39" t="s">
        <v>889</v>
      </c>
      <c r="D19" s="39" t="s">
        <v>886</v>
      </c>
      <c r="E19" s="39" t="s">
        <v>884</v>
      </c>
      <c r="F19" s="39"/>
      <c r="G19" s="58" t="n">
        <v>1359</v>
      </c>
      <c r="H19" s="34" t="n">
        <f aca="false">G19*2</f>
        <v>2718</v>
      </c>
      <c r="I19" s="39" t="str">
        <f aca="false">A19&amp;"|"&amp;B19&amp;"|"&amp;D19&amp;"|"&amp;E19&amp;F19</f>
        <v>auto|Oklahoma City|scenario C (age 36)|female</v>
      </c>
      <c r="J19" s="34" t="n">
        <f aca="false" t="array" ref="J19:J19">MEDIAN(IF($I$4:$I$1803=I19,$H$4:$H$1803))</f>
        <v>2026</v>
      </c>
      <c r="K19" s="59" t="n">
        <f aca="false">H19/J19</f>
        <v>1.34155972359329</v>
      </c>
    </row>
    <row r="20" customFormat="false" ht="15" hidden="false" customHeight="false" outlineLevel="0" collapsed="false">
      <c r="A20" s="39" t="s">
        <v>879</v>
      </c>
      <c r="B20" s="39" t="s">
        <v>880</v>
      </c>
      <c r="C20" s="39" t="s">
        <v>889</v>
      </c>
      <c r="D20" s="39" t="s">
        <v>887</v>
      </c>
      <c r="E20" s="39" t="s">
        <v>883</v>
      </c>
      <c r="F20" s="39"/>
      <c r="G20" s="58" t="n">
        <v>1383</v>
      </c>
      <c r="H20" s="34" t="n">
        <f aca="false">G20*2</f>
        <v>2766</v>
      </c>
      <c r="I20" s="39" t="str">
        <f aca="false">A20&amp;"|"&amp;B20&amp;"|"&amp;D20&amp;"|"&amp;E20&amp;F20</f>
        <v>auto|Oklahoma City|scenario D (age 55)|male</v>
      </c>
      <c r="J20" s="34" t="n">
        <f aca="false" t="array" ref="J20:J20">MEDIAN(IF($I$4:$I$1803=I20,$H$4:$H$1803))</f>
        <v>1762</v>
      </c>
      <c r="K20" s="59" t="n">
        <f aca="false">H20/J20</f>
        <v>1.56980703745743</v>
      </c>
    </row>
    <row r="21" customFormat="false" ht="15" hidden="false" customHeight="false" outlineLevel="0" collapsed="false">
      <c r="A21" s="39" t="s">
        <v>879</v>
      </c>
      <c r="B21" s="39" t="s">
        <v>880</v>
      </c>
      <c r="C21" s="39" t="s">
        <v>889</v>
      </c>
      <c r="D21" s="39" t="s">
        <v>887</v>
      </c>
      <c r="E21" s="39" t="s">
        <v>884</v>
      </c>
      <c r="F21" s="39"/>
      <c r="G21" s="58" t="n">
        <v>1337</v>
      </c>
      <c r="H21" s="34" t="n">
        <f aca="false">G21*2</f>
        <v>2674</v>
      </c>
      <c r="I21" s="39" t="str">
        <f aca="false">A21&amp;"|"&amp;B21&amp;"|"&amp;D21&amp;"|"&amp;E21&amp;F21</f>
        <v>auto|Oklahoma City|scenario D (age 55)|female</v>
      </c>
      <c r="J21" s="34" t="n">
        <f aca="false" t="array" ref="J21:J21">MEDIAN(IF($I$4:$I$1803=I21,$H$4:$H$1803))</f>
        <v>1664</v>
      </c>
      <c r="K21" s="59" t="n">
        <f aca="false">H21/J21</f>
        <v>1.60697115384615</v>
      </c>
    </row>
    <row r="22" customFormat="false" ht="15" hidden="false" customHeight="false" outlineLevel="0" collapsed="false">
      <c r="A22" s="39" t="s">
        <v>879</v>
      </c>
      <c r="B22" s="39" t="s">
        <v>880</v>
      </c>
      <c r="C22" s="39" t="s">
        <v>889</v>
      </c>
      <c r="D22" s="39" t="s">
        <v>888</v>
      </c>
      <c r="E22" s="39" t="s">
        <v>883</v>
      </c>
      <c r="F22" s="39"/>
      <c r="G22" s="58" t="n">
        <v>1384</v>
      </c>
      <c r="H22" s="34" t="n">
        <f aca="false">G22*2</f>
        <v>2768</v>
      </c>
      <c r="I22" s="39" t="str">
        <f aca="false">A22&amp;"|"&amp;B22&amp;"|"&amp;D22&amp;"|"&amp;E22&amp;F22</f>
        <v>auto|Oklahoma City|scenario E (age 70)|male</v>
      </c>
      <c r="J22" s="34" t="n">
        <f aca="false" t="array" ref="J22:J22">MEDIAN(IF($I$4:$I$1803=I22,$H$4:$H$1803))</f>
        <v>1649</v>
      </c>
      <c r="K22" s="59" t="n">
        <f aca="false">H22/J22</f>
        <v>1.67859308671922</v>
      </c>
    </row>
    <row r="23" customFormat="false" ht="15" hidden="false" customHeight="false" outlineLevel="0" collapsed="false">
      <c r="A23" s="39" t="s">
        <v>879</v>
      </c>
      <c r="B23" s="39" t="s">
        <v>880</v>
      </c>
      <c r="C23" s="39" t="s">
        <v>889</v>
      </c>
      <c r="D23" s="39" t="s">
        <v>888</v>
      </c>
      <c r="E23" s="39" t="s">
        <v>884</v>
      </c>
      <c r="F23" s="39"/>
      <c r="G23" s="58" t="n">
        <v>1338</v>
      </c>
      <c r="H23" s="34" t="n">
        <f aca="false">G23*2</f>
        <v>2676</v>
      </c>
      <c r="I23" s="39" t="str">
        <f aca="false">A23&amp;"|"&amp;B23&amp;"|"&amp;D23&amp;"|"&amp;E23&amp;F23</f>
        <v>auto|Oklahoma City|scenario E (age 70)|female</v>
      </c>
      <c r="J23" s="34" t="n">
        <f aca="false" t="array" ref="J23:J23">MEDIAN(IF($I$4:$I$1803=I23,$H$4:$H$1803))</f>
        <v>1664</v>
      </c>
      <c r="K23" s="59" t="n">
        <f aca="false">H23/J23</f>
        <v>1.60817307692308</v>
      </c>
    </row>
    <row r="24" customFormat="false" ht="15" hidden="false" customHeight="false" outlineLevel="0" collapsed="false">
      <c r="A24" s="39" t="s">
        <v>879</v>
      </c>
      <c r="B24" s="39" t="s">
        <v>880</v>
      </c>
      <c r="C24" s="39" t="s">
        <v>890</v>
      </c>
      <c r="D24" s="39" t="s">
        <v>882</v>
      </c>
      <c r="E24" s="39" t="s">
        <v>883</v>
      </c>
      <c r="F24" s="39"/>
      <c r="G24" s="58" t="n">
        <v>4689</v>
      </c>
      <c r="H24" s="34" t="n">
        <f aca="false">G24*2</f>
        <v>9378</v>
      </c>
      <c r="I24" s="39" t="str">
        <f aca="false">A24&amp;"|"&amp;B24&amp;"|"&amp;D24&amp;"|"&amp;E24&amp;F24</f>
        <v>auto|Oklahoma City|scenario A (age 16)|male</v>
      </c>
      <c r="J24" s="34" t="n">
        <f aca="false" t="array" ref="J24:J24">MEDIAN(IF($I$4:$I$1803=I24,$H$4:$H$1803))</f>
        <v>8358</v>
      </c>
      <c r="K24" s="59" t="n">
        <f aca="false">H24/J24</f>
        <v>1.12203876525485</v>
      </c>
    </row>
    <row r="25" customFormat="false" ht="15" hidden="false" customHeight="false" outlineLevel="0" collapsed="false">
      <c r="A25" s="39" t="s">
        <v>879</v>
      </c>
      <c r="B25" s="39" t="s">
        <v>880</v>
      </c>
      <c r="C25" s="39" t="s">
        <v>890</v>
      </c>
      <c r="D25" s="39" t="s">
        <v>882</v>
      </c>
      <c r="E25" s="39" t="s">
        <v>884</v>
      </c>
      <c r="F25" s="39"/>
      <c r="G25" s="58" t="n">
        <v>4157</v>
      </c>
      <c r="H25" s="34" t="n">
        <f aca="false">G25*2</f>
        <v>8314</v>
      </c>
      <c r="I25" s="39" t="str">
        <f aca="false">A25&amp;"|"&amp;B25&amp;"|"&amp;D25&amp;"|"&amp;E25&amp;F25</f>
        <v>auto|Oklahoma City|scenario A (age 16)|female</v>
      </c>
      <c r="J25" s="34" t="n">
        <f aca="false" t="array" ref="J25:J25">MEDIAN(IF($I$4:$I$1803=I25,$H$4:$H$1803))</f>
        <v>6710</v>
      </c>
      <c r="K25" s="59" t="n">
        <f aca="false">H25/J25</f>
        <v>1.23904619970194</v>
      </c>
    </row>
    <row r="26" customFormat="false" ht="15" hidden="false" customHeight="false" outlineLevel="0" collapsed="false">
      <c r="A26" s="39" t="s">
        <v>879</v>
      </c>
      <c r="B26" s="39" t="s">
        <v>880</v>
      </c>
      <c r="C26" s="39" t="s">
        <v>890</v>
      </c>
      <c r="D26" s="39" t="s">
        <v>885</v>
      </c>
      <c r="E26" s="39" t="s">
        <v>883</v>
      </c>
      <c r="F26" s="39"/>
      <c r="G26" s="58" t="n">
        <v>2978</v>
      </c>
      <c r="H26" s="34" t="n">
        <f aca="false">G26*2</f>
        <v>5956</v>
      </c>
      <c r="I26" s="39" t="str">
        <f aca="false">A26&amp;"|"&amp;B26&amp;"|"&amp;D26&amp;"|"&amp;E26&amp;F26</f>
        <v>auto|Oklahoma City|scenario B (age 21)|male</v>
      </c>
      <c r="J26" s="34" t="n">
        <f aca="false" t="array" ref="J26:J26">MEDIAN(IF($I$4:$I$1803=I26,$H$4:$H$1803))</f>
        <v>3517</v>
      </c>
      <c r="K26" s="59" t="n">
        <f aca="false">H26/J26</f>
        <v>1.69348876883708</v>
      </c>
    </row>
    <row r="27" customFormat="false" ht="15" hidden="false" customHeight="false" outlineLevel="0" collapsed="false">
      <c r="A27" s="39" t="s">
        <v>879</v>
      </c>
      <c r="B27" s="39" t="s">
        <v>880</v>
      </c>
      <c r="C27" s="39" t="s">
        <v>890</v>
      </c>
      <c r="D27" s="39" t="s">
        <v>885</v>
      </c>
      <c r="E27" s="39" t="s">
        <v>884</v>
      </c>
      <c r="F27" s="39"/>
      <c r="G27" s="58" t="n">
        <v>2336</v>
      </c>
      <c r="H27" s="34" t="n">
        <f aca="false">G27*2</f>
        <v>4672</v>
      </c>
      <c r="I27" s="39" t="str">
        <f aca="false">A27&amp;"|"&amp;B27&amp;"|"&amp;D27&amp;"|"&amp;E27&amp;F27</f>
        <v>auto|Oklahoma City|scenario B (age 21)|female</v>
      </c>
      <c r="J27" s="34" t="n">
        <f aca="false" t="array" ref="J27:J27">MEDIAN(IF($I$4:$I$1803=I27,$H$4:$H$1803))</f>
        <v>3138</v>
      </c>
      <c r="K27" s="59" t="n">
        <f aca="false">H27/J27</f>
        <v>1.48884639898024</v>
      </c>
    </row>
    <row r="28" customFormat="false" ht="15" hidden="false" customHeight="false" outlineLevel="0" collapsed="false">
      <c r="A28" s="39" t="s">
        <v>879</v>
      </c>
      <c r="B28" s="39" t="s">
        <v>880</v>
      </c>
      <c r="C28" s="39" t="s">
        <v>890</v>
      </c>
      <c r="D28" s="39" t="s">
        <v>886</v>
      </c>
      <c r="E28" s="39" t="s">
        <v>883</v>
      </c>
      <c r="F28" s="39"/>
      <c r="G28" s="58" t="n">
        <v>1229</v>
      </c>
      <c r="H28" s="34" t="n">
        <f aca="false">G28*2</f>
        <v>2458</v>
      </c>
      <c r="I28" s="39" t="str">
        <f aca="false">A28&amp;"|"&amp;B28&amp;"|"&amp;D28&amp;"|"&amp;E28&amp;F28</f>
        <v>auto|Oklahoma City|scenario C (age 36)|male</v>
      </c>
      <c r="J28" s="34" t="n">
        <f aca="false" t="array" ref="J28:J28">MEDIAN(IF($I$4:$I$1803=I28,$H$4:$H$1803))</f>
        <v>2128</v>
      </c>
      <c r="K28" s="59" t="n">
        <f aca="false">H28/J28</f>
        <v>1.15507518796992</v>
      </c>
    </row>
    <row r="29" customFormat="false" ht="15" hidden="false" customHeight="false" outlineLevel="0" collapsed="false">
      <c r="A29" s="39" t="s">
        <v>879</v>
      </c>
      <c r="B29" s="39" t="s">
        <v>880</v>
      </c>
      <c r="C29" s="39" t="s">
        <v>890</v>
      </c>
      <c r="D29" s="39" t="s">
        <v>886</v>
      </c>
      <c r="E29" s="39" t="s">
        <v>884</v>
      </c>
      <c r="F29" s="39"/>
      <c r="G29" s="58" t="n">
        <v>1253</v>
      </c>
      <c r="H29" s="34" t="n">
        <f aca="false">G29*2</f>
        <v>2506</v>
      </c>
      <c r="I29" s="39" t="str">
        <f aca="false">A29&amp;"|"&amp;B29&amp;"|"&amp;D29&amp;"|"&amp;E29&amp;F29</f>
        <v>auto|Oklahoma City|scenario C (age 36)|female</v>
      </c>
      <c r="J29" s="34" t="n">
        <f aca="false" t="array" ref="J29:J29">MEDIAN(IF($I$4:$I$1803=I29,$H$4:$H$1803))</f>
        <v>2026</v>
      </c>
      <c r="K29" s="59" t="n">
        <f aca="false">H29/J29</f>
        <v>1.23692003948667</v>
      </c>
    </row>
    <row r="30" customFormat="false" ht="15" hidden="false" customHeight="false" outlineLevel="0" collapsed="false">
      <c r="A30" s="39" t="s">
        <v>879</v>
      </c>
      <c r="B30" s="39" t="s">
        <v>880</v>
      </c>
      <c r="C30" s="39" t="s">
        <v>890</v>
      </c>
      <c r="D30" s="39" t="s">
        <v>887</v>
      </c>
      <c r="E30" s="39" t="s">
        <v>883</v>
      </c>
      <c r="F30" s="39"/>
      <c r="G30" s="58" t="n">
        <v>980</v>
      </c>
      <c r="H30" s="34" t="n">
        <f aca="false">G30*2</f>
        <v>1960</v>
      </c>
      <c r="I30" s="39" t="str">
        <f aca="false">A30&amp;"|"&amp;B30&amp;"|"&amp;D30&amp;"|"&amp;E30&amp;F30</f>
        <v>auto|Oklahoma City|scenario D (age 55)|male</v>
      </c>
      <c r="J30" s="34" t="n">
        <f aca="false" t="array" ref="J30:J30">MEDIAN(IF($I$4:$I$1803=I30,$H$4:$H$1803))</f>
        <v>1762</v>
      </c>
      <c r="K30" s="59" t="n">
        <f aca="false">H30/J30</f>
        <v>1.11237230419977</v>
      </c>
    </row>
    <row r="31" customFormat="false" ht="15" hidden="false" customHeight="false" outlineLevel="0" collapsed="false">
      <c r="A31" s="39" t="s">
        <v>879</v>
      </c>
      <c r="B31" s="39" t="s">
        <v>880</v>
      </c>
      <c r="C31" s="39" t="s">
        <v>890</v>
      </c>
      <c r="D31" s="39" t="s">
        <v>887</v>
      </c>
      <c r="E31" s="39" t="s">
        <v>884</v>
      </c>
      <c r="F31" s="39"/>
      <c r="G31" s="58" t="n">
        <v>1016</v>
      </c>
      <c r="H31" s="34" t="n">
        <f aca="false">G31*2</f>
        <v>2032</v>
      </c>
      <c r="I31" s="39" t="str">
        <f aca="false">A31&amp;"|"&amp;B31&amp;"|"&amp;D31&amp;"|"&amp;E31&amp;F31</f>
        <v>auto|Oklahoma City|scenario D (age 55)|female</v>
      </c>
      <c r="J31" s="34" t="n">
        <f aca="false" t="array" ref="J31:J31">MEDIAN(IF($I$4:$I$1803=I31,$H$4:$H$1803))</f>
        <v>1664</v>
      </c>
      <c r="K31" s="59" t="n">
        <f aca="false">H31/J31</f>
        <v>1.22115384615385</v>
      </c>
    </row>
    <row r="32" customFormat="false" ht="15" hidden="false" customHeight="false" outlineLevel="0" collapsed="false">
      <c r="A32" s="39" t="s">
        <v>879</v>
      </c>
      <c r="B32" s="39" t="s">
        <v>880</v>
      </c>
      <c r="C32" s="39" t="s">
        <v>890</v>
      </c>
      <c r="D32" s="39" t="s">
        <v>888</v>
      </c>
      <c r="E32" s="39" t="s">
        <v>883</v>
      </c>
      <c r="F32" s="39"/>
      <c r="G32" s="58" t="n">
        <v>1082</v>
      </c>
      <c r="H32" s="34" t="n">
        <f aca="false">G32*2</f>
        <v>2164</v>
      </c>
      <c r="I32" s="39" t="str">
        <f aca="false">A32&amp;"|"&amp;B32&amp;"|"&amp;D32&amp;"|"&amp;E32&amp;F32</f>
        <v>auto|Oklahoma City|scenario E (age 70)|male</v>
      </c>
      <c r="J32" s="34" t="n">
        <f aca="false" t="array" ref="J32:J32">MEDIAN(IF($I$4:$I$1803=I32,$H$4:$H$1803))</f>
        <v>1649</v>
      </c>
      <c r="K32" s="59" t="n">
        <f aca="false">H32/J32</f>
        <v>1.31231049120679</v>
      </c>
    </row>
    <row r="33" customFormat="false" ht="15" hidden="false" customHeight="false" outlineLevel="0" collapsed="false">
      <c r="A33" s="39" t="s">
        <v>879</v>
      </c>
      <c r="B33" s="39" t="s">
        <v>880</v>
      </c>
      <c r="C33" s="39" t="s">
        <v>890</v>
      </c>
      <c r="D33" s="39" t="s">
        <v>888</v>
      </c>
      <c r="E33" s="39" t="s">
        <v>884</v>
      </c>
      <c r="F33" s="39"/>
      <c r="G33" s="58" t="n">
        <v>1103</v>
      </c>
      <c r="H33" s="34" t="n">
        <f aca="false">G33*2</f>
        <v>2206</v>
      </c>
      <c r="I33" s="39" t="str">
        <f aca="false">A33&amp;"|"&amp;B33&amp;"|"&amp;D33&amp;"|"&amp;E33&amp;F33</f>
        <v>auto|Oklahoma City|scenario E (age 70)|female</v>
      </c>
      <c r="J33" s="34" t="n">
        <f aca="false" t="array" ref="J33:J33">MEDIAN(IF($I$4:$I$1803=I33,$H$4:$H$1803))</f>
        <v>1664</v>
      </c>
      <c r="K33" s="59" t="n">
        <f aca="false">H33/J33</f>
        <v>1.32572115384615</v>
      </c>
    </row>
    <row r="34" customFormat="false" ht="15" hidden="false" customHeight="false" outlineLevel="0" collapsed="false">
      <c r="A34" s="39" t="s">
        <v>879</v>
      </c>
      <c r="B34" s="39" t="s">
        <v>880</v>
      </c>
      <c r="C34" s="39" t="s">
        <v>891</v>
      </c>
      <c r="D34" s="39" t="s">
        <v>882</v>
      </c>
      <c r="E34" s="39" t="s">
        <v>883</v>
      </c>
      <c r="F34" s="39"/>
      <c r="G34" s="58" t="n">
        <v>5653</v>
      </c>
      <c r="H34" s="34" t="n">
        <f aca="false">G34*2</f>
        <v>11306</v>
      </c>
      <c r="I34" s="39" t="str">
        <f aca="false">A34&amp;"|"&amp;B34&amp;"|"&amp;D34&amp;"|"&amp;E34&amp;F34</f>
        <v>auto|Oklahoma City|scenario A (age 16)|male</v>
      </c>
      <c r="J34" s="34" t="n">
        <f aca="false" t="array" ref="J34:J34">MEDIAN(IF($I$4:$I$1803=I34,$H$4:$H$1803))</f>
        <v>8358</v>
      </c>
      <c r="K34" s="59" t="n">
        <f aca="false">H34/J34</f>
        <v>1.35271596075616</v>
      </c>
    </row>
    <row r="35" customFormat="false" ht="15" hidden="false" customHeight="false" outlineLevel="0" collapsed="false">
      <c r="A35" s="39" t="s">
        <v>879</v>
      </c>
      <c r="B35" s="39" t="s">
        <v>880</v>
      </c>
      <c r="C35" s="39" t="s">
        <v>891</v>
      </c>
      <c r="D35" s="39" t="s">
        <v>882</v>
      </c>
      <c r="E35" s="39" t="s">
        <v>884</v>
      </c>
      <c r="F35" s="39"/>
      <c r="G35" s="58" t="n">
        <v>5775</v>
      </c>
      <c r="H35" s="34" t="n">
        <f aca="false">G35*2</f>
        <v>11550</v>
      </c>
      <c r="I35" s="39" t="str">
        <f aca="false">A35&amp;"|"&amp;B35&amp;"|"&amp;D35&amp;"|"&amp;E35&amp;F35</f>
        <v>auto|Oklahoma City|scenario A (age 16)|female</v>
      </c>
      <c r="J35" s="34" t="n">
        <f aca="false" t="array" ref="J35:J35">MEDIAN(IF($I$4:$I$1803=I35,$H$4:$H$1803))</f>
        <v>6710</v>
      </c>
      <c r="K35" s="59" t="n">
        <f aca="false">H35/J35</f>
        <v>1.72131147540984</v>
      </c>
    </row>
    <row r="36" customFormat="false" ht="15" hidden="false" customHeight="false" outlineLevel="0" collapsed="false">
      <c r="A36" s="39" t="s">
        <v>879</v>
      </c>
      <c r="B36" s="39" t="s">
        <v>880</v>
      </c>
      <c r="C36" s="39" t="s">
        <v>891</v>
      </c>
      <c r="D36" s="39" t="s">
        <v>885</v>
      </c>
      <c r="E36" s="39" t="s">
        <v>883</v>
      </c>
      <c r="F36" s="39"/>
      <c r="G36" s="58" t="n">
        <v>1724</v>
      </c>
      <c r="H36" s="34" t="n">
        <f aca="false">G36*2</f>
        <v>3448</v>
      </c>
      <c r="I36" s="39" t="str">
        <f aca="false">A36&amp;"|"&amp;B36&amp;"|"&amp;D36&amp;"|"&amp;E36&amp;F36</f>
        <v>auto|Oklahoma City|scenario B (age 21)|male</v>
      </c>
      <c r="J36" s="34" t="n">
        <f aca="false" t="array" ref="J36:J36">MEDIAN(IF($I$4:$I$1803=I36,$H$4:$H$1803))</f>
        <v>3517</v>
      </c>
      <c r="K36" s="59" t="n">
        <f aca="false">H36/J36</f>
        <v>0.980381006539665</v>
      </c>
    </row>
    <row r="37" customFormat="false" ht="15" hidden="false" customHeight="false" outlineLevel="0" collapsed="false">
      <c r="A37" s="39" t="s">
        <v>879</v>
      </c>
      <c r="B37" s="39" t="s">
        <v>880</v>
      </c>
      <c r="C37" s="39" t="s">
        <v>891</v>
      </c>
      <c r="D37" s="39" t="s">
        <v>885</v>
      </c>
      <c r="E37" s="39" t="s">
        <v>884</v>
      </c>
      <c r="F37" s="39"/>
      <c r="G37" s="58" t="n">
        <v>1735</v>
      </c>
      <c r="H37" s="34" t="n">
        <f aca="false">G37*2</f>
        <v>3470</v>
      </c>
      <c r="I37" s="39" t="str">
        <f aca="false">A37&amp;"|"&amp;B37&amp;"|"&amp;D37&amp;"|"&amp;E37&amp;F37</f>
        <v>auto|Oklahoma City|scenario B (age 21)|female</v>
      </c>
      <c r="J37" s="34" t="n">
        <f aca="false" t="array" ref="J37:J37">MEDIAN(IF($I$4:$I$1803=I37,$H$4:$H$1803))</f>
        <v>3138</v>
      </c>
      <c r="K37" s="59" t="n">
        <f aca="false">H37/J37</f>
        <v>1.10579987253027</v>
      </c>
    </row>
    <row r="38" customFormat="false" ht="15" hidden="false" customHeight="false" outlineLevel="0" collapsed="false">
      <c r="A38" s="39" t="s">
        <v>879</v>
      </c>
      <c r="B38" s="39" t="s">
        <v>880</v>
      </c>
      <c r="C38" s="39" t="s">
        <v>891</v>
      </c>
      <c r="D38" s="39" t="s">
        <v>886</v>
      </c>
      <c r="E38" s="39" t="s">
        <v>883</v>
      </c>
      <c r="F38" s="39"/>
      <c r="G38" s="58" t="n">
        <v>1153</v>
      </c>
      <c r="H38" s="34" t="n">
        <f aca="false">G38*2</f>
        <v>2306</v>
      </c>
      <c r="I38" s="39" t="str">
        <f aca="false">A38&amp;"|"&amp;B38&amp;"|"&amp;D38&amp;"|"&amp;E38&amp;F38</f>
        <v>auto|Oklahoma City|scenario C (age 36)|male</v>
      </c>
      <c r="J38" s="34" t="n">
        <f aca="false" t="array" ref="J38:J38">MEDIAN(IF($I$4:$I$1803=I38,$H$4:$H$1803))</f>
        <v>2128</v>
      </c>
      <c r="K38" s="59" t="n">
        <f aca="false">H38/J38</f>
        <v>1.08364661654135</v>
      </c>
    </row>
    <row r="39" customFormat="false" ht="15" hidden="false" customHeight="false" outlineLevel="0" collapsed="false">
      <c r="A39" s="39" t="s">
        <v>879</v>
      </c>
      <c r="B39" s="39" t="s">
        <v>880</v>
      </c>
      <c r="C39" s="39" t="s">
        <v>891</v>
      </c>
      <c r="D39" s="39" t="s">
        <v>886</v>
      </c>
      <c r="E39" s="39" t="s">
        <v>884</v>
      </c>
      <c r="F39" s="39"/>
      <c r="G39" s="58" t="n">
        <v>1054</v>
      </c>
      <c r="H39" s="34" t="n">
        <f aca="false">G39*2</f>
        <v>2108</v>
      </c>
      <c r="I39" s="39" t="str">
        <f aca="false">A39&amp;"|"&amp;B39&amp;"|"&amp;D39&amp;"|"&amp;E39&amp;F39</f>
        <v>auto|Oklahoma City|scenario C (age 36)|female</v>
      </c>
      <c r="J39" s="34" t="n">
        <f aca="false" t="array" ref="J39:J39">MEDIAN(IF($I$4:$I$1803=I39,$H$4:$H$1803))</f>
        <v>2026</v>
      </c>
      <c r="K39" s="59" t="n">
        <f aca="false">H39/J39</f>
        <v>1.04047384007897</v>
      </c>
    </row>
    <row r="40" customFormat="false" ht="15" hidden="false" customHeight="false" outlineLevel="0" collapsed="false">
      <c r="A40" s="39" t="s">
        <v>879</v>
      </c>
      <c r="B40" s="39" t="s">
        <v>880</v>
      </c>
      <c r="C40" s="39" t="s">
        <v>891</v>
      </c>
      <c r="D40" s="39" t="s">
        <v>887</v>
      </c>
      <c r="E40" s="39" t="s">
        <v>883</v>
      </c>
      <c r="F40" s="39"/>
      <c r="G40" s="58" t="n">
        <v>1028</v>
      </c>
      <c r="H40" s="34" t="n">
        <f aca="false">G40*2</f>
        <v>2056</v>
      </c>
      <c r="I40" s="39" t="str">
        <f aca="false">A40&amp;"|"&amp;B40&amp;"|"&amp;D40&amp;"|"&amp;E40&amp;F40</f>
        <v>auto|Oklahoma City|scenario D (age 55)|male</v>
      </c>
      <c r="J40" s="34" t="n">
        <f aca="false" t="array" ref="J40:J40">MEDIAN(IF($I$4:$I$1803=I40,$H$4:$H$1803))</f>
        <v>1762</v>
      </c>
      <c r="K40" s="59" t="n">
        <f aca="false">H40/J40</f>
        <v>1.16685584562997</v>
      </c>
    </row>
    <row r="41" customFormat="false" ht="15" hidden="false" customHeight="false" outlineLevel="0" collapsed="false">
      <c r="A41" s="39" t="s">
        <v>879</v>
      </c>
      <c r="B41" s="39" t="s">
        <v>880</v>
      </c>
      <c r="C41" s="39" t="s">
        <v>891</v>
      </c>
      <c r="D41" s="39" t="s">
        <v>887</v>
      </c>
      <c r="E41" s="39" t="s">
        <v>884</v>
      </c>
      <c r="F41" s="39"/>
      <c r="G41" s="58" t="n">
        <v>908</v>
      </c>
      <c r="H41" s="34" t="n">
        <f aca="false">G41*2</f>
        <v>1816</v>
      </c>
      <c r="I41" s="39" t="str">
        <f aca="false">A41&amp;"|"&amp;B41&amp;"|"&amp;D41&amp;"|"&amp;E41&amp;F41</f>
        <v>auto|Oklahoma City|scenario D (age 55)|female</v>
      </c>
      <c r="J41" s="34" t="n">
        <f aca="false" t="array" ref="J41:J41">MEDIAN(IF($I$4:$I$1803=I41,$H$4:$H$1803))</f>
        <v>1664</v>
      </c>
      <c r="K41" s="59" t="n">
        <f aca="false">H41/J41</f>
        <v>1.09134615384615</v>
      </c>
    </row>
    <row r="42" customFormat="false" ht="15" hidden="false" customHeight="false" outlineLevel="0" collapsed="false">
      <c r="A42" s="39" t="s">
        <v>879</v>
      </c>
      <c r="B42" s="39" t="s">
        <v>880</v>
      </c>
      <c r="C42" s="39" t="s">
        <v>891</v>
      </c>
      <c r="D42" s="39" t="s">
        <v>888</v>
      </c>
      <c r="E42" s="39" t="s">
        <v>883</v>
      </c>
      <c r="F42" s="39"/>
      <c r="G42" s="58" t="n">
        <v>1128</v>
      </c>
      <c r="H42" s="34" t="n">
        <f aca="false">G42*2</f>
        <v>2256</v>
      </c>
      <c r="I42" s="39" t="str">
        <f aca="false">A42&amp;"|"&amp;B42&amp;"|"&amp;D42&amp;"|"&amp;E42&amp;F42</f>
        <v>auto|Oklahoma City|scenario E (age 70)|male</v>
      </c>
      <c r="J42" s="34" t="n">
        <f aca="false" t="array" ref="J42:J42">MEDIAN(IF($I$4:$I$1803=I42,$H$4:$H$1803))</f>
        <v>1649</v>
      </c>
      <c r="K42" s="59" t="n">
        <f aca="false">H42/J42</f>
        <v>1.36810187992723</v>
      </c>
    </row>
    <row r="43" customFormat="false" ht="15" hidden="false" customHeight="false" outlineLevel="0" collapsed="false">
      <c r="A43" s="39" t="s">
        <v>879</v>
      </c>
      <c r="B43" s="39" t="s">
        <v>880</v>
      </c>
      <c r="C43" s="39" t="s">
        <v>891</v>
      </c>
      <c r="D43" s="39" t="s">
        <v>888</v>
      </c>
      <c r="E43" s="39" t="s">
        <v>884</v>
      </c>
      <c r="F43" s="39"/>
      <c r="G43" s="58" t="n">
        <v>919</v>
      </c>
      <c r="H43" s="34" t="n">
        <f aca="false">G43*2</f>
        <v>1838</v>
      </c>
      <c r="I43" s="39" t="str">
        <f aca="false">A43&amp;"|"&amp;B43&amp;"|"&amp;D43&amp;"|"&amp;E43&amp;F43</f>
        <v>auto|Oklahoma City|scenario E (age 70)|female</v>
      </c>
      <c r="J43" s="34" t="n">
        <f aca="false" t="array" ref="J43:J43">MEDIAN(IF($I$4:$I$1803=I43,$H$4:$H$1803))</f>
        <v>1664</v>
      </c>
      <c r="K43" s="59" t="n">
        <f aca="false">H43/J43</f>
        <v>1.10456730769231</v>
      </c>
    </row>
    <row r="44" customFormat="false" ht="15" hidden="false" customHeight="false" outlineLevel="0" collapsed="false">
      <c r="A44" s="39" t="s">
        <v>879</v>
      </c>
      <c r="B44" s="39" t="s">
        <v>880</v>
      </c>
      <c r="C44" s="39" t="s">
        <v>892</v>
      </c>
      <c r="D44" s="39" t="s">
        <v>882</v>
      </c>
      <c r="E44" s="39" t="s">
        <v>883</v>
      </c>
      <c r="F44" s="39"/>
      <c r="G44" s="58" t="n">
        <v>5700</v>
      </c>
      <c r="H44" s="34" t="n">
        <f aca="false">G44*2</f>
        <v>11400</v>
      </c>
      <c r="I44" s="39" t="str">
        <f aca="false">A44&amp;"|"&amp;B44&amp;"|"&amp;D44&amp;"|"&amp;E44&amp;F44</f>
        <v>auto|Oklahoma City|scenario A (age 16)|male</v>
      </c>
      <c r="J44" s="34" t="n">
        <f aca="false" t="array" ref="J44:J44">MEDIAN(IF($I$4:$I$1803=I44,$H$4:$H$1803))</f>
        <v>8358</v>
      </c>
      <c r="K44" s="59" t="n">
        <f aca="false">H44/J44</f>
        <v>1.36396267049533</v>
      </c>
    </row>
    <row r="45" customFormat="false" ht="15" hidden="false" customHeight="false" outlineLevel="0" collapsed="false">
      <c r="A45" s="39" t="s">
        <v>879</v>
      </c>
      <c r="B45" s="39" t="s">
        <v>880</v>
      </c>
      <c r="C45" s="39" t="s">
        <v>892</v>
      </c>
      <c r="D45" s="39" t="s">
        <v>882</v>
      </c>
      <c r="E45" s="39" t="s">
        <v>884</v>
      </c>
      <c r="F45" s="39"/>
      <c r="G45" s="58" t="n">
        <v>4138</v>
      </c>
      <c r="H45" s="34" t="n">
        <f aca="false">G45*2</f>
        <v>8276</v>
      </c>
      <c r="I45" s="39" t="str">
        <f aca="false">A45&amp;"|"&amp;B45&amp;"|"&amp;D45&amp;"|"&amp;E45&amp;F45</f>
        <v>auto|Oklahoma City|scenario A (age 16)|female</v>
      </c>
      <c r="J45" s="34" t="n">
        <f aca="false" t="array" ref="J45:J45">MEDIAN(IF($I$4:$I$1803=I45,$H$4:$H$1803))</f>
        <v>6710</v>
      </c>
      <c r="K45" s="59" t="n">
        <f aca="false">H45/J45</f>
        <v>1.23338301043219</v>
      </c>
    </row>
    <row r="46" customFormat="false" ht="15" hidden="false" customHeight="false" outlineLevel="0" collapsed="false">
      <c r="A46" s="39" t="s">
        <v>879</v>
      </c>
      <c r="B46" s="39" t="s">
        <v>880</v>
      </c>
      <c r="C46" s="39" t="s">
        <v>892</v>
      </c>
      <c r="D46" s="39" t="s">
        <v>885</v>
      </c>
      <c r="E46" s="39" t="s">
        <v>883</v>
      </c>
      <c r="F46" s="39"/>
      <c r="G46" s="58" t="n">
        <v>3060</v>
      </c>
      <c r="H46" s="34" t="n">
        <f aca="false">G46*2</f>
        <v>6120</v>
      </c>
      <c r="I46" s="39" t="str">
        <f aca="false">A46&amp;"|"&amp;B46&amp;"|"&amp;D46&amp;"|"&amp;E46&amp;F46</f>
        <v>auto|Oklahoma City|scenario B (age 21)|male</v>
      </c>
      <c r="J46" s="34" t="n">
        <f aca="false" t="array" ref="J46:J46">MEDIAN(IF($I$4:$I$1803=I46,$H$4:$H$1803))</f>
        <v>3517</v>
      </c>
      <c r="K46" s="59" t="n">
        <f aca="false">H46/J46</f>
        <v>1.74011941996019</v>
      </c>
    </row>
    <row r="47" customFormat="false" ht="15" hidden="false" customHeight="false" outlineLevel="0" collapsed="false">
      <c r="A47" s="39" t="s">
        <v>879</v>
      </c>
      <c r="B47" s="39" t="s">
        <v>880</v>
      </c>
      <c r="C47" s="39" t="s">
        <v>892</v>
      </c>
      <c r="D47" s="39" t="s">
        <v>885</v>
      </c>
      <c r="E47" s="39" t="s">
        <v>884</v>
      </c>
      <c r="F47" s="39"/>
      <c r="G47" s="58" t="n">
        <v>2760</v>
      </c>
      <c r="H47" s="34" t="n">
        <f aca="false">G47*2</f>
        <v>5520</v>
      </c>
      <c r="I47" s="39" t="str">
        <f aca="false">A47&amp;"|"&amp;B47&amp;"|"&amp;D47&amp;"|"&amp;E47&amp;F47</f>
        <v>auto|Oklahoma City|scenario B (age 21)|female</v>
      </c>
      <c r="J47" s="34" t="n">
        <f aca="false" t="array" ref="J47:J47">MEDIAN(IF($I$4:$I$1803=I47,$H$4:$H$1803))</f>
        <v>3138</v>
      </c>
      <c r="K47" s="59" t="n">
        <f aca="false">H47/J47</f>
        <v>1.75908221797323</v>
      </c>
    </row>
    <row r="48" customFormat="false" ht="15" hidden="false" customHeight="false" outlineLevel="0" collapsed="false">
      <c r="A48" s="39" t="s">
        <v>879</v>
      </c>
      <c r="B48" s="39" t="s">
        <v>880</v>
      </c>
      <c r="C48" s="39" t="s">
        <v>892</v>
      </c>
      <c r="D48" s="39" t="s">
        <v>886</v>
      </c>
      <c r="E48" s="39" t="s">
        <v>883</v>
      </c>
      <c r="F48" s="39"/>
      <c r="G48" s="58" t="n">
        <v>1686</v>
      </c>
      <c r="H48" s="34" t="n">
        <f aca="false">G48*2</f>
        <v>3372</v>
      </c>
      <c r="I48" s="39" t="str">
        <f aca="false">A48&amp;"|"&amp;B48&amp;"|"&amp;D48&amp;"|"&amp;E48&amp;F48</f>
        <v>auto|Oklahoma City|scenario C (age 36)|male</v>
      </c>
      <c r="J48" s="34" t="n">
        <f aca="false" t="array" ref="J48:J48">MEDIAN(IF($I$4:$I$1803=I48,$H$4:$H$1803))</f>
        <v>2128</v>
      </c>
      <c r="K48" s="59" t="n">
        <f aca="false">H48/J48</f>
        <v>1.58458646616541</v>
      </c>
    </row>
    <row r="49" customFormat="false" ht="15" hidden="false" customHeight="false" outlineLevel="0" collapsed="false">
      <c r="A49" s="39" t="s">
        <v>879</v>
      </c>
      <c r="B49" s="39" t="s">
        <v>880</v>
      </c>
      <c r="C49" s="39" t="s">
        <v>892</v>
      </c>
      <c r="D49" s="39" t="s">
        <v>886</v>
      </c>
      <c r="E49" s="39" t="s">
        <v>884</v>
      </c>
      <c r="F49" s="39"/>
      <c r="G49" s="58" t="n">
        <v>1639</v>
      </c>
      <c r="H49" s="34" t="n">
        <f aca="false">G49*2</f>
        <v>3278</v>
      </c>
      <c r="I49" s="39" t="str">
        <f aca="false">A49&amp;"|"&amp;B49&amp;"|"&amp;D49&amp;"|"&amp;E49&amp;F49</f>
        <v>auto|Oklahoma City|scenario C (age 36)|female</v>
      </c>
      <c r="J49" s="34" t="n">
        <f aca="false" t="array" ref="J49:J49">MEDIAN(IF($I$4:$I$1803=I49,$H$4:$H$1803))</f>
        <v>2026</v>
      </c>
      <c r="K49" s="59" t="n">
        <f aca="false">H49/J49</f>
        <v>1.61796643632774</v>
      </c>
    </row>
    <row r="50" customFormat="false" ht="15" hidden="false" customHeight="false" outlineLevel="0" collapsed="false">
      <c r="A50" s="39" t="s">
        <v>879</v>
      </c>
      <c r="B50" s="39" t="s">
        <v>880</v>
      </c>
      <c r="C50" s="39" t="s">
        <v>892</v>
      </c>
      <c r="D50" s="39" t="s">
        <v>887</v>
      </c>
      <c r="E50" s="39" t="s">
        <v>883</v>
      </c>
      <c r="F50" s="39"/>
      <c r="G50" s="58" t="n">
        <v>1574</v>
      </c>
      <c r="H50" s="34" t="n">
        <f aca="false">G50*2</f>
        <v>3148</v>
      </c>
      <c r="I50" s="39" t="str">
        <f aca="false">A50&amp;"|"&amp;B50&amp;"|"&amp;D50&amp;"|"&amp;E50&amp;F50</f>
        <v>auto|Oklahoma City|scenario D (age 55)|male</v>
      </c>
      <c r="J50" s="34" t="n">
        <f aca="false" t="array" ref="J50:J50">MEDIAN(IF($I$4:$I$1803=I50,$H$4:$H$1803))</f>
        <v>1762</v>
      </c>
      <c r="K50" s="59" t="n">
        <f aca="false">H50/J50</f>
        <v>1.78660612939841</v>
      </c>
    </row>
    <row r="51" customFormat="false" ht="15" hidden="false" customHeight="false" outlineLevel="0" collapsed="false">
      <c r="A51" s="39" t="s">
        <v>879</v>
      </c>
      <c r="B51" s="39" t="s">
        <v>880</v>
      </c>
      <c r="C51" s="39" t="s">
        <v>892</v>
      </c>
      <c r="D51" s="39" t="s">
        <v>887</v>
      </c>
      <c r="E51" s="39" t="s">
        <v>884</v>
      </c>
      <c r="F51" s="39"/>
      <c r="G51" s="58" t="n">
        <v>1633</v>
      </c>
      <c r="H51" s="34" t="n">
        <f aca="false">G51*2</f>
        <v>3266</v>
      </c>
      <c r="I51" s="39" t="str">
        <f aca="false">A51&amp;"|"&amp;B51&amp;"|"&amp;D51&amp;"|"&amp;E51&amp;F51</f>
        <v>auto|Oklahoma City|scenario D (age 55)|female</v>
      </c>
      <c r="J51" s="34" t="n">
        <f aca="false" t="array" ref="J51:J51">MEDIAN(IF($I$4:$I$1803=I51,$H$4:$H$1803))</f>
        <v>1664</v>
      </c>
      <c r="K51" s="59" t="n">
        <f aca="false">H51/J51</f>
        <v>1.96274038461538</v>
      </c>
    </row>
    <row r="52" customFormat="false" ht="15" hidden="false" customHeight="false" outlineLevel="0" collapsed="false">
      <c r="A52" s="39" t="s">
        <v>879</v>
      </c>
      <c r="B52" s="39" t="s">
        <v>880</v>
      </c>
      <c r="C52" s="39" t="s">
        <v>892</v>
      </c>
      <c r="D52" s="39" t="s">
        <v>888</v>
      </c>
      <c r="E52" s="39" t="s">
        <v>883</v>
      </c>
      <c r="F52" s="39"/>
      <c r="G52" s="58" t="n">
        <v>1979</v>
      </c>
      <c r="H52" s="34" t="n">
        <f aca="false">G52*2</f>
        <v>3958</v>
      </c>
      <c r="I52" s="39" t="str">
        <f aca="false">A52&amp;"|"&amp;B52&amp;"|"&amp;D52&amp;"|"&amp;E52&amp;F52</f>
        <v>auto|Oklahoma City|scenario E (age 70)|male</v>
      </c>
      <c r="J52" s="34" t="n">
        <f aca="false" t="array" ref="J52:J52">MEDIAN(IF($I$4:$I$1803=I52,$H$4:$H$1803))</f>
        <v>1649</v>
      </c>
      <c r="K52" s="59" t="n">
        <f aca="false">H52/J52</f>
        <v>2.40024257125531</v>
      </c>
    </row>
    <row r="53" customFormat="false" ht="15" hidden="false" customHeight="false" outlineLevel="0" collapsed="false">
      <c r="A53" s="39" t="s">
        <v>879</v>
      </c>
      <c r="B53" s="39" t="s">
        <v>880</v>
      </c>
      <c r="C53" s="39" t="s">
        <v>892</v>
      </c>
      <c r="D53" s="39" t="s">
        <v>888</v>
      </c>
      <c r="E53" s="39" t="s">
        <v>884</v>
      </c>
      <c r="F53" s="39"/>
      <c r="G53" s="58" t="n">
        <v>1925</v>
      </c>
      <c r="H53" s="34" t="n">
        <f aca="false">G53*2</f>
        <v>3850</v>
      </c>
      <c r="I53" s="39" t="str">
        <f aca="false">A53&amp;"|"&amp;B53&amp;"|"&amp;D53&amp;"|"&amp;E53&amp;F53</f>
        <v>auto|Oklahoma City|scenario E (age 70)|female</v>
      </c>
      <c r="J53" s="34" t="n">
        <f aca="false" t="array" ref="J53:J53">MEDIAN(IF($I$4:$I$1803=I53,$H$4:$H$1803))</f>
        <v>1664</v>
      </c>
      <c r="K53" s="59" t="n">
        <f aca="false">H53/J53</f>
        <v>2.31370192307692</v>
      </c>
    </row>
    <row r="54" customFormat="false" ht="15" hidden="false" customHeight="false" outlineLevel="0" collapsed="false">
      <c r="A54" s="39" t="s">
        <v>879</v>
      </c>
      <c r="B54" s="39" t="s">
        <v>880</v>
      </c>
      <c r="C54" s="39" t="s">
        <v>893</v>
      </c>
      <c r="D54" s="39" t="s">
        <v>882</v>
      </c>
      <c r="E54" s="39" t="s">
        <v>883</v>
      </c>
      <c r="F54" s="39"/>
      <c r="G54" s="58" t="n">
        <v>4365</v>
      </c>
      <c r="H54" s="34" t="n">
        <f aca="false">G54*2</f>
        <v>8730</v>
      </c>
      <c r="I54" s="39" t="str">
        <f aca="false">A54&amp;"|"&amp;B54&amp;"|"&amp;D54&amp;"|"&amp;E54&amp;F54</f>
        <v>auto|Oklahoma City|scenario A (age 16)|male</v>
      </c>
      <c r="J54" s="34" t="n">
        <f aca="false" t="array" ref="J54:J54">MEDIAN(IF($I$4:$I$1803=I54,$H$4:$H$1803))</f>
        <v>8358</v>
      </c>
      <c r="K54" s="59" t="n">
        <f aca="false">H54/J54</f>
        <v>1.04450825556353</v>
      </c>
    </row>
    <row r="55" customFormat="false" ht="15" hidden="false" customHeight="false" outlineLevel="0" collapsed="false">
      <c r="A55" s="39" t="s">
        <v>879</v>
      </c>
      <c r="B55" s="39" t="s">
        <v>880</v>
      </c>
      <c r="C55" s="39" t="s">
        <v>893</v>
      </c>
      <c r="D55" s="39" t="s">
        <v>882</v>
      </c>
      <c r="E55" s="39" t="s">
        <v>884</v>
      </c>
      <c r="F55" s="39"/>
      <c r="G55" s="58" t="n">
        <v>3367</v>
      </c>
      <c r="H55" s="34" t="n">
        <f aca="false">G55*2</f>
        <v>6734</v>
      </c>
      <c r="I55" s="39" t="str">
        <f aca="false">A55&amp;"|"&amp;B55&amp;"|"&amp;D55&amp;"|"&amp;E55&amp;F55</f>
        <v>auto|Oklahoma City|scenario A (age 16)|female</v>
      </c>
      <c r="J55" s="34" t="n">
        <f aca="false" t="array" ref="J55:J55">MEDIAN(IF($I$4:$I$1803=I55,$H$4:$H$1803))</f>
        <v>6710</v>
      </c>
      <c r="K55" s="59" t="n">
        <f aca="false">H55/J55</f>
        <v>1.00357675111773</v>
      </c>
    </row>
    <row r="56" customFormat="false" ht="15" hidden="false" customHeight="false" outlineLevel="0" collapsed="false">
      <c r="A56" s="39" t="s">
        <v>879</v>
      </c>
      <c r="B56" s="39" t="s">
        <v>880</v>
      </c>
      <c r="C56" s="39" t="s">
        <v>893</v>
      </c>
      <c r="D56" s="39" t="s">
        <v>885</v>
      </c>
      <c r="E56" s="39" t="s">
        <v>883</v>
      </c>
      <c r="F56" s="39"/>
      <c r="G56" s="58" t="n">
        <v>1825</v>
      </c>
      <c r="H56" s="34" t="n">
        <f aca="false">G56*2</f>
        <v>3650</v>
      </c>
      <c r="I56" s="39" t="str">
        <f aca="false">A56&amp;"|"&amp;B56&amp;"|"&amp;D56&amp;"|"&amp;E56&amp;F56</f>
        <v>auto|Oklahoma City|scenario B (age 21)|male</v>
      </c>
      <c r="J56" s="34" t="n">
        <f aca="false" t="array" ref="J56:J56">MEDIAN(IF($I$4:$I$1803=I56,$H$4:$H$1803))</f>
        <v>3517</v>
      </c>
      <c r="K56" s="59" t="n">
        <f aca="false">H56/J56</f>
        <v>1.03781632072789</v>
      </c>
    </row>
    <row r="57" customFormat="false" ht="15" hidden="false" customHeight="false" outlineLevel="0" collapsed="false">
      <c r="A57" s="39" t="s">
        <v>879</v>
      </c>
      <c r="B57" s="39" t="s">
        <v>880</v>
      </c>
      <c r="C57" s="39" t="s">
        <v>893</v>
      </c>
      <c r="D57" s="39" t="s">
        <v>885</v>
      </c>
      <c r="E57" s="39" t="s">
        <v>884</v>
      </c>
      <c r="F57" s="39"/>
      <c r="G57" s="58" t="n">
        <v>1552</v>
      </c>
      <c r="H57" s="34" t="n">
        <f aca="false">G57*2</f>
        <v>3104</v>
      </c>
      <c r="I57" s="39" t="str">
        <f aca="false">A57&amp;"|"&amp;B57&amp;"|"&amp;D57&amp;"|"&amp;E57&amp;F57</f>
        <v>auto|Oklahoma City|scenario B (age 21)|female</v>
      </c>
      <c r="J57" s="34" t="n">
        <f aca="false" t="array" ref="J57:J57">MEDIAN(IF($I$4:$I$1803=I57,$H$4:$H$1803))</f>
        <v>3138</v>
      </c>
      <c r="K57" s="59" t="n">
        <f aca="false">H57/J57</f>
        <v>0.989165073295092</v>
      </c>
    </row>
    <row r="58" customFormat="false" ht="15" hidden="false" customHeight="false" outlineLevel="0" collapsed="false">
      <c r="A58" s="39" t="s">
        <v>879</v>
      </c>
      <c r="B58" s="39" t="s">
        <v>880</v>
      </c>
      <c r="C58" s="39" t="s">
        <v>893</v>
      </c>
      <c r="D58" s="39" t="s">
        <v>886</v>
      </c>
      <c r="E58" s="39" t="s">
        <v>883</v>
      </c>
      <c r="F58" s="39"/>
      <c r="G58" s="58" t="n">
        <v>842</v>
      </c>
      <c r="H58" s="34" t="n">
        <f aca="false">G58*2</f>
        <v>1684</v>
      </c>
      <c r="I58" s="39" t="str">
        <f aca="false">A58&amp;"|"&amp;B58&amp;"|"&amp;D58&amp;"|"&amp;E58&amp;F58</f>
        <v>auto|Oklahoma City|scenario C (age 36)|male</v>
      </c>
      <c r="J58" s="34" t="n">
        <f aca="false" t="array" ref="J58:J58">MEDIAN(IF($I$4:$I$1803=I58,$H$4:$H$1803))</f>
        <v>2128</v>
      </c>
      <c r="K58" s="59" t="n">
        <f aca="false">H58/J58</f>
        <v>0.791353383458647</v>
      </c>
    </row>
    <row r="59" customFormat="false" ht="15" hidden="false" customHeight="false" outlineLevel="0" collapsed="false">
      <c r="A59" s="39" t="s">
        <v>879</v>
      </c>
      <c r="B59" s="39" t="s">
        <v>880</v>
      </c>
      <c r="C59" s="39" t="s">
        <v>893</v>
      </c>
      <c r="D59" s="39" t="s">
        <v>886</v>
      </c>
      <c r="E59" s="39" t="s">
        <v>884</v>
      </c>
      <c r="F59" s="39"/>
      <c r="G59" s="58" t="n">
        <v>933</v>
      </c>
      <c r="H59" s="34" t="n">
        <f aca="false">G59*2</f>
        <v>1866</v>
      </c>
      <c r="I59" s="39" t="str">
        <f aca="false">A59&amp;"|"&amp;B59&amp;"|"&amp;D59&amp;"|"&amp;E59&amp;F59</f>
        <v>auto|Oklahoma City|scenario C (age 36)|female</v>
      </c>
      <c r="J59" s="34" t="n">
        <f aca="false" t="array" ref="J59:J59">MEDIAN(IF($I$4:$I$1803=I59,$H$4:$H$1803))</f>
        <v>2026</v>
      </c>
      <c r="K59" s="59" t="n">
        <f aca="false">H59/J59</f>
        <v>0.921026653504442</v>
      </c>
    </row>
    <row r="60" customFormat="false" ht="15" hidden="false" customHeight="false" outlineLevel="0" collapsed="false">
      <c r="A60" s="39" t="s">
        <v>879</v>
      </c>
      <c r="B60" s="39" t="s">
        <v>880</v>
      </c>
      <c r="C60" s="39" t="s">
        <v>893</v>
      </c>
      <c r="D60" s="39" t="s">
        <v>887</v>
      </c>
      <c r="E60" s="39" t="s">
        <v>883</v>
      </c>
      <c r="F60" s="39"/>
      <c r="G60" s="58" t="n">
        <v>737</v>
      </c>
      <c r="H60" s="34" t="n">
        <f aca="false">G60*2</f>
        <v>1474</v>
      </c>
      <c r="I60" s="39" t="str">
        <f aca="false">A60&amp;"|"&amp;B60&amp;"|"&amp;D60&amp;"|"&amp;E60&amp;F60</f>
        <v>auto|Oklahoma City|scenario D (age 55)|male</v>
      </c>
      <c r="J60" s="34" t="n">
        <f aca="false" t="array" ref="J60:J60">MEDIAN(IF($I$4:$I$1803=I60,$H$4:$H$1803))</f>
        <v>1762</v>
      </c>
      <c r="K60" s="59" t="n">
        <f aca="false">H60/J60</f>
        <v>0.836549375709421</v>
      </c>
    </row>
    <row r="61" customFormat="false" ht="15" hidden="false" customHeight="false" outlineLevel="0" collapsed="false">
      <c r="A61" s="39" t="s">
        <v>879</v>
      </c>
      <c r="B61" s="39" t="s">
        <v>880</v>
      </c>
      <c r="C61" s="39" t="s">
        <v>893</v>
      </c>
      <c r="D61" s="39" t="s">
        <v>887</v>
      </c>
      <c r="E61" s="39" t="s">
        <v>884</v>
      </c>
      <c r="F61" s="39"/>
      <c r="G61" s="58" t="n">
        <v>756</v>
      </c>
      <c r="H61" s="34" t="n">
        <f aca="false">G61*2</f>
        <v>1512</v>
      </c>
      <c r="I61" s="39" t="str">
        <f aca="false">A61&amp;"|"&amp;B61&amp;"|"&amp;D61&amp;"|"&amp;E61&amp;F61</f>
        <v>auto|Oklahoma City|scenario D (age 55)|female</v>
      </c>
      <c r="J61" s="34" t="n">
        <f aca="false" t="array" ref="J61:J61">MEDIAN(IF($I$4:$I$1803=I61,$H$4:$H$1803))</f>
        <v>1664</v>
      </c>
      <c r="K61" s="59" t="n">
        <f aca="false">H61/J61</f>
        <v>0.908653846153846</v>
      </c>
    </row>
    <row r="62" customFormat="false" ht="15" hidden="false" customHeight="false" outlineLevel="0" collapsed="false">
      <c r="A62" s="39" t="s">
        <v>879</v>
      </c>
      <c r="B62" s="39" t="s">
        <v>880</v>
      </c>
      <c r="C62" s="39" t="s">
        <v>893</v>
      </c>
      <c r="D62" s="39" t="s">
        <v>888</v>
      </c>
      <c r="E62" s="39" t="s">
        <v>883</v>
      </c>
      <c r="F62" s="39"/>
      <c r="G62" s="58" t="n">
        <v>653</v>
      </c>
      <c r="H62" s="34" t="n">
        <f aca="false">G62*2</f>
        <v>1306</v>
      </c>
      <c r="I62" s="39" t="str">
        <f aca="false">A62&amp;"|"&amp;B62&amp;"|"&amp;D62&amp;"|"&amp;E62&amp;F62</f>
        <v>auto|Oklahoma City|scenario E (age 70)|male</v>
      </c>
      <c r="J62" s="34" t="n">
        <f aca="false" t="array" ref="J62:J62">MEDIAN(IF($I$4:$I$1803=I62,$H$4:$H$1803))</f>
        <v>1649</v>
      </c>
      <c r="K62" s="59" t="n">
        <f aca="false">H62/J62</f>
        <v>0.791995148574894</v>
      </c>
    </row>
    <row r="63" customFormat="false" ht="15" hidden="false" customHeight="false" outlineLevel="0" collapsed="false">
      <c r="A63" s="39" t="s">
        <v>879</v>
      </c>
      <c r="B63" s="39" t="s">
        <v>880</v>
      </c>
      <c r="C63" s="39" t="s">
        <v>893</v>
      </c>
      <c r="D63" s="39" t="s">
        <v>888</v>
      </c>
      <c r="E63" s="39" t="s">
        <v>884</v>
      </c>
      <c r="F63" s="39"/>
      <c r="G63" s="58" t="n">
        <v>714</v>
      </c>
      <c r="H63" s="34" t="n">
        <f aca="false">G63*2</f>
        <v>1428</v>
      </c>
      <c r="I63" s="39" t="str">
        <f aca="false">A63&amp;"|"&amp;B63&amp;"|"&amp;D63&amp;"|"&amp;E63&amp;F63</f>
        <v>auto|Oklahoma City|scenario E (age 70)|female</v>
      </c>
      <c r="J63" s="34" t="n">
        <f aca="false" t="array" ref="J63:J63">MEDIAN(IF($I$4:$I$1803=I63,$H$4:$H$1803))</f>
        <v>1664</v>
      </c>
      <c r="K63" s="59" t="n">
        <f aca="false">H63/J63</f>
        <v>0.858173076923077</v>
      </c>
    </row>
    <row r="64" customFormat="false" ht="15" hidden="false" customHeight="false" outlineLevel="0" collapsed="false">
      <c r="A64" s="39" t="s">
        <v>879</v>
      </c>
      <c r="B64" s="39" t="s">
        <v>880</v>
      </c>
      <c r="C64" s="39" t="s">
        <v>894</v>
      </c>
      <c r="D64" s="39" t="s">
        <v>882</v>
      </c>
      <c r="E64" s="39" t="s">
        <v>883</v>
      </c>
      <c r="F64" s="39"/>
      <c r="G64" s="58" t="n">
        <v>3902</v>
      </c>
      <c r="H64" s="34" t="n">
        <f aca="false">G64*2</f>
        <v>7804</v>
      </c>
      <c r="I64" s="39" t="str">
        <f aca="false">A64&amp;"|"&amp;B64&amp;"|"&amp;D64&amp;"|"&amp;E64&amp;F64</f>
        <v>auto|Oklahoma City|scenario A (age 16)|male</v>
      </c>
      <c r="J64" s="34" t="n">
        <f aca="false" t="array" ref="J64:J64">MEDIAN(IF($I$4:$I$1803=I64,$H$4:$H$1803))</f>
        <v>8358</v>
      </c>
      <c r="K64" s="59" t="n">
        <f aca="false">H64/J64</f>
        <v>0.933716200047858</v>
      </c>
    </row>
    <row r="65" customFormat="false" ht="15" hidden="false" customHeight="false" outlineLevel="0" collapsed="false">
      <c r="A65" s="39" t="s">
        <v>879</v>
      </c>
      <c r="B65" s="39" t="s">
        <v>880</v>
      </c>
      <c r="C65" s="39" t="s">
        <v>894</v>
      </c>
      <c r="D65" s="39" t="s">
        <v>882</v>
      </c>
      <c r="E65" s="39" t="s">
        <v>884</v>
      </c>
      <c r="F65" s="39"/>
      <c r="G65" s="58" t="n">
        <v>3764</v>
      </c>
      <c r="H65" s="34" t="n">
        <f aca="false">G65*2</f>
        <v>7528</v>
      </c>
      <c r="I65" s="39" t="str">
        <f aca="false">A65&amp;"|"&amp;B65&amp;"|"&amp;D65&amp;"|"&amp;E65&amp;F65</f>
        <v>auto|Oklahoma City|scenario A (age 16)|female</v>
      </c>
      <c r="J65" s="34" t="n">
        <f aca="false" t="array" ref="J65:J65">MEDIAN(IF($I$4:$I$1803=I65,$H$4:$H$1803))</f>
        <v>6710</v>
      </c>
      <c r="K65" s="59" t="n">
        <f aca="false">H65/J65</f>
        <v>1.12190760059613</v>
      </c>
    </row>
    <row r="66" customFormat="false" ht="15" hidden="false" customHeight="false" outlineLevel="0" collapsed="false">
      <c r="A66" s="39" t="s">
        <v>879</v>
      </c>
      <c r="B66" s="39" t="s">
        <v>880</v>
      </c>
      <c r="C66" s="39" t="s">
        <v>894</v>
      </c>
      <c r="D66" s="39" t="s">
        <v>885</v>
      </c>
      <c r="E66" s="39" t="s">
        <v>883</v>
      </c>
      <c r="F66" s="39"/>
      <c r="G66" s="58" t="n">
        <v>1414</v>
      </c>
      <c r="H66" s="34" t="n">
        <f aca="false">G66*2</f>
        <v>2828</v>
      </c>
      <c r="I66" s="39" t="str">
        <f aca="false">A66&amp;"|"&amp;B66&amp;"|"&amp;D66&amp;"|"&amp;E66&amp;F66</f>
        <v>auto|Oklahoma City|scenario B (age 21)|male</v>
      </c>
      <c r="J66" s="34" t="n">
        <f aca="false" t="array" ref="J66:J66">MEDIAN(IF($I$4:$I$1803=I66,$H$4:$H$1803))</f>
        <v>3517</v>
      </c>
      <c r="K66" s="59" t="n">
        <f aca="false">H66/J66</f>
        <v>0.804094398635201</v>
      </c>
    </row>
    <row r="67" customFormat="false" ht="15" hidden="false" customHeight="false" outlineLevel="0" collapsed="false">
      <c r="A67" s="39" t="s">
        <v>879</v>
      </c>
      <c r="B67" s="39" t="s">
        <v>880</v>
      </c>
      <c r="C67" s="39" t="s">
        <v>894</v>
      </c>
      <c r="D67" s="39" t="s">
        <v>885</v>
      </c>
      <c r="E67" s="39" t="s">
        <v>884</v>
      </c>
      <c r="F67" s="39"/>
      <c r="G67" s="58" t="n">
        <v>1364</v>
      </c>
      <c r="H67" s="34" t="n">
        <f aca="false">G67*2</f>
        <v>2728</v>
      </c>
      <c r="I67" s="39" t="str">
        <f aca="false">A67&amp;"|"&amp;B67&amp;"|"&amp;D67&amp;"|"&amp;E67&amp;F67</f>
        <v>auto|Oklahoma City|scenario B (age 21)|female</v>
      </c>
      <c r="J67" s="34" t="n">
        <f aca="false" t="array" ref="J67:J67">MEDIAN(IF($I$4:$I$1803=I67,$H$4:$H$1803))</f>
        <v>3138</v>
      </c>
      <c r="K67" s="59" t="n">
        <f aca="false">H67/J67</f>
        <v>0.869343530911409</v>
      </c>
    </row>
    <row r="68" customFormat="false" ht="15" hidden="false" customHeight="false" outlineLevel="0" collapsed="false">
      <c r="A68" s="39" t="s">
        <v>879</v>
      </c>
      <c r="B68" s="39" t="s">
        <v>880</v>
      </c>
      <c r="C68" s="39" t="s">
        <v>894</v>
      </c>
      <c r="D68" s="39" t="s">
        <v>886</v>
      </c>
      <c r="E68" s="39" t="s">
        <v>883</v>
      </c>
      <c r="F68" s="39"/>
      <c r="G68" s="58" t="n">
        <v>786</v>
      </c>
      <c r="H68" s="34" t="n">
        <f aca="false">G68*2</f>
        <v>1572</v>
      </c>
      <c r="I68" s="39" t="str">
        <f aca="false">A68&amp;"|"&amp;B68&amp;"|"&amp;D68&amp;"|"&amp;E68&amp;F68</f>
        <v>auto|Oklahoma City|scenario C (age 36)|male</v>
      </c>
      <c r="J68" s="34" t="n">
        <f aca="false" t="array" ref="J68:J68">MEDIAN(IF($I$4:$I$1803=I68,$H$4:$H$1803))</f>
        <v>2128</v>
      </c>
      <c r="K68" s="59" t="n">
        <f aca="false">H68/J68</f>
        <v>0.738721804511278</v>
      </c>
    </row>
    <row r="69" customFormat="false" ht="15" hidden="false" customHeight="false" outlineLevel="0" collapsed="false">
      <c r="A69" s="39" t="s">
        <v>879</v>
      </c>
      <c r="B69" s="39" t="s">
        <v>880</v>
      </c>
      <c r="C69" s="39" t="s">
        <v>894</v>
      </c>
      <c r="D69" s="39" t="s">
        <v>886</v>
      </c>
      <c r="E69" s="39" t="s">
        <v>884</v>
      </c>
      <c r="F69" s="39"/>
      <c r="G69" s="58" t="n">
        <v>769</v>
      </c>
      <c r="H69" s="34" t="n">
        <f aca="false">G69*2</f>
        <v>1538</v>
      </c>
      <c r="I69" s="39" t="str">
        <f aca="false">A69&amp;"|"&amp;B69&amp;"|"&amp;D69&amp;"|"&amp;E69&amp;F69</f>
        <v>auto|Oklahoma City|scenario C (age 36)|female</v>
      </c>
      <c r="J69" s="34" t="n">
        <f aca="false" t="array" ref="J69:J69">MEDIAN(IF($I$4:$I$1803=I69,$H$4:$H$1803))</f>
        <v>2026</v>
      </c>
      <c r="K69" s="59" t="n">
        <f aca="false">H69/J69</f>
        <v>0.759131293188549</v>
      </c>
    </row>
    <row r="70" customFormat="false" ht="15" hidden="false" customHeight="false" outlineLevel="0" collapsed="false">
      <c r="A70" s="39" t="s">
        <v>879</v>
      </c>
      <c r="B70" s="39" t="s">
        <v>880</v>
      </c>
      <c r="C70" s="39" t="s">
        <v>894</v>
      </c>
      <c r="D70" s="39" t="s">
        <v>887</v>
      </c>
      <c r="E70" s="39" t="s">
        <v>883</v>
      </c>
      <c r="F70" s="39"/>
      <c r="G70" s="58" t="n">
        <v>699</v>
      </c>
      <c r="H70" s="34" t="n">
        <f aca="false">G70*2</f>
        <v>1398</v>
      </c>
      <c r="I70" s="39" t="str">
        <f aca="false">A70&amp;"|"&amp;B70&amp;"|"&amp;D70&amp;"|"&amp;E70&amp;F70</f>
        <v>auto|Oklahoma City|scenario D (age 55)|male</v>
      </c>
      <c r="J70" s="34" t="n">
        <f aca="false" t="array" ref="J70:J70">MEDIAN(IF($I$4:$I$1803=I70,$H$4:$H$1803))</f>
        <v>1762</v>
      </c>
      <c r="K70" s="59" t="n">
        <f aca="false">H70/J70</f>
        <v>0.793416572077185</v>
      </c>
    </row>
    <row r="71" customFormat="false" ht="15" hidden="false" customHeight="false" outlineLevel="0" collapsed="false">
      <c r="A71" s="39" t="s">
        <v>879</v>
      </c>
      <c r="B71" s="39" t="s">
        <v>880</v>
      </c>
      <c r="C71" s="39" t="s">
        <v>894</v>
      </c>
      <c r="D71" s="39" t="s">
        <v>887</v>
      </c>
      <c r="E71" s="39" t="s">
        <v>884</v>
      </c>
      <c r="F71" s="39"/>
      <c r="G71" s="58" t="n">
        <v>696</v>
      </c>
      <c r="H71" s="34" t="n">
        <f aca="false">G71*2</f>
        <v>1392</v>
      </c>
      <c r="I71" s="39" t="str">
        <f aca="false">A71&amp;"|"&amp;B71&amp;"|"&amp;D71&amp;"|"&amp;E71&amp;F71</f>
        <v>auto|Oklahoma City|scenario D (age 55)|female</v>
      </c>
      <c r="J71" s="34" t="n">
        <f aca="false" t="array" ref="J71:J71">MEDIAN(IF($I$4:$I$1803=I71,$H$4:$H$1803))</f>
        <v>1664</v>
      </c>
      <c r="K71" s="59" t="n">
        <f aca="false">H71/J71</f>
        <v>0.836538461538462</v>
      </c>
    </row>
    <row r="72" customFormat="false" ht="15" hidden="false" customHeight="false" outlineLevel="0" collapsed="false">
      <c r="A72" s="39" t="s">
        <v>879</v>
      </c>
      <c r="B72" s="39" t="s">
        <v>880</v>
      </c>
      <c r="C72" s="39" t="s">
        <v>894</v>
      </c>
      <c r="D72" s="39" t="s">
        <v>888</v>
      </c>
      <c r="E72" s="39" t="s">
        <v>883</v>
      </c>
      <c r="F72" s="39"/>
      <c r="G72" s="58" t="n">
        <v>715</v>
      </c>
      <c r="H72" s="34" t="n">
        <f aca="false">G72*2</f>
        <v>1430</v>
      </c>
      <c r="I72" s="39" t="str">
        <f aca="false">A72&amp;"|"&amp;B72&amp;"|"&amp;D72&amp;"|"&amp;E72&amp;F72</f>
        <v>auto|Oklahoma City|scenario E (age 70)|male</v>
      </c>
      <c r="J72" s="34" t="n">
        <f aca="false" t="array" ref="J72:J72">MEDIAN(IF($I$4:$I$1803=I72,$H$4:$H$1803))</f>
        <v>1649</v>
      </c>
      <c r="K72" s="59" t="n">
        <f aca="false">H72/J72</f>
        <v>0.86719223771983</v>
      </c>
    </row>
    <row r="73" customFormat="false" ht="15" hidden="false" customHeight="false" outlineLevel="0" collapsed="false">
      <c r="A73" s="39" t="s">
        <v>879</v>
      </c>
      <c r="B73" s="39" t="s">
        <v>880</v>
      </c>
      <c r="C73" s="39" t="s">
        <v>894</v>
      </c>
      <c r="D73" s="39" t="s">
        <v>888</v>
      </c>
      <c r="E73" s="39" t="s">
        <v>884</v>
      </c>
      <c r="F73" s="39"/>
      <c r="G73" s="58" t="n">
        <v>719</v>
      </c>
      <c r="H73" s="34" t="n">
        <f aca="false">G73*2</f>
        <v>1438</v>
      </c>
      <c r="I73" s="39" t="str">
        <f aca="false">A73&amp;"|"&amp;B73&amp;"|"&amp;D73&amp;"|"&amp;E73&amp;F73</f>
        <v>auto|Oklahoma City|scenario E (age 70)|female</v>
      </c>
      <c r="J73" s="34" t="n">
        <f aca="false" t="array" ref="J73:J73">MEDIAN(IF($I$4:$I$1803=I73,$H$4:$H$1803))</f>
        <v>1664</v>
      </c>
      <c r="K73" s="59" t="n">
        <f aca="false">H73/J73</f>
        <v>0.864182692307692</v>
      </c>
    </row>
    <row r="74" customFormat="false" ht="15" hidden="false" customHeight="false" outlineLevel="0" collapsed="false">
      <c r="A74" s="39" t="s">
        <v>879</v>
      </c>
      <c r="B74" s="39" t="s">
        <v>880</v>
      </c>
      <c r="C74" s="39" t="s">
        <v>895</v>
      </c>
      <c r="D74" s="39" t="s">
        <v>882</v>
      </c>
      <c r="E74" s="39" t="s">
        <v>883</v>
      </c>
      <c r="F74" s="39"/>
      <c r="G74" s="58" t="n">
        <v>2065</v>
      </c>
      <c r="H74" s="34" t="n">
        <f aca="false">G74*2</f>
        <v>4130</v>
      </c>
      <c r="I74" s="39" t="str">
        <f aca="false">A74&amp;"|"&amp;B74&amp;"|"&amp;D74&amp;"|"&amp;E74&amp;F74</f>
        <v>auto|Oklahoma City|scenario A (age 16)|male</v>
      </c>
      <c r="J74" s="34" t="n">
        <f aca="false" t="array" ref="J74:J74">MEDIAN(IF($I$4:$I$1803=I74,$H$4:$H$1803))</f>
        <v>8358</v>
      </c>
      <c r="K74" s="59" t="n">
        <f aca="false">H74/J74</f>
        <v>0.494137353433836</v>
      </c>
    </row>
    <row r="75" customFormat="false" ht="15" hidden="false" customHeight="false" outlineLevel="0" collapsed="false">
      <c r="A75" s="39" t="s">
        <v>879</v>
      </c>
      <c r="B75" s="39" t="s">
        <v>880</v>
      </c>
      <c r="C75" s="39" t="s">
        <v>895</v>
      </c>
      <c r="D75" s="39" t="s">
        <v>882</v>
      </c>
      <c r="E75" s="39" t="s">
        <v>884</v>
      </c>
      <c r="F75" s="39"/>
      <c r="G75" s="58" t="n">
        <v>2101</v>
      </c>
      <c r="H75" s="34" t="n">
        <f aca="false">G75*2</f>
        <v>4202</v>
      </c>
      <c r="I75" s="39" t="str">
        <f aca="false">A75&amp;"|"&amp;B75&amp;"|"&amp;D75&amp;"|"&amp;E75&amp;F75</f>
        <v>auto|Oklahoma City|scenario A (age 16)|female</v>
      </c>
      <c r="J75" s="34" t="n">
        <f aca="false" t="array" ref="J75:J75">MEDIAN(IF($I$4:$I$1803=I75,$H$4:$H$1803))</f>
        <v>6710</v>
      </c>
      <c r="K75" s="59" t="n">
        <f aca="false">H75/J75</f>
        <v>0.626229508196721</v>
      </c>
    </row>
    <row r="76" customFormat="false" ht="15" hidden="false" customHeight="false" outlineLevel="0" collapsed="false">
      <c r="A76" s="39" t="s">
        <v>879</v>
      </c>
      <c r="B76" s="39" t="s">
        <v>880</v>
      </c>
      <c r="C76" s="39" t="s">
        <v>895</v>
      </c>
      <c r="D76" s="39" t="s">
        <v>885</v>
      </c>
      <c r="E76" s="39" t="s">
        <v>883</v>
      </c>
      <c r="F76" s="39"/>
      <c r="G76" s="58" t="n">
        <v>649</v>
      </c>
      <c r="H76" s="34" t="n">
        <f aca="false">G76*2</f>
        <v>1298</v>
      </c>
      <c r="I76" s="39" t="str">
        <f aca="false">A76&amp;"|"&amp;B76&amp;"|"&amp;D76&amp;"|"&amp;E76&amp;F76</f>
        <v>auto|Oklahoma City|scenario B (age 21)|male</v>
      </c>
      <c r="J76" s="34" t="n">
        <f aca="false" t="array" ref="J76:J76">MEDIAN(IF($I$4:$I$1803=I76,$H$4:$H$1803))</f>
        <v>3517</v>
      </c>
      <c r="K76" s="59" t="n">
        <f aca="false">H76/J76</f>
        <v>0.369064543645152</v>
      </c>
    </row>
    <row r="77" customFormat="false" ht="15" hidden="false" customHeight="false" outlineLevel="0" collapsed="false">
      <c r="A77" s="39" t="s">
        <v>879</v>
      </c>
      <c r="B77" s="39" t="s">
        <v>880</v>
      </c>
      <c r="C77" s="39" t="s">
        <v>895</v>
      </c>
      <c r="D77" s="39" t="s">
        <v>885</v>
      </c>
      <c r="E77" s="39" t="s">
        <v>884</v>
      </c>
      <c r="F77" s="39"/>
      <c r="G77" s="58" t="n">
        <v>660</v>
      </c>
      <c r="H77" s="34" t="n">
        <f aca="false">G77*2</f>
        <v>1320</v>
      </c>
      <c r="I77" s="39" t="str">
        <f aca="false">A77&amp;"|"&amp;B77&amp;"|"&amp;D77&amp;"|"&amp;E77&amp;F77</f>
        <v>auto|Oklahoma City|scenario B (age 21)|female</v>
      </c>
      <c r="J77" s="34" t="n">
        <f aca="false" t="array" ref="J77:J77">MEDIAN(IF($I$4:$I$1803=I77,$H$4:$H$1803))</f>
        <v>3138</v>
      </c>
      <c r="K77" s="59" t="n">
        <f aca="false">H77/J77</f>
        <v>0.420650095602294</v>
      </c>
    </row>
    <row r="78" customFormat="false" ht="15" hidden="false" customHeight="false" outlineLevel="0" collapsed="false">
      <c r="A78" s="39" t="s">
        <v>879</v>
      </c>
      <c r="B78" s="39" t="s">
        <v>880</v>
      </c>
      <c r="C78" s="39" t="s">
        <v>895</v>
      </c>
      <c r="D78" s="39" t="s">
        <v>886</v>
      </c>
      <c r="E78" s="39" t="s">
        <v>883</v>
      </c>
      <c r="F78" s="39"/>
      <c r="G78" s="58" t="n">
        <v>391</v>
      </c>
      <c r="H78" s="34" t="n">
        <f aca="false">G78*2</f>
        <v>782</v>
      </c>
      <c r="I78" s="39" t="str">
        <f aca="false">A78&amp;"|"&amp;B78&amp;"|"&amp;D78&amp;"|"&amp;E78&amp;F78</f>
        <v>auto|Oklahoma City|scenario C (age 36)|male</v>
      </c>
      <c r="J78" s="34" t="n">
        <f aca="false" t="array" ref="J78:J78">MEDIAN(IF($I$4:$I$1803=I78,$H$4:$H$1803))</f>
        <v>2128</v>
      </c>
      <c r="K78" s="59" t="n">
        <f aca="false">H78/J78</f>
        <v>0.367481203007519</v>
      </c>
    </row>
    <row r="79" customFormat="false" ht="15" hidden="false" customHeight="false" outlineLevel="0" collapsed="false">
      <c r="A79" s="39" t="s">
        <v>879</v>
      </c>
      <c r="B79" s="39" t="s">
        <v>880</v>
      </c>
      <c r="C79" s="39" t="s">
        <v>895</v>
      </c>
      <c r="D79" s="39" t="s">
        <v>886</v>
      </c>
      <c r="E79" s="39" t="s">
        <v>884</v>
      </c>
      <c r="F79" s="39"/>
      <c r="G79" s="58" t="n">
        <v>391</v>
      </c>
      <c r="H79" s="34" t="n">
        <f aca="false">G79*2</f>
        <v>782</v>
      </c>
      <c r="I79" s="39" t="str">
        <f aca="false">A79&amp;"|"&amp;B79&amp;"|"&amp;D79&amp;"|"&amp;E79&amp;F79</f>
        <v>auto|Oklahoma City|scenario C (age 36)|female</v>
      </c>
      <c r="J79" s="34" t="n">
        <f aca="false" t="array" ref="J79:J79">MEDIAN(IF($I$4:$I$1803=I79,$H$4:$H$1803))</f>
        <v>2026</v>
      </c>
      <c r="K79" s="59" t="n">
        <f aca="false">H79/J79</f>
        <v>0.385982230997039</v>
      </c>
    </row>
    <row r="80" customFormat="false" ht="15" hidden="false" customHeight="false" outlineLevel="0" collapsed="false">
      <c r="A80" s="39" t="s">
        <v>879</v>
      </c>
      <c r="B80" s="39" t="s">
        <v>880</v>
      </c>
      <c r="C80" s="39" t="s">
        <v>895</v>
      </c>
      <c r="D80" s="39" t="s">
        <v>887</v>
      </c>
      <c r="E80" s="39" t="s">
        <v>883</v>
      </c>
      <c r="F80" s="39"/>
      <c r="G80" s="58" t="n">
        <v>371</v>
      </c>
      <c r="H80" s="34" t="n">
        <f aca="false">G80*2</f>
        <v>742</v>
      </c>
      <c r="I80" s="39" t="str">
        <f aca="false">A80&amp;"|"&amp;B80&amp;"|"&amp;D80&amp;"|"&amp;E80&amp;F80</f>
        <v>auto|Oklahoma City|scenario D (age 55)|male</v>
      </c>
      <c r="J80" s="34" t="n">
        <f aca="false" t="array" ref="J80:J80">MEDIAN(IF($I$4:$I$1803=I80,$H$4:$H$1803))</f>
        <v>1762</v>
      </c>
      <c r="K80" s="59" t="n">
        <f aca="false">H80/J80</f>
        <v>0.4211123723042</v>
      </c>
    </row>
    <row r="81" customFormat="false" ht="15" hidden="false" customHeight="false" outlineLevel="0" collapsed="false">
      <c r="A81" s="39" t="s">
        <v>879</v>
      </c>
      <c r="B81" s="39" t="s">
        <v>880</v>
      </c>
      <c r="C81" s="39" t="s">
        <v>895</v>
      </c>
      <c r="D81" s="39" t="s">
        <v>887</v>
      </c>
      <c r="E81" s="39" t="s">
        <v>884</v>
      </c>
      <c r="F81" s="39"/>
      <c r="G81" s="58" t="n">
        <v>371</v>
      </c>
      <c r="H81" s="34" t="n">
        <f aca="false">G81*2</f>
        <v>742</v>
      </c>
      <c r="I81" s="39" t="str">
        <f aca="false">A81&amp;"|"&amp;B81&amp;"|"&amp;D81&amp;"|"&amp;E81&amp;F81</f>
        <v>auto|Oklahoma City|scenario D (age 55)|female</v>
      </c>
      <c r="J81" s="34" t="n">
        <f aca="false" t="array" ref="J81:J81">MEDIAN(IF($I$4:$I$1803=I81,$H$4:$H$1803))</f>
        <v>1664</v>
      </c>
      <c r="K81" s="59" t="n">
        <f aca="false">H81/J81</f>
        <v>0.445913461538462</v>
      </c>
    </row>
    <row r="82" customFormat="false" ht="15" hidden="false" customHeight="false" outlineLevel="0" collapsed="false">
      <c r="A82" s="39" t="s">
        <v>879</v>
      </c>
      <c r="B82" s="39" t="s">
        <v>880</v>
      </c>
      <c r="C82" s="39" t="s">
        <v>895</v>
      </c>
      <c r="D82" s="39" t="s">
        <v>888</v>
      </c>
      <c r="E82" s="39" t="s">
        <v>883</v>
      </c>
      <c r="F82" s="39"/>
      <c r="G82" s="58" t="n">
        <v>392</v>
      </c>
      <c r="H82" s="34" t="n">
        <f aca="false">G82*2</f>
        <v>784</v>
      </c>
      <c r="I82" s="39" t="str">
        <f aca="false">A82&amp;"|"&amp;B82&amp;"|"&amp;D82&amp;"|"&amp;E82&amp;F82</f>
        <v>auto|Oklahoma City|scenario E (age 70)|male</v>
      </c>
      <c r="J82" s="34" t="n">
        <f aca="false" t="array" ref="J82:J82">MEDIAN(IF($I$4:$I$1803=I82,$H$4:$H$1803))</f>
        <v>1649</v>
      </c>
      <c r="K82" s="59" t="n">
        <f aca="false">H82/J82</f>
        <v>0.475439660400243</v>
      </c>
    </row>
    <row r="83" customFormat="false" ht="15" hidden="false" customHeight="false" outlineLevel="0" collapsed="false">
      <c r="A83" s="39" t="s">
        <v>879</v>
      </c>
      <c r="B83" s="39" t="s">
        <v>880</v>
      </c>
      <c r="C83" s="39" t="s">
        <v>895</v>
      </c>
      <c r="D83" s="39" t="s">
        <v>888</v>
      </c>
      <c r="E83" s="39" t="s">
        <v>884</v>
      </c>
      <c r="F83" s="39"/>
      <c r="G83" s="58" t="n">
        <v>392</v>
      </c>
      <c r="H83" s="34" t="n">
        <f aca="false">G83*2</f>
        <v>784</v>
      </c>
      <c r="I83" s="39" t="str">
        <f aca="false">A83&amp;"|"&amp;B83&amp;"|"&amp;D83&amp;"|"&amp;E83&amp;F83</f>
        <v>auto|Oklahoma City|scenario E (age 70)|female</v>
      </c>
      <c r="J83" s="34" t="n">
        <f aca="false" t="array" ref="J83:J83">MEDIAN(IF($I$4:$I$1803=I83,$H$4:$H$1803))</f>
        <v>1664</v>
      </c>
      <c r="K83" s="59" t="n">
        <f aca="false">H83/J83</f>
        <v>0.471153846153846</v>
      </c>
    </row>
    <row r="84" customFormat="false" ht="15" hidden="false" customHeight="false" outlineLevel="0" collapsed="false">
      <c r="A84" s="39" t="s">
        <v>879</v>
      </c>
      <c r="B84" s="39" t="s">
        <v>880</v>
      </c>
      <c r="C84" s="39" t="s">
        <v>896</v>
      </c>
      <c r="D84" s="39" t="s">
        <v>882</v>
      </c>
      <c r="E84" s="39" t="s">
        <v>883</v>
      </c>
      <c r="F84" s="39"/>
      <c r="G84" s="58" t="n">
        <v>4494</v>
      </c>
      <c r="H84" s="34" t="n">
        <f aca="false">G84*2</f>
        <v>8988</v>
      </c>
      <c r="I84" s="39" t="str">
        <f aca="false">A84&amp;"|"&amp;B84&amp;"|"&amp;D84&amp;"|"&amp;E84&amp;F84</f>
        <v>auto|Oklahoma City|scenario A (age 16)|male</v>
      </c>
      <c r="J84" s="34" t="n">
        <f aca="false" t="array" ref="J84:J84">MEDIAN(IF($I$4:$I$1803=I84,$H$4:$H$1803))</f>
        <v>8358</v>
      </c>
      <c r="K84" s="59" t="n">
        <f aca="false">H84/J84</f>
        <v>1.07537688442211</v>
      </c>
    </row>
    <row r="85" customFormat="false" ht="15" hidden="false" customHeight="false" outlineLevel="0" collapsed="false">
      <c r="A85" s="39" t="s">
        <v>879</v>
      </c>
      <c r="B85" s="39" t="s">
        <v>880</v>
      </c>
      <c r="C85" s="39" t="s">
        <v>896</v>
      </c>
      <c r="D85" s="39" t="s">
        <v>882</v>
      </c>
      <c r="E85" s="39" t="s">
        <v>884</v>
      </c>
      <c r="F85" s="39"/>
      <c r="G85" s="58" t="n">
        <v>2796</v>
      </c>
      <c r="H85" s="34" t="n">
        <f aca="false">G85*2</f>
        <v>5592</v>
      </c>
      <c r="I85" s="39" t="str">
        <f aca="false">A85&amp;"|"&amp;B85&amp;"|"&amp;D85&amp;"|"&amp;E85&amp;F85</f>
        <v>auto|Oklahoma City|scenario A (age 16)|female</v>
      </c>
      <c r="J85" s="34" t="n">
        <f aca="false" t="array" ref="J85:J85">MEDIAN(IF($I$4:$I$1803=I85,$H$4:$H$1803))</f>
        <v>6710</v>
      </c>
      <c r="K85" s="59" t="n">
        <f aca="false">H85/J85</f>
        <v>0.833383010432191</v>
      </c>
    </row>
    <row r="86" customFormat="false" ht="15" hidden="false" customHeight="false" outlineLevel="0" collapsed="false">
      <c r="A86" s="39" t="s">
        <v>879</v>
      </c>
      <c r="B86" s="39" t="s">
        <v>880</v>
      </c>
      <c r="C86" s="39" t="s">
        <v>896</v>
      </c>
      <c r="D86" s="39" t="s">
        <v>885</v>
      </c>
      <c r="E86" s="39" t="s">
        <v>883</v>
      </c>
      <c r="F86" s="39"/>
      <c r="G86" s="58" t="n">
        <v>2590</v>
      </c>
      <c r="H86" s="34" t="n">
        <f aca="false">G86*2</f>
        <v>5180</v>
      </c>
      <c r="I86" s="39" t="str">
        <f aca="false">A86&amp;"|"&amp;B86&amp;"|"&amp;D86&amp;"|"&amp;E86&amp;F86</f>
        <v>auto|Oklahoma City|scenario B (age 21)|male</v>
      </c>
      <c r="J86" s="34" t="n">
        <f aca="false" t="array" ref="J86:J86">MEDIAN(IF($I$4:$I$1803=I86,$H$4:$H$1803))</f>
        <v>3517</v>
      </c>
      <c r="K86" s="59" t="n">
        <f aca="false">H86/J86</f>
        <v>1.47284617571794</v>
      </c>
    </row>
    <row r="87" customFormat="false" ht="15" hidden="false" customHeight="false" outlineLevel="0" collapsed="false">
      <c r="A87" s="39" t="s">
        <v>879</v>
      </c>
      <c r="B87" s="39" t="s">
        <v>880</v>
      </c>
      <c r="C87" s="39" t="s">
        <v>896</v>
      </c>
      <c r="D87" s="39" t="s">
        <v>885</v>
      </c>
      <c r="E87" s="39" t="s">
        <v>884</v>
      </c>
      <c r="F87" s="39"/>
      <c r="G87" s="58" t="n">
        <v>1907</v>
      </c>
      <c r="H87" s="34" t="n">
        <f aca="false">G87*2</f>
        <v>3814</v>
      </c>
      <c r="I87" s="39" t="str">
        <f aca="false">A87&amp;"|"&amp;B87&amp;"|"&amp;D87&amp;"|"&amp;E87&amp;F87</f>
        <v>auto|Oklahoma City|scenario B (age 21)|female</v>
      </c>
      <c r="J87" s="34" t="n">
        <f aca="false" t="array" ref="J87:J87">MEDIAN(IF($I$4:$I$1803=I87,$H$4:$H$1803))</f>
        <v>3138</v>
      </c>
      <c r="K87" s="59" t="n">
        <f aca="false">H87/J87</f>
        <v>1.21542383683875</v>
      </c>
    </row>
    <row r="88" customFormat="false" ht="15" hidden="false" customHeight="false" outlineLevel="0" collapsed="false">
      <c r="A88" s="39" t="s">
        <v>879</v>
      </c>
      <c r="B88" s="39" t="s">
        <v>880</v>
      </c>
      <c r="C88" s="39" t="s">
        <v>896</v>
      </c>
      <c r="D88" s="39" t="s">
        <v>886</v>
      </c>
      <c r="E88" s="39" t="s">
        <v>883</v>
      </c>
      <c r="F88" s="39"/>
      <c r="G88" s="58" t="n">
        <v>1134</v>
      </c>
      <c r="H88" s="34" t="n">
        <f aca="false">G88*2</f>
        <v>2268</v>
      </c>
      <c r="I88" s="39" t="str">
        <f aca="false">A88&amp;"|"&amp;B88&amp;"|"&amp;D88&amp;"|"&amp;E88&amp;F88</f>
        <v>auto|Oklahoma City|scenario C (age 36)|male</v>
      </c>
      <c r="J88" s="34" t="n">
        <f aca="false" t="array" ref="J88:J88">MEDIAN(IF($I$4:$I$1803=I88,$H$4:$H$1803))</f>
        <v>2128</v>
      </c>
      <c r="K88" s="59" t="n">
        <f aca="false">H88/J88</f>
        <v>1.06578947368421</v>
      </c>
    </row>
    <row r="89" customFormat="false" ht="15" hidden="false" customHeight="false" outlineLevel="0" collapsed="false">
      <c r="A89" s="39" t="s">
        <v>879</v>
      </c>
      <c r="B89" s="39" t="s">
        <v>880</v>
      </c>
      <c r="C89" s="39" t="s">
        <v>896</v>
      </c>
      <c r="D89" s="39" t="s">
        <v>886</v>
      </c>
      <c r="E89" s="39" t="s">
        <v>884</v>
      </c>
      <c r="F89" s="39"/>
      <c r="G89" s="58" t="n">
        <v>1134</v>
      </c>
      <c r="H89" s="34" t="n">
        <f aca="false">G89*2</f>
        <v>2268</v>
      </c>
      <c r="I89" s="39" t="str">
        <f aca="false">A89&amp;"|"&amp;B89&amp;"|"&amp;D89&amp;"|"&amp;E89&amp;F89</f>
        <v>auto|Oklahoma City|scenario C (age 36)|female</v>
      </c>
      <c r="J89" s="34" t="n">
        <f aca="false" t="array" ref="J89:J89">MEDIAN(IF($I$4:$I$1803=I89,$H$4:$H$1803))</f>
        <v>2026</v>
      </c>
      <c r="K89" s="59" t="n">
        <f aca="false">H89/J89</f>
        <v>1.11944718657453</v>
      </c>
    </row>
    <row r="90" customFormat="false" ht="15" hidden="false" customHeight="false" outlineLevel="0" collapsed="false">
      <c r="A90" s="39" t="s">
        <v>879</v>
      </c>
      <c r="B90" s="39" t="s">
        <v>880</v>
      </c>
      <c r="C90" s="39" t="s">
        <v>896</v>
      </c>
      <c r="D90" s="39" t="s">
        <v>887</v>
      </c>
      <c r="E90" s="39" t="s">
        <v>883</v>
      </c>
      <c r="F90" s="39"/>
      <c r="G90" s="58" t="n">
        <v>1021</v>
      </c>
      <c r="H90" s="34" t="n">
        <f aca="false">G90*2</f>
        <v>2042</v>
      </c>
      <c r="I90" s="39" t="str">
        <f aca="false">A90&amp;"|"&amp;B90&amp;"|"&amp;D90&amp;"|"&amp;E90&amp;F90</f>
        <v>auto|Oklahoma City|scenario D (age 55)|male</v>
      </c>
      <c r="J90" s="34" t="n">
        <f aca="false" t="array" ref="J90:J90">MEDIAN(IF($I$4:$I$1803=I90,$H$4:$H$1803))</f>
        <v>1762</v>
      </c>
      <c r="K90" s="59" t="n">
        <f aca="false">H90/J90</f>
        <v>1.1589103291714</v>
      </c>
    </row>
    <row r="91" customFormat="false" ht="15" hidden="false" customHeight="false" outlineLevel="0" collapsed="false">
      <c r="A91" s="39" t="s">
        <v>879</v>
      </c>
      <c r="B91" s="39" t="s">
        <v>880</v>
      </c>
      <c r="C91" s="39" t="s">
        <v>896</v>
      </c>
      <c r="D91" s="39" t="s">
        <v>887</v>
      </c>
      <c r="E91" s="39" t="s">
        <v>884</v>
      </c>
      <c r="F91" s="39"/>
      <c r="G91" s="58" t="n">
        <v>1021</v>
      </c>
      <c r="H91" s="34" t="n">
        <f aca="false">G91*2</f>
        <v>2042</v>
      </c>
      <c r="I91" s="39" t="str">
        <f aca="false">A91&amp;"|"&amp;B91&amp;"|"&amp;D91&amp;"|"&amp;E91&amp;F91</f>
        <v>auto|Oklahoma City|scenario D (age 55)|female</v>
      </c>
      <c r="J91" s="34" t="n">
        <f aca="false" t="array" ref="J91:J91">MEDIAN(IF($I$4:$I$1803=I91,$H$4:$H$1803))</f>
        <v>1664</v>
      </c>
      <c r="K91" s="59" t="n">
        <f aca="false">H91/J91</f>
        <v>1.22716346153846</v>
      </c>
    </row>
    <row r="92" customFormat="false" ht="15" hidden="false" customHeight="false" outlineLevel="0" collapsed="false">
      <c r="A92" s="39" t="s">
        <v>879</v>
      </c>
      <c r="B92" s="39" t="s">
        <v>880</v>
      </c>
      <c r="C92" s="39" t="s">
        <v>896</v>
      </c>
      <c r="D92" s="39" t="s">
        <v>888</v>
      </c>
      <c r="E92" s="39" t="s">
        <v>883</v>
      </c>
      <c r="F92" s="39"/>
      <c r="G92" s="58" t="n">
        <v>939</v>
      </c>
      <c r="H92" s="34" t="n">
        <f aca="false">G92*2</f>
        <v>1878</v>
      </c>
      <c r="I92" s="39" t="str">
        <f aca="false">A92&amp;"|"&amp;B92&amp;"|"&amp;D92&amp;"|"&amp;E92&amp;F92</f>
        <v>auto|Oklahoma City|scenario E (age 70)|male</v>
      </c>
      <c r="J92" s="34" t="n">
        <f aca="false" t="array" ref="J92:J92">MEDIAN(IF($I$4:$I$1803=I92,$H$4:$H$1803))</f>
        <v>1649</v>
      </c>
      <c r="K92" s="59" t="n">
        <f aca="false">H92/J92</f>
        <v>1.13887204366283</v>
      </c>
    </row>
    <row r="93" customFormat="false" ht="15" hidden="false" customHeight="false" outlineLevel="0" collapsed="false">
      <c r="A93" s="39" t="s">
        <v>879</v>
      </c>
      <c r="B93" s="39" t="s">
        <v>880</v>
      </c>
      <c r="C93" s="39" t="s">
        <v>896</v>
      </c>
      <c r="D93" s="39" t="s">
        <v>888</v>
      </c>
      <c r="E93" s="39" t="s">
        <v>884</v>
      </c>
      <c r="F93" s="39"/>
      <c r="G93" s="58" t="n">
        <v>939</v>
      </c>
      <c r="H93" s="34" t="n">
        <f aca="false">G93*2</f>
        <v>1878</v>
      </c>
      <c r="I93" s="39" t="str">
        <f aca="false">A93&amp;"|"&amp;B93&amp;"|"&amp;D93&amp;"|"&amp;E93&amp;F93</f>
        <v>auto|Oklahoma City|scenario E (age 70)|female</v>
      </c>
      <c r="J93" s="34" t="n">
        <f aca="false" t="array" ref="J93:J93">MEDIAN(IF($I$4:$I$1803=I93,$H$4:$H$1803))</f>
        <v>1664</v>
      </c>
      <c r="K93" s="59" t="n">
        <f aca="false">H93/J93</f>
        <v>1.12860576923077</v>
      </c>
    </row>
    <row r="94" customFormat="false" ht="15" hidden="false" customHeight="false" outlineLevel="0" collapsed="false">
      <c r="A94" s="39" t="s">
        <v>879</v>
      </c>
      <c r="B94" s="39" t="s">
        <v>880</v>
      </c>
      <c r="C94" s="39" t="s">
        <v>897</v>
      </c>
      <c r="D94" s="39" t="s">
        <v>882</v>
      </c>
      <c r="E94" s="39" t="s">
        <v>883</v>
      </c>
      <c r="F94" s="39"/>
      <c r="G94" s="58" t="n">
        <v>4494</v>
      </c>
      <c r="H94" s="34" t="n">
        <f aca="false">G94*2</f>
        <v>8988</v>
      </c>
      <c r="I94" s="39" t="str">
        <f aca="false">A94&amp;"|"&amp;B94&amp;"|"&amp;D94&amp;"|"&amp;E94&amp;F94</f>
        <v>auto|Oklahoma City|scenario A (age 16)|male</v>
      </c>
      <c r="J94" s="34" t="n">
        <f aca="false" t="array" ref="J94:J94">MEDIAN(IF($I$4:$I$1803=I94,$H$4:$H$1803))</f>
        <v>8358</v>
      </c>
      <c r="K94" s="59" t="n">
        <f aca="false">H94/J94</f>
        <v>1.07537688442211</v>
      </c>
    </row>
    <row r="95" customFormat="false" ht="15" hidden="false" customHeight="false" outlineLevel="0" collapsed="false">
      <c r="A95" s="39" t="s">
        <v>879</v>
      </c>
      <c r="B95" s="39" t="s">
        <v>880</v>
      </c>
      <c r="C95" s="39" t="s">
        <v>897</v>
      </c>
      <c r="D95" s="39" t="s">
        <v>882</v>
      </c>
      <c r="E95" s="39" t="s">
        <v>884</v>
      </c>
      <c r="F95" s="39"/>
      <c r="G95" s="58" t="n">
        <v>3975</v>
      </c>
      <c r="H95" s="34" t="n">
        <f aca="false">G95*2</f>
        <v>7950</v>
      </c>
      <c r="I95" s="39" t="str">
        <f aca="false">A95&amp;"|"&amp;B95&amp;"|"&amp;D95&amp;"|"&amp;E95&amp;F95</f>
        <v>auto|Oklahoma City|scenario A (age 16)|female</v>
      </c>
      <c r="J95" s="34" t="n">
        <f aca="false" t="array" ref="J95:J95">MEDIAN(IF($I$4:$I$1803=I95,$H$4:$H$1803))</f>
        <v>6710</v>
      </c>
      <c r="K95" s="59" t="n">
        <f aca="false">H95/J95</f>
        <v>1.18479880774963</v>
      </c>
    </row>
    <row r="96" customFormat="false" ht="15" hidden="false" customHeight="false" outlineLevel="0" collapsed="false">
      <c r="A96" s="39" t="s">
        <v>879</v>
      </c>
      <c r="B96" s="39" t="s">
        <v>880</v>
      </c>
      <c r="C96" s="39" t="s">
        <v>897</v>
      </c>
      <c r="D96" s="39" t="s">
        <v>885</v>
      </c>
      <c r="E96" s="39" t="s">
        <v>883</v>
      </c>
      <c r="F96" s="39"/>
      <c r="G96" s="58" t="n">
        <v>1718</v>
      </c>
      <c r="H96" s="34" t="n">
        <f aca="false">G96*2</f>
        <v>3436</v>
      </c>
      <c r="I96" s="39" t="str">
        <f aca="false">A96&amp;"|"&amp;B96&amp;"|"&amp;D96&amp;"|"&amp;E96&amp;F96</f>
        <v>auto|Oklahoma City|scenario B (age 21)|male</v>
      </c>
      <c r="J96" s="34" t="n">
        <f aca="false" t="array" ref="J96:J96">MEDIAN(IF($I$4:$I$1803=I96,$H$4:$H$1803))</f>
        <v>3517</v>
      </c>
      <c r="K96" s="59" t="n">
        <f aca="false">H96/J96</f>
        <v>0.976969007676998</v>
      </c>
    </row>
    <row r="97" customFormat="false" ht="15" hidden="false" customHeight="false" outlineLevel="0" collapsed="false">
      <c r="A97" s="39" t="s">
        <v>879</v>
      </c>
      <c r="B97" s="39" t="s">
        <v>880</v>
      </c>
      <c r="C97" s="39" t="s">
        <v>897</v>
      </c>
      <c r="D97" s="39" t="s">
        <v>885</v>
      </c>
      <c r="E97" s="39" t="s">
        <v>884</v>
      </c>
      <c r="F97" s="39"/>
      <c r="G97" s="58" t="n">
        <v>1488</v>
      </c>
      <c r="H97" s="34" t="n">
        <f aca="false">G97*2</f>
        <v>2976</v>
      </c>
      <c r="I97" s="39" t="str">
        <f aca="false">A97&amp;"|"&amp;B97&amp;"|"&amp;D97&amp;"|"&amp;E97&amp;F97</f>
        <v>auto|Oklahoma City|scenario B (age 21)|female</v>
      </c>
      <c r="J97" s="34" t="n">
        <f aca="false" t="array" ref="J97:J97">MEDIAN(IF($I$4:$I$1803=I97,$H$4:$H$1803))</f>
        <v>3138</v>
      </c>
      <c r="K97" s="59" t="n">
        <f aca="false">H97/J97</f>
        <v>0.948374760994264</v>
      </c>
    </row>
    <row r="98" customFormat="false" ht="15" hidden="false" customHeight="false" outlineLevel="0" collapsed="false">
      <c r="A98" s="39" t="s">
        <v>879</v>
      </c>
      <c r="B98" s="39" t="s">
        <v>880</v>
      </c>
      <c r="C98" s="39" t="s">
        <v>897</v>
      </c>
      <c r="D98" s="39" t="s">
        <v>886</v>
      </c>
      <c r="E98" s="39" t="s">
        <v>883</v>
      </c>
      <c r="F98" s="39"/>
      <c r="G98" s="58" t="n">
        <v>1006</v>
      </c>
      <c r="H98" s="34" t="n">
        <f aca="false">G98*2</f>
        <v>2012</v>
      </c>
      <c r="I98" s="39" t="str">
        <f aca="false">A98&amp;"|"&amp;B98&amp;"|"&amp;D98&amp;"|"&amp;E98&amp;F98</f>
        <v>auto|Oklahoma City|scenario C (age 36)|male</v>
      </c>
      <c r="J98" s="34" t="n">
        <f aca="false" t="array" ref="J98:J98">MEDIAN(IF($I$4:$I$1803=I98,$H$4:$H$1803))</f>
        <v>2128</v>
      </c>
      <c r="K98" s="59" t="n">
        <f aca="false">H98/J98</f>
        <v>0.945488721804511</v>
      </c>
    </row>
    <row r="99" customFormat="false" ht="15" hidden="false" customHeight="false" outlineLevel="0" collapsed="false">
      <c r="A99" s="39" t="s">
        <v>879</v>
      </c>
      <c r="B99" s="39" t="s">
        <v>880</v>
      </c>
      <c r="C99" s="39" t="s">
        <v>897</v>
      </c>
      <c r="D99" s="39" t="s">
        <v>886</v>
      </c>
      <c r="E99" s="39" t="s">
        <v>884</v>
      </c>
      <c r="F99" s="39"/>
      <c r="G99" s="58" t="n">
        <v>972</v>
      </c>
      <c r="H99" s="34" t="n">
        <f aca="false">G99*2</f>
        <v>1944</v>
      </c>
      <c r="I99" s="39" t="str">
        <f aca="false">A99&amp;"|"&amp;B99&amp;"|"&amp;D99&amp;"|"&amp;E99&amp;F99</f>
        <v>auto|Oklahoma City|scenario C (age 36)|female</v>
      </c>
      <c r="J99" s="34" t="n">
        <f aca="false" t="array" ref="J99:J99">MEDIAN(IF($I$4:$I$1803=I99,$H$4:$H$1803))</f>
        <v>2026</v>
      </c>
      <c r="K99" s="59" t="n">
        <f aca="false">H99/J99</f>
        <v>0.959526159921027</v>
      </c>
    </row>
    <row r="100" customFormat="false" ht="15" hidden="false" customHeight="false" outlineLevel="0" collapsed="false">
      <c r="A100" s="39" t="s">
        <v>879</v>
      </c>
      <c r="B100" s="39" t="s">
        <v>880</v>
      </c>
      <c r="C100" s="39" t="s">
        <v>897</v>
      </c>
      <c r="D100" s="39" t="s">
        <v>887</v>
      </c>
      <c r="E100" s="39" t="s">
        <v>883</v>
      </c>
      <c r="F100" s="39"/>
      <c r="G100" s="58" t="n">
        <v>846</v>
      </c>
      <c r="H100" s="34" t="n">
        <f aca="false">G100*2</f>
        <v>1692</v>
      </c>
      <c r="I100" s="39" t="str">
        <f aca="false">A100&amp;"|"&amp;B100&amp;"|"&amp;D100&amp;"|"&amp;E100&amp;F100</f>
        <v>auto|Oklahoma City|scenario D (age 55)|male</v>
      </c>
      <c r="J100" s="34" t="n">
        <f aca="false" t="array" ref="J100:J100">MEDIAN(IF($I$4:$I$1803=I100,$H$4:$H$1803))</f>
        <v>1762</v>
      </c>
      <c r="K100" s="59" t="n">
        <f aca="false">H100/J100</f>
        <v>0.960272417707151</v>
      </c>
    </row>
    <row r="101" customFormat="false" ht="15" hidden="false" customHeight="false" outlineLevel="0" collapsed="false">
      <c r="A101" s="39" t="s">
        <v>879</v>
      </c>
      <c r="B101" s="39" t="s">
        <v>880</v>
      </c>
      <c r="C101" s="39" t="s">
        <v>897</v>
      </c>
      <c r="D101" s="39" t="s">
        <v>887</v>
      </c>
      <c r="E101" s="39" t="s">
        <v>884</v>
      </c>
      <c r="F101" s="39"/>
      <c r="G101" s="58" t="n">
        <v>769</v>
      </c>
      <c r="H101" s="34" t="n">
        <f aca="false">G101*2</f>
        <v>1538</v>
      </c>
      <c r="I101" s="39" t="str">
        <f aca="false">A101&amp;"|"&amp;B101&amp;"|"&amp;D101&amp;"|"&amp;E101&amp;F101</f>
        <v>auto|Oklahoma City|scenario D (age 55)|female</v>
      </c>
      <c r="J101" s="34" t="n">
        <f aca="false" t="array" ref="J101:J101">MEDIAN(IF($I$4:$I$1803=I101,$H$4:$H$1803))</f>
        <v>1664</v>
      </c>
      <c r="K101" s="59" t="n">
        <f aca="false">H101/J101</f>
        <v>0.924278846153846</v>
      </c>
    </row>
    <row r="102" customFormat="false" ht="15" hidden="false" customHeight="false" outlineLevel="0" collapsed="false">
      <c r="A102" s="39" t="s">
        <v>879</v>
      </c>
      <c r="B102" s="39" t="s">
        <v>880</v>
      </c>
      <c r="C102" s="39" t="s">
        <v>897</v>
      </c>
      <c r="D102" s="39" t="s">
        <v>888</v>
      </c>
      <c r="E102" s="39" t="s">
        <v>883</v>
      </c>
      <c r="F102" s="39"/>
      <c r="G102" s="58" t="n">
        <v>826</v>
      </c>
      <c r="H102" s="34" t="n">
        <f aca="false">G102*2</f>
        <v>1652</v>
      </c>
      <c r="I102" s="39" t="str">
        <f aca="false">A102&amp;"|"&amp;B102&amp;"|"&amp;D102&amp;"|"&amp;E102&amp;F102</f>
        <v>auto|Oklahoma City|scenario E (age 70)|male</v>
      </c>
      <c r="J102" s="34" t="n">
        <f aca="false" t="array" ref="J102:J102">MEDIAN(IF($I$4:$I$1803=I102,$H$4:$H$1803))</f>
        <v>1649</v>
      </c>
      <c r="K102" s="59" t="n">
        <f aca="false">H102/J102</f>
        <v>1.0018192844148</v>
      </c>
    </row>
    <row r="103" customFormat="false" ht="15" hidden="false" customHeight="false" outlineLevel="0" collapsed="false">
      <c r="A103" s="39" t="s">
        <v>879</v>
      </c>
      <c r="B103" s="39" t="s">
        <v>880</v>
      </c>
      <c r="C103" s="39" t="s">
        <v>897</v>
      </c>
      <c r="D103" s="39" t="s">
        <v>888</v>
      </c>
      <c r="E103" s="39" t="s">
        <v>884</v>
      </c>
      <c r="F103" s="39"/>
      <c r="G103" s="58" t="n">
        <v>773</v>
      </c>
      <c r="H103" s="34" t="n">
        <f aca="false">G103*2</f>
        <v>1546</v>
      </c>
      <c r="I103" s="39" t="str">
        <f aca="false">A103&amp;"|"&amp;B103&amp;"|"&amp;D103&amp;"|"&amp;E103&amp;F103</f>
        <v>auto|Oklahoma City|scenario E (age 70)|female</v>
      </c>
      <c r="J103" s="34" t="n">
        <f aca="false" t="array" ref="J103:J103">MEDIAN(IF($I$4:$I$1803=I103,$H$4:$H$1803))</f>
        <v>1664</v>
      </c>
      <c r="K103" s="59" t="n">
        <f aca="false">H103/J103</f>
        <v>0.929086538461538</v>
      </c>
    </row>
    <row r="104" customFormat="false" ht="15" hidden="false" customHeight="false" outlineLevel="0" collapsed="false">
      <c r="A104" s="39" t="s">
        <v>879</v>
      </c>
      <c r="B104" s="39" t="s">
        <v>880</v>
      </c>
      <c r="C104" s="39" t="s">
        <v>898</v>
      </c>
      <c r="D104" s="39" t="s">
        <v>882</v>
      </c>
      <c r="E104" s="39" t="s">
        <v>883</v>
      </c>
      <c r="F104" s="39"/>
      <c r="G104" s="58" t="n">
        <v>4861</v>
      </c>
      <c r="H104" s="34" t="n">
        <f aca="false">G104*2</f>
        <v>9722</v>
      </c>
      <c r="I104" s="39" t="str">
        <f aca="false">A104&amp;"|"&amp;B104&amp;"|"&amp;D104&amp;"|"&amp;E104&amp;F104</f>
        <v>auto|Oklahoma City|scenario A (age 16)|male</v>
      </c>
      <c r="J104" s="34" t="n">
        <f aca="false" t="array" ref="J104:J104">MEDIAN(IF($I$4:$I$1803=I104,$H$4:$H$1803))</f>
        <v>8358</v>
      </c>
      <c r="K104" s="59" t="n">
        <f aca="false">H104/J104</f>
        <v>1.16319693706628</v>
      </c>
    </row>
    <row r="105" customFormat="false" ht="15" hidden="false" customHeight="false" outlineLevel="0" collapsed="false">
      <c r="A105" s="39" t="s">
        <v>879</v>
      </c>
      <c r="B105" s="39" t="s">
        <v>880</v>
      </c>
      <c r="C105" s="39" t="s">
        <v>898</v>
      </c>
      <c r="D105" s="39" t="s">
        <v>882</v>
      </c>
      <c r="E105" s="39" t="s">
        <v>884</v>
      </c>
      <c r="F105" s="39"/>
      <c r="G105" s="58" t="n">
        <v>4247</v>
      </c>
      <c r="H105" s="34" t="n">
        <f aca="false">G105*2</f>
        <v>8494</v>
      </c>
      <c r="I105" s="39" t="str">
        <f aca="false">A105&amp;"|"&amp;B105&amp;"|"&amp;D105&amp;"|"&amp;E105&amp;F105</f>
        <v>auto|Oklahoma City|scenario A (age 16)|female</v>
      </c>
      <c r="J105" s="34" t="n">
        <f aca="false" t="array" ref="J105:J105">MEDIAN(IF($I$4:$I$1803=I105,$H$4:$H$1803))</f>
        <v>6710</v>
      </c>
      <c r="K105" s="59" t="n">
        <f aca="false">H105/J105</f>
        <v>1.26587183308495</v>
      </c>
    </row>
    <row r="106" customFormat="false" ht="15" hidden="false" customHeight="false" outlineLevel="0" collapsed="false">
      <c r="A106" s="39" t="s">
        <v>879</v>
      </c>
      <c r="B106" s="39" t="s">
        <v>880</v>
      </c>
      <c r="C106" s="39" t="s">
        <v>898</v>
      </c>
      <c r="D106" s="39" t="s">
        <v>885</v>
      </c>
      <c r="E106" s="39" t="s">
        <v>883</v>
      </c>
      <c r="F106" s="39"/>
      <c r="G106" s="58" t="n">
        <v>1742</v>
      </c>
      <c r="H106" s="34" t="n">
        <f aca="false">G106*2</f>
        <v>3484</v>
      </c>
      <c r="I106" s="39" t="str">
        <f aca="false">A106&amp;"|"&amp;B106&amp;"|"&amp;D106&amp;"|"&amp;E106&amp;F106</f>
        <v>auto|Oklahoma City|scenario B (age 21)|male</v>
      </c>
      <c r="J106" s="34" t="n">
        <f aca="false" t="array" ref="J106:J106">MEDIAN(IF($I$4:$I$1803=I106,$H$4:$H$1803))</f>
        <v>3517</v>
      </c>
      <c r="K106" s="59" t="n">
        <f aca="false">H106/J106</f>
        <v>0.990617003127666</v>
      </c>
    </row>
    <row r="107" customFormat="false" ht="15" hidden="false" customHeight="false" outlineLevel="0" collapsed="false">
      <c r="A107" s="39" t="s">
        <v>879</v>
      </c>
      <c r="B107" s="39" t="s">
        <v>880</v>
      </c>
      <c r="C107" s="39" t="s">
        <v>898</v>
      </c>
      <c r="D107" s="39" t="s">
        <v>885</v>
      </c>
      <c r="E107" s="39" t="s">
        <v>884</v>
      </c>
      <c r="F107" s="39"/>
      <c r="G107" s="58" t="n">
        <v>1409</v>
      </c>
      <c r="H107" s="34" t="n">
        <f aca="false">G107*2</f>
        <v>2818</v>
      </c>
      <c r="I107" s="39" t="str">
        <f aca="false">A107&amp;"|"&amp;B107&amp;"|"&amp;D107&amp;"|"&amp;E107&amp;F107</f>
        <v>auto|Oklahoma City|scenario B (age 21)|female</v>
      </c>
      <c r="J107" s="34" t="n">
        <f aca="false" t="array" ref="J107:J107">MEDIAN(IF($I$4:$I$1803=I107,$H$4:$H$1803))</f>
        <v>3138</v>
      </c>
      <c r="K107" s="59" t="n">
        <f aca="false">H107/J107</f>
        <v>0.898024219247929</v>
      </c>
    </row>
    <row r="108" customFormat="false" ht="15" hidden="false" customHeight="false" outlineLevel="0" collapsed="false">
      <c r="A108" s="39" t="s">
        <v>879</v>
      </c>
      <c r="B108" s="39" t="s">
        <v>880</v>
      </c>
      <c r="C108" s="39" t="s">
        <v>898</v>
      </c>
      <c r="D108" s="39" t="s">
        <v>886</v>
      </c>
      <c r="E108" s="39" t="s">
        <v>883</v>
      </c>
      <c r="F108" s="39"/>
      <c r="G108" s="58" t="n">
        <v>1033</v>
      </c>
      <c r="H108" s="34" t="n">
        <f aca="false">G108*2</f>
        <v>2066</v>
      </c>
      <c r="I108" s="39" t="str">
        <f aca="false">A108&amp;"|"&amp;B108&amp;"|"&amp;D108&amp;"|"&amp;E108&amp;F108</f>
        <v>auto|Oklahoma City|scenario C (age 36)|male</v>
      </c>
      <c r="J108" s="34" t="n">
        <f aca="false" t="array" ref="J108:J108">MEDIAN(IF($I$4:$I$1803=I108,$H$4:$H$1803))</f>
        <v>2128</v>
      </c>
      <c r="K108" s="59" t="n">
        <f aca="false">H108/J108</f>
        <v>0.970864661654135</v>
      </c>
    </row>
    <row r="109" customFormat="false" ht="15" hidden="false" customHeight="false" outlineLevel="0" collapsed="false">
      <c r="A109" s="39" t="s">
        <v>879</v>
      </c>
      <c r="B109" s="39" t="s">
        <v>880</v>
      </c>
      <c r="C109" s="39" t="s">
        <v>898</v>
      </c>
      <c r="D109" s="39" t="s">
        <v>886</v>
      </c>
      <c r="E109" s="39" t="s">
        <v>884</v>
      </c>
      <c r="F109" s="39"/>
      <c r="G109" s="58" t="n">
        <v>929</v>
      </c>
      <c r="H109" s="34" t="n">
        <f aca="false">G109*2</f>
        <v>1858</v>
      </c>
      <c r="I109" s="39" t="str">
        <f aca="false">A109&amp;"|"&amp;B109&amp;"|"&amp;D109&amp;"|"&amp;E109&amp;F109</f>
        <v>auto|Oklahoma City|scenario C (age 36)|female</v>
      </c>
      <c r="J109" s="34" t="n">
        <f aca="false" t="array" ref="J109:J109">MEDIAN(IF($I$4:$I$1803=I109,$H$4:$H$1803))</f>
        <v>2026</v>
      </c>
      <c r="K109" s="59" t="n">
        <f aca="false">H109/J109</f>
        <v>0.917077986179664</v>
      </c>
    </row>
    <row r="110" customFormat="false" ht="15" hidden="false" customHeight="false" outlineLevel="0" collapsed="false">
      <c r="A110" s="39" t="s">
        <v>879</v>
      </c>
      <c r="B110" s="39" t="s">
        <v>880</v>
      </c>
      <c r="C110" s="39" t="s">
        <v>898</v>
      </c>
      <c r="D110" s="39" t="s">
        <v>887</v>
      </c>
      <c r="E110" s="39" t="s">
        <v>883</v>
      </c>
      <c r="F110" s="39"/>
      <c r="G110" s="58" t="n">
        <v>761</v>
      </c>
      <c r="H110" s="34" t="n">
        <f aca="false">G110*2</f>
        <v>1522</v>
      </c>
      <c r="I110" s="39" t="str">
        <f aca="false">A110&amp;"|"&amp;B110&amp;"|"&amp;D110&amp;"|"&amp;E110&amp;F110</f>
        <v>auto|Oklahoma City|scenario D (age 55)|male</v>
      </c>
      <c r="J110" s="34" t="n">
        <f aca="false" t="array" ref="J110:J110">MEDIAN(IF($I$4:$I$1803=I110,$H$4:$H$1803))</f>
        <v>1762</v>
      </c>
      <c r="K110" s="59" t="n">
        <f aca="false">H110/J110</f>
        <v>0.863791146424518</v>
      </c>
    </row>
    <row r="111" customFormat="false" ht="15" hidden="false" customHeight="false" outlineLevel="0" collapsed="false">
      <c r="A111" s="39" t="s">
        <v>879</v>
      </c>
      <c r="B111" s="39" t="s">
        <v>880</v>
      </c>
      <c r="C111" s="39" t="s">
        <v>898</v>
      </c>
      <c r="D111" s="39" t="s">
        <v>887</v>
      </c>
      <c r="E111" s="39" t="s">
        <v>884</v>
      </c>
      <c r="F111" s="39"/>
      <c r="G111" s="58" t="n">
        <v>687</v>
      </c>
      <c r="H111" s="34" t="n">
        <f aca="false">G111*2</f>
        <v>1374</v>
      </c>
      <c r="I111" s="39" t="str">
        <f aca="false">A111&amp;"|"&amp;B111&amp;"|"&amp;D111&amp;"|"&amp;E111&amp;F111</f>
        <v>auto|Oklahoma City|scenario D (age 55)|female</v>
      </c>
      <c r="J111" s="34" t="n">
        <f aca="false" t="array" ref="J111:J111">MEDIAN(IF($I$4:$I$1803=I111,$H$4:$H$1803))</f>
        <v>1664</v>
      </c>
      <c r="K111" s="59" t="n">
        <f aca="false">H111/J111</f>
        <v>0.825721153846154</v>
      </c>
    </row>
    <row r="112" customFormat="false" ht="15" hidden="false" customHeight="false" outlineLevel="0" collapsed="false">
      <c r="A112" s="39" t="s">
        <v>879</v>
      </c>
      <c r="B112" s="39" t="s">
        <v>880</v>
      </c>
      <c r="C112" s="39" t="s">
        <v>898</v>
      </c>
      <c r="D112" s="39" t="s">
        <v>888</v>
      </c>
      <c r="E112" s="39" t="s">
        <v>883</v>
      </c>
      <c r="F112" s="39"/>
      <c r="G112" s="58" t="n">
        <v>735</v>
      </c>
      <c r="H112" s="34" t="n">
        <f aca="false">G112*2</f>
        <v>1470</v>
      </c>
      <c r="I112" s="39" t="str">
        <f aca="false">A112&amp;"|"&amp;B112&amp;"|"&amp;D112&amp;"|"&amp;E112&amp;F112</f>
        <v>auto|Oklahoma City|scenario E (age 70)|male</v>
      </c>
      <c r="J112" s="34" t="n">
        <f aca="false" t="array" ref="J112:J112">MEDIAN(IF($I$4:$I$1803=I112,$H$4:$H$1803))</f>
        <v>1649</v>
      </c>
      <c r="K112" s="59" t="n">
        <f aca="false">H112/J112</f>
        <v>0.891449363250455</v>
      </c>
    </row>
    <row r="113" customFormat="false" ht="15" hidden="false" customHeight="false" outlineLevel="0" collapsed="false">
      <c r="A113" s="39" t="s">
        <v>879</v>
      </c>
      <c r="B113" s="39" t="s">
        <v>880</v>
      </c>
      <c r="C113" s="39" t="s">
        <v>898</v>
      </c>
      <c r="D113" s="39" t="s">
        <v>888</v>
      </c>
      <c r="E113" s="39" t="s">
        <v>884</v>
      </c>
      <c r="F113" s="39"/>
      <c r="G113" s="58" t="n">
        <v>659</v>
      </c>
      <c r="H113" s="34" t="n">
        <f aca="false">G113*2</f>
        <v>1318</v>
      </c>
      <c r="I113" s="39" t="str">
        <f aca="false">A113&amp;"|"&amp;B113&amp;"|"&amp;D113&amp;"|"&amp;E113&amp;F113</f>
        <v>auto|Oklahoma City|scenario E (age 70)|female</v>
      </c>
      <c r="J113" s="34" t="n">
        <f aca="false" t="array" ref="J113:J113">MEDIAN(IF($I$4:$I$1803=I113,$H$4:$H$1803))</f>
        <v>1664</v>
      </c>
      <c r="K113" s="59" t="n">
        <f aca="false">H113/J113</f>
        <v>0.792067307692308</v>
      </c>
    </row>
    <row r="114" customFormat="false" ht="15" hidden="false" customHeight="false" outlineLevel="0" collapsed="false">
      <c r="A114" s="39" t="s">
        <v>879</v>
      </c>
      <c r="B114" s="39" t="s">
        <v>880</v>
      </c>
      <c r="C114" s="39" t="s">
        <v>899</v>
      </c>
      <c r="D114" s="39" t="s">
        <v>882</v>
      </c>
      <c r="E114" s="39" t="s">
        <v>883</v>
      </c>
      <c r="F114" s="39"/>
      <c r="G114" s="58" t="n">
        <v>2222</v>
      </c>
      <c r="H114" s="34" t="n">
        <f aca="false">G114*2</f>
        <v>4444</v>
      </c>
      <c r="I114" s="39" t="str">
        <f aca="false">A114&amp;"|"&amp;B114&amp;"|"&amp;D114&amp;"|"&amp;E114&amp;F114</f>
        <v>auto|Oklahoma City|scenario A (age 16)|male</v>
      </c>
      <c r="J114" s="34" t="n">
        <f aca="false" t="array" ref="J114:J114">MEDIAN(IF($I$4:$I$1803=I114,$H$4:$H$1803))</f>
        <v>8358</v>
      </c>
      <c r="K114" s="59" t="n">
        <f aca="false">H114/J114</f>
        <v>0.531706149796602</v>
      </c>
    </row>
    <row r="115" customFormat="false" ht="15" hidden="false" customHeight="false" outlineLevel="0" collapsed="false">
      <c r="A115" s="39" t="s">
        <v>879</v>
      </c>
      <c r="B115" s="39" t="s">
        <v>880</v>
      </c>
      <c r="C115" s="39" t="s">
        <v>899</v>
      </c>
      <c r="D115" s="39" t="s">
        <v>882</v>
      </c>
      <c r="E115" s="39" t="s">
        <v>884</v>
      </c>
      <c r="F115" s="39"/>
      <c r="G115" s="58" t="n">
        <v>2034</v>
      </c>
      <c r="H115" s="34" t="n">
        <f aca="false">G115*2</f>
        <v>4068</v>
      </c>
      <c r="I115" s="39" t="str">
        <f aca="false">A115&amp;"|"&amp;B115&amp;"|"&amp;D115&amp;"|"&amp;E115&amp;F115</f>
        <v>auto|Oklahoma City|scenario A (age 16)|female</v>
      </c>
      <c r="J115" s="34" t="n">
        <f aca="false" t="array" ref="J115:J115">MEDIAN(IF($I$4:$I$1803=I115,$H$4:$H$1803))</f>
        <v>6710</v>
      </c>
      <c r="K115" s="59" t="n">
        <f aca="false">H115/J115</f>
        <v>0.606259314456036</v>
      </c>
    </row>
    <row r="116" customFormat="false" ht="15" hidden="false" customHeight="false" outlineLevel="0" collapsed="false">
      <c r="A116" s="39" t="s">
        <v>879</v>
      </c>
      <c r="B116" s="39" t="s">
        <v>880</v>
      </c>
      <c r="C116" s="39" t="s">
        <v>899</v>
      </c>
      <c r="D116" s="39" t="s">
        <v>885</v>
      </c>
      <c r="E116" s="39" t="s">
        <v>883</v>
      </c>
      <c r="F116" s="39"/>
      <c r="G116" s="58" t="n">
        <v>996</v>
      </c>
      <c r="H116" s="34" t="n">
        <f aca="false">G116*2</f>
        <v>1992</v>
      </c>
      <c r="I116" s="39" t="str">
        <f aca="false">A116&amp;"|"&amp;B116&amp;"|"&amp;D116&amp;"|"&amp;E116&amp;F116</f>
        <v>auto|Oklahoma City|scenario B (age 21)|male</v>
      </c>
      <c r="J116" s="34" t="n">
        <f aca="false" t="array" ref="J116:J116">MEDIAN(IF($I$4:$I$1803=I116,$H$4:$H$1803))</f>
        <v>3517</v>
      </c>
      <c r="K116" s="59" t="n">
        <f aca="false">H116/J116</f>
        <v>0.56639181120273</v>
      </c>
    </row>
    <row r="117" customFormat="false" ht="15" hidden="false" customHeight="false" outlineLevel="0" collapsed="false">
      <c r="A117" s="39" t="s">
        <v>879</v>
      </c>
      <c r="B117" s="39" t="s">
        <v>880</v>
      </c>
      <c r="C117" s="39" t="s">
        <v>899</v>
      </c>
      <c r="D117" s="39" t="s">
        <v>885</v>
      </c>
      <c r="E117" s="39" t="s">
        <v>884</v>
      </c>
      <c r="F117" s="39"/>
      <c r="G117" s="58" t="n">
        <v>938</v>
      </c>
      <c r="H117" s="34" t="n">
        <f aca="false">G117*2</f>
        <v>1876</v>
      </c>
      <c r="I117" s="39" t="str">
        <f aca="false">A117&amp;"|"&amp;B117&amp;"|"&amp;D117&amp;"|"&amp;E117&amp;F117</f>
        <v>auto|Oklahoma City|scenario B (age 21)|female</v>
      </c>
      <c r="J117" s="34" t="n">
        <f aca="false" t="array" ref="J117:J117">MEDIAN(IF($I$4:$I$1803=I117,$H$4:$H$1803))</f>
        <v>3138</v>
      </c>
      <c r="K117" s="59" t="n">
        <f aca="false">H117/J117</f>
        <v>0.597833014659019</v>
      </c>
    </row>
    <row r="118" customFormat="false" ht="15" hidden="false" customHeight="false" outlineLevel="0" collapsed="false">
      <c r="A118" s="39" t="s">
        <v>879</v>
      </c>
      <c r="B118" s="39" t="s">
        <v>880</v>
      </c>
      <c r="C118" s="39" t="s">
        <v>899</v>
      </c>
      <c r="D118" s="39" t="s">
        <v>886</v>
      </c>
      <c r="E118" s="39" t="s">
        <v>883</v>
      </c>
      <c r="F118" s="39"/>
      <c r="G118" s="58" t="n">
        <v>554</v>
      </c>
      <c r="H118" s="34" t="n">
        <f aca="false">G118*2</f>
        <v>1108</v>
      </c>
      <c r="I118" s="39" t="str">
        <f aca="false">A118&amp;"|"&amp;B118&amp;"|"&amp;D118&amp;"|"&amp;E118&amp;F118</f>
        <v>auto|Oklahoma City|scenario C (age 36)|male</v>
      </c>
      <c r="J118" s="34" t="n">
        <f aca="false" t="array" ref="J118:J118">MEDIAN(IF($I$4:$I$1803=I118,$H$4:$H$1803))</f>
        <v>2128</v>
      </c>
      <c r="K118" s="59" t="n">
        <f aca="false">H118/J118</f>
        <v>0.520676691729323</v>
      </c>
    </row>
    <row r="119" customFormat="false" ht="15" hidden="false" customHeight="false" outlineLevel="0" collapsed="false">
      <c r="A119" s="39" t="s">
        <v>879</v>
      </c>
      <c r="B119" s="39" t="s">
        <v>880</v>
      </c>
      <c r="C119" s="39" t="s">
        <v>899</v>
      </c>
      <c r="D119" s="39" t="s">
        <v>886</v>
      </c>
      <c r="E119" s="39" t="s">
        <v>884</v>
      </c>
      <c r="F119" s="39"/>
      <c r="G119" s="58" t="n">
        <v>519</v>
      </c>
      <c r="H119" s="34" t="n">
        <f aca="false">G119*2</f>
        <v>1038</v>
      </c>
      <c r="I119" s="39" t="str">
        <f aca="false">A119&amp;"|"&amp;B119&amp;"|"&amp;D119&amp;"|"&amp;E119&amp;F119</f>
        <v>auto|Oklahoma City|scenario C (age 36)|female</v>
      </c>
      <c r="J119" s="34" t="n">
        <f aca="false" t="array" ref="J119:J119">MEDIAN(IF($I$4:$I$1803=I119,$H$4:$H$1803))</f>
        <v>2026</v>
      </c>
      <c r="K119" s="59" t="n">
        <f aca="false">H119/J119</f>
        <v>0.512339585389931</v>
      </c>
    </row>
    <row r="120" customFormat="false" ht="15" hidden="false" customHeight="false" outlineLevel="0" collapsed="false">
      <c r="A120" s="39" t="s">
        <v>879</v>
      </c>
      <c r="B120" s="39" t="s">
        <v>880</v>
      </c>
      <c r="C120" s="39" t="s">
        <v>899</v>
      </c>
      <c r="D120" s="39" t="s">
        <v>887</v>
      </c>
      <c r="E120" s="39" t="s">
        <v>883</v>
      </c>
      <c r="F120" s="39"/>
      <c r="G120" s="58" t="n">
        <v>567</v>
      </c>
      <c r="H120" s="34" t="n">
        <f aca="false">G120*2</f>
        <v>1134</v>
      </c>
      <c r="I120" s="39" t="str">
        <f aca="false">A120&amp;"|"&amp;B120&amp;"|"&amp;D120&amp;"|"&amp;E120&amp;F120</f>
        <v>auto|Oklahoma City|scenario D (age 55)|male</v>
      </c>
      <c r="J120" s="34" t="n">
        <f aca="false" t="array" ref="J120:J120">MEDIAN(IF($I$4:$I$1803=I120,$H$4:$H$1803))</f>
        <v>1762</v>
      </c>
      <c r="K120" s="59" t="n">
        <f aca="false">H120/J120</f>
        <v>0.643586833144154</v>
      </c>
    </row>
    <row r="121" customFormat="false" ht="15" hidden="false" customHeight="false" outlineLevel="0" collapsed="false">
      <c r="A121" s="39" t="s">
        <v>879</v>
      </c>
      <c r="B121" s="39" t="s">
        <v>880</v>
      </c>
      <c r="C121" s="39" t="s">
        <v>899</v>
      </c>
      <c r="D121" s="39" t="s">
        <v>887</v>
      </c>
      <c r="E121" s="39" t="s">
        <v>884</v>
      </c>
      <c r="F121" s="39"/>
      <c r="G121" s="58" t="n">
        <v>529</v>
      </c>
      <c r="H121" s="34" t="n">
        <f aca="false">G121*2</f>
        <v>1058</v>
      </c>
      <c r="I121" s="39" t="str">
        <f aca="false">A121&amp;"|"&amp;B121&amp;"|"&amp;D121&amp;"|"&amp;E121&amp;F121</f>
        <v>auto|Oklahoma City|scenario D (age 55)|female</v>
      </c>
      <c r="J121" s="34" t="n">
        <f aca="false" t="array" ref="J121:J121">MEDIAN(IF($I$4:$I$1803=I121,$H$4:$H$1803))</f>
        <v>1664</v>
      </c>
      <c r="K121" s="59" t="n">
        <f aca="false">H121/J121</f>
        <v>0.635817307692308</v>
      </c>
    </row>
    <row r="122" customFormat="false" ht="15" hidden="false" customHeight="false" outlineLevel="0" collapsed="false">
      <c r="A122" s="39" t="s">
        <v>879</v>
      </c>
      <c r="B122" s="39" t="s">
        <v>880</v>
      </c>
      <c r="C122" s="39" t="s">
        <v>899</v>
      </c>
      <c r="D122" s="39" t="s">
        <v>888</v>
      </c>
      <c r="E122" s="39" t="s">
        <v>883</v>
      </c>
      <c r="F122" s="39"/>
      <c r="G122" s="58" t="n">
        <v>571</v>
      </c>
      <c r="H122" s="34" t="n">
        <f aca="false">G122*2</f>
        <v>1142</v>
      </c>
      <c r="I122" s="39" t="str">
        <f aca="false">A122&amp;"|"&amp;B122&amp;"|"&amp;D122&amp;"|"&amp;E122&amp;F122</f>
        <v>auto|Oklahoma City|scenario E (age 70)|male</v>
      </c>
      <c r="J122" s="34" t="n">
        <f aca="false" t="array" ref="J122:J122">MEDIAN(IF($I$4:$I$1803=I122,$H$4:$H$1803))</f>
        <v>1649</v>
      </c>
      <c r="K122" s="59" t="n">
        <f aca="false">H122/J122</f>
        <v>0.692540933899333</v>
      </c>
    </row>
    <row r="123" customFormat="false" ht="15" hidden="false" customHeight="false" outlineLevel="0" collapsed="false">
      <c r="A123" s="39" t="s">
        <v>879</v>
      </c>
      <c r="B123" s="39" t="s">
        <v>880</v>
      </c>
      <c r="C123" s="39" t="s">
        <v>899</v>
      </c>
      <c r="D123" s="39" t="s">
        <v>888</v>
      </c>
      <c r="E123" s="39" t="s">
        <v>884</v>
      </c>
      <c r="F123" s="39"/>
      <c r="G123" s="58" t="n">
        <v>511</v>
      </c>
      <c r="H123" s="34" t="n">
        <f aca="false">G123*2</f>
        <v>1022</v>
      </c>
      <c r="I123" s="39" t="str">
        <f aca="false">A123&amp;"|"&amp;B123&amp;"|"&amp;D123&amp;"|"&amp;E123&amp;F123</f>
        <v>auto|Oklahoma City|scenario E (age 70)|female</v>
      </c>
      <c r="J123" s="34" t="n">
        <f aca="false" t="array" ref="J123:J123">MEDIAN(IF($I$4:$I$1803=I123,$H$4:$H$1803))</f>
        <v>1664</v>
      </c>
      <c r="K123" s="59" t="n">
        <f aca="false">H123/J123</f>
        <v>0.614182692307692</v>
      </c>
    </row>
    <row r="124" customFormat="false" ht="15" hidden="false" customHeight="false" outlineLevel="0" collapsed="false">
      <c r="A124" s="39" t="s">
        <v>879</v>
      </c>
      <c r="B124" s="39" t="s">
        <v>880</v>
      </c>
      <c r="C124" s="39" t="s">
        <v>900</v>
      </c>
      <c r="D124" s="39" t="s">
        <v>882</v>
      </c>
      <c r="E124" s="39" t="s">
        <v>883</v>
      </c>
      <c r="F124" s="39"/>
      <c r="G124" s="58" t="n">
        <v>2591</v>
      </c>
      <c r="H124" s="34" t="n">
        <f aca="false">G124*2</f>
        <v>5182</v>
      </c>
      <c r="I124" s="39" t="str">
        <f aca="false">A124&amp;"|"&amp;B124&amp;"|"&amp;D124&amp;"|"&amp;E124&amp;F124</f>
        <v>auto|Oklahoma City|scenario A (age 16)|male</v>
      </c>
      <c r="J124" s="34" t="n">
        <f aca="false" t="array" ref="J124:J124">MEDIAN(IF($I$4:$I$1803=I124,$H$4:$H$1803))</f>
        <v>8358</v>
      </c>
      <c r="K124" s="59" t="n">
        <f aca="false">H124/J124</f>
        <v>0.620004785833932</v>
      </c>
    </row>
    <row r="125" customFormat="false" ht="15" hidden="false" customHeight="false" outlineLevel="0" collapsed="false">
      <c r="A125" s="39" t="s">
        <v>879</v>
      </c>
      <c r="B125" s="39" t="s">
        <v>880</v>
      </c>
      <c r="C125" s="39" t="s">
        <v>900</v>
      </c>
      <c r="D125" s="39" t="s">
        <v>882</v>
      </c>
      <c r="E125" s="39" t="s">
        <v>884</v>
      </c>
      <c r="F125" s="39"/>
      <c r="G125" s="58" t="n">
        <v>1898</v>
      </c>
      <c r="H125" s="34" t="n">
        <f aca="false">G125*2</f>
        <v>3796</v>
      </c>
      <c r="I125" s="39" t="str">
        <f aca="false">A125&amp;"|"&amp;B125&amp;"|"&amp;D125&amp;"|"&amp;E125&amp;F125</f>
        <v>auto|Oklahoma City|scenario A (age 16)|female</v>
      </c>
      <c r="J125" s="34" t="n">
        <f aca="false" t="array" ref="J125:J125">MEDIAN(IF($I$4:$I$1803=I125,$H$4:$H$1803))</f>
        <v>6710</v>
      </c>
      <c r="K125" s="59" t="n">
        <f aca="false">H125/J125</f>
        <v>0.565722801788376</v>
      </c>
    </row>
    <row r="126" customFormat="false" ht="15" hidden="false" customHeight="false" outlineLevel="0" collapsed="false">
      <c r="A126" s="39" t="s">
        <v>879</v>
      </c>
      <c r="B126" s="39" t="s">
        <v>880</v>
      </c>
      <c r="C126" s="39" t="s">
        <v>900</v>
      </c>
      <c r="D126" s="39" t="s">
        <v>885</v>
      </c>
      <c r="E126" s="39" t="s">
        <v>883</v>
      </c>
      <c r="F126" s="39"/>
      <c r="G126" s="58" t="n">
        <v>1691</v>
      </c>
      <c r="H126" s="34" t="n">
        <f aca="false">G126*2</f>
        <v>3382</v>
      </c>
      <c r="I126" s="39" t="str">
        <f aca="false">A126&amp;"|"&amp;B126&amp;"|"&amp;D126&amp;"|"&amp;E126&amp;F126</f>
        <v>auto|Oklahoma City|scenario B (age 21)|male</v>
      </c>
      <c r="J126" s="34" t="n">
        <f aca="false" t="array" ref="J126:J126">MEDIAN(IF($I$4:$I$1803=I126,$H$4:$H$1803))</f>
        <v>3517</v>
      </c>
      <c r="K126" s="59" t="n">
        <f aca="false">H126/J126</f>
        <v>0.961615012794996</v>
      </c>
    </row>
    <row r="127" customFormat="false" ht="15" hidden="false" customHeight="false" outlineLevel="0" collapsed="false">
      <c r="A127" s="39" t="s">
        <v>879</v>
      </c>
      <c r="B127" s="39" t="s">
        <v>880</v>
      </c>
      <c r="C127" s="39" t="s">
        <v>900</v>
      </c>
      <c r="D127" s="39" t="s">
        <v>885</v>
      </c>
      <c r="E127" s="39" t="s">
        <v>884</v>
      </c>
      <c r="F127" s="39"/>
      <c r="G127" s="58" t="n">
        <v>1385</v>
      </c>
      <c r="H127" s="34" t="n">
        <f aca="false">G127*2</f>
        <v>2770</v>
      </c>
      <c r="I127" s="39" t="str">
        <f aca="false">A127&amp;"|"&amp;B127&amp;"|"&amp;D127&amp;"|"&amp;E127&amp;F127</f>
        <v>auto|Oklahoma City|scenario B (age 21)|female</v>
      </c>
      <c r="J127" s="34" t="n">
        <f aca="false" t="array" ref="J127:J127">MEDIAN(IF($I$4:$I$1803=I127,$H$4:$H$1803))</f>
        <v>3138</v>
      </c>
      <c r="K127" s="59" t="n">
        <f aca="false">H127/J127</f>
        <v>0.882727852135118</v>
      </c>
    </row>
    <row r="128" customFormat="false" ht="15" hidden="false" customHeight="false" outlineLevel="0" collapsed="false">
      <c r="A128" s="39" t="s">
        <v>879</v>
      </c>
      <c r="B128" s="39" t="s">
        <v>880</v>
      </c>
      <c r="C128" s="39" t="s">
        <v>900</v>
      </c>
      <c r="D128" s="39" t="s">
        <v>886</v>
      </c>
      <c r="E128" s="39" t="s">
        <v>883</v>
      </c>
      <c r="F128" s="39"/>
      <c r="G128" s="58" t="n">
        <v>823</v>
      </c>
      <c r="H128" s="34" t="n">
        <f aca="false">G128*2</f>
        <v>1646</v>
      </c>
      <c r="I128" s="39" t="str">
        <f aca="false">A128&amp;"|"&amp;B128&amp;"|"&amp;D128&amp;"|"&amp;E128&amp;F128</f>
        <v>auto|Oklahoma City|scenario C (age 36)|male</v>
      </c>
      <c r="J128" s="34" t="n">
        <f aca="false" t="array" ref="J128:J128">MEDIAN(IF($I$4:$I$1803=I128,$H$4:$H$1803))</f>
        <v>2128</v>
      </c>
      <c r="K128" s="59" t="n">
        <f aca="false">H128/J128</f>
        <v>0.773496240601504</v>
      </c>
    </row>
    <row r="129" customFormat="false" ht="15" hidden="false" customHeight="false" outlineLevel="0" collapsed="false">
      <c r="A129" s="39" t="s">
        <v>879</v>
      </c>
      <c r="B129" s="39" t="s">
        <v>880</v>
      </c>
      <c r="C129" s="39" t="s">
        <v>900</v>
      </c>
      <c r="D129" s="39" t="s">
        <v>886</v>
      </c>
      <c r="E129" s="39" t="s">
        <v>884</v>
      </c>
      <c r="F129" s="39"/>
      <c r="G129" s="58" t="n">
        <v>818</v>
      </c>
      <c r="H129" s="34" t="n">
        <f aca="false">G129*2</f>
        <v>1636</v>
      </c>
      <c r="I129" s="39" t="str">
        <f aca="false">A129&amp;"|"&amp;B129&amp;"|"&amp;D129&amp;"|"&amp;E129&amp;F129</f>
        <v>auto|Oklahoma City|scenario C (age 36)|female</v>
      </c>
      <c r="J129" s="34" t="n">
        <f aca="false" t="array" ref="J129:J129">MEDIAN(IF($I$4:$I$1803=I129,$H$4:$H$1803))</f>
        <v>2026</v>
      </c>
      <c r="K129" s="59" t="n">
        <f aca="false">H129/J129</f>
        <v>0.807502467917078</v>
      </c>
    </row>
    <row r="130" customFormat="false" ht="15" hidden="false" customHeight="false" outlineLevel="0" collapsed="false">
      <c r="A130" s="39" t="s">
        <v>879</v>
      </c>
      <c r="B130" s="39" t="s">
        <v>880</v>
      </c>
      <c r="C130" s="39" t="s">
        <v>900</v>
      </c>
      <c r="D130" s="39" t="s">
        <v>887</v>
      </c>
      <c r="E130" s="39" t="s">
        <v>883</v>
      </c>
      <c r="F130" s="39"/>
      <c r="G130" s="58" t="n">
        <v>676</v>
      </c>
      <c r="H130" s="34" t="n">
        <f aca="false">G130*2</f>
        <v>1352</v>
      </c>
      <c r="I130" s="39" t="str">
        <f aca="false">A130&amp;"|"&amp;B130&amp;"|"&amp;D130&amp;"|"&amp;E130&amp;F130</f>
        <v>auto|Oklahoma City|scenario D (age 55)|male</v>
      </c>
      <c r="J130" s="34" t="n">
        <f aca="false" t="array" ref="J130:J130">MEDIAN(IF($I$4:$I$1803=I130,$H$4:$H$1803))</f>
        <v>1762</v>
      </c>
      <c r="K130" s="59" t="n">
        <f aca="false">H130/J130</f>
        <v>0.767309875141884</v>
      </c>
    </row>
    <row r="131" customFormat="false" ht="15" hidden="false" customHeight="false" outlineLevel="0" collapsed="false">
      <c r="A131" s="39" t="s">
        <v>879</v>
      </c>
      <c r="B131" s="39" t="s">
        <v>880</v>
      </c>
      <c r="C131" s="39" t="s">
        <v>900</v>
      </c>
      <c r="D131" s="39" t="s">
        <v>887</v>
      </c>
      <c r="E131" s="39" t="s">
        <v>884</v>
      </c>
      <c r="F131" s="39"/>
      <c r="G131" s="58" t="n">
        <v>640</v>
      </c>
      <c r="H131" s="34" t="n">
        <f aca="false">G131*2</f>
        <v>1280</v>
      </c>
      <c r="I131" s="39" t="str">
        <f aca="false">A131&amp;"|"&amp;B131&amp;"|"&amp;D131&amp;"|"&amp;E131&amp;F131</f>
        <v>auto|Oklahoma City|scenario D (age 55)|female</v>
      </c>
      <c r="J131" s="34" t="n">
        <f aca="false" t="array" ref="J131:J131">MEDIAN(IF($I$4:$I$1803=I131,$H$4:$H$1803))</f>
        <v>1664</v>
      </c>
      <c r="K131" s="59" t="n">
        <f aca="false">H131/J131</f>
        <v>0.769230769230769</v>
      </c>
    </row>
    <row r="132" customFormat="false" ht="15" hidden="false" customHeight="false" outlineLevel="0" collapsed="false">
      <c r="A132" s="39" t="s">
        <v>879</v>
      </c>
      <c r="B132" s="39" t="s">
        <v>880</v>
      </c>
      <c r="C132" s="39" t="s">
        <v>900</v>
      </c>
      <c r="D132" s="39" t="s">
        <v>888</v>
      </c>
      <c r="E132" s="39" t="s">
        <v>883</v>
      </c>
      <c r="F132" s="39"/>
      <c r="G132" s="58" t="n">
        <v>660</v>
      </c>
      <c r="H132" s="34" t="n">
        <f aca="false">G132*2</f>
        <v>1320</v>
      </c>
      <c r="I132" s="39" t="str">
        <f aca="false">A132&amp;"|"&amp;B132&amp;"|"&amp;D132&amp;"|"&amp;E132&amp;F132</f>
        <v>auto|Oklahoma City|scenario E (age 70)|male</v>
      </c>
      <c r="J132" s="34" t="n">
        <f aca="false" t="array" ref="J132:J132">MEDIAN(IF($I$4:$I$1803=I132,$H$4:$H$1803))</f>
        <v>1649</v>
      </c>
      <c r="K132" s="59" t="n">
        <f aca="false">H132/J132</f>
        <v>0.800485142510613</v>
      </c>
    </row>
    <row r="133" customFormat="false" ht="15" hidden="false" customHeight="false" outlineLevel="0" collapsed="false">
      <c r="A133" s="39" t="s">
        <v>879</v>
      </c>
      <c r="B133" s="39" t="s">
        <v>880</v>
      </c>
      <c r="C133" s="39" t="s">
        <v>900</v>
      </c>
      <c r="D133" s="39" t="s">
        <v>888</v>
      </c>
      <c r="E133" s="39" t="s">
        <v>884</v>
      </c>
      <c r="F133" s="39"/>
      <c r="G133" s="58" t="n">
        <v>632</v>
      </c>
      <c r="H133" s="34" t="n">
        <f aca="false">G133*2</f>
        <v>1264</v>
      </c>
      <c r="I133" s="39" t="str">
        <f aca="false">A133&amp;"|"&amp;B133&amp;"|"&amp;D133&amp;"|"&amp;E133&amp;F133</f>
        <v>auto|Oklahoma City|scenario E (age 70)|female</v>
      </c>
      <c r="J133" s="34" t="n">
        <f aca="false" t="array" ref="J133:J133">MEDIAN(IF($I$4:$I$1803=I133,$H$4:$H$1803))</f>
        <v>1664</v>
      </c>
      <c r="K133" s="59" t="n">
        <f aca="false">H133/J133</f>
        <v>0.759615384615385</v>
      </c>
    </row>
    <row r="134" customFormat="false" ht="15" hidden="false" customHeight="false" outlineLevel="0" collapsed="false">
      <c r="A134" s="39" t="s">
        <v>879</v>
      </c>
      <c r="B134" s="39" t="s">
        <v>880</v>
      </c>
      <c r="C134" s="39" t="s">
        <v>901</v>
      </c>
      <c r="D134" s="39" t="s">
        <v>882</v>
      </c>
      <c r="E134" s="39" t="s">
        <v>883</v>
      </c>
      <c r="F134" s="39"/>
      <c r="G134" s="58" t="n">
        <v>3993</v>
      </c>
      <c r="H134" s="34" t="n">
        <f aca="false">G134*2</f>
        <v>7986</v>
      </c>
      <c r="I134" s="39" t="str">
        <f aca="false">A134&amp;"|"&amp;B134&amp;"|"&amp;D134&amp;"|"&amp;E134&amp;F134</f>
        <v>auto|Oklahoma City|scenario A (age 16)|male</v>
      </c>
      <c r="J134" s="34" t="n">
        <f aca="false" t="array" ref="J134:J134">MEDIAN(IF($I$4:$I$1803=I134,$H$4:$H$1803))</f>
        <v>8358</v>
      </c>
      <c r="K134" s="59" t="n">
        <f aca="false">H134/J134</f>
        <v>0.955491744436468</v>
      </c>
    </row>
    <row r="135" customFormat="false" ht="15" hidden="false" customHeight="false" outlineLevel="0" collapsed="false">
      <c r="A135" s="39" t="s">
        <v>879</v>
      </c>
      <c r="B135" s="39" t="s">
        <v>880</v>
      </c>
      <c r="C135" s="39" t="s">
        <v>901</v>
      </c>
      <c r="D135" s="39" t="s">
        <v>882</v>
      </c>
      <c r="E135" s="39" t="s">
        <v>884</v>
      </c>
      <c r="F135" s="39"/>
      <c r="G135" s="58" t="n">
        <v>3131</v>
      </c>
      <c r="H135" s="34" t="n">
        <f aca="false">G135*2</f>
        <v>6262</v>
      </c>
      <c r="I135" s="39" t="str">
        <f aca="false">A135&amp;"|"&amp;B135&amp;"|"&amp;D135&amp;"|"&amp;E135&amp;F135</f>
        <v>auto|Oklahoma City|scenario A (age 16)|female</v>
      </c>
      <c r="J135" s="34" t="n">
        <f aca="false" t="array" ref="J135:J135">MEDIAN(IF($I$4:$I$1803=I135,$H$4:$H$1803))</f>
        <v>6710</v>
      </c>
      <c r="K135" s="59" t="n">
        <f aca="false">H135/J135</f>
        <v>0.933233979135619</v>
      </c>
    </row>
    <row r="136" customFormat="false" ht="15" hidden="false" customHeight="false" outlineLevel="0" collapsed="false">
      <c r="A136" s="39" t="s">
        <v>879</v>
      </c>
      <c r="B136" s="39" t="s">
        <v>880</v>
      </c>
      <c r="C136" s="39" t="s">
        <v>901</v>
      </c>
      <c r="D136" s="39" t="s">
        <v>885</v>
      </c>
      <c r="E136" s="39" t="s">
        <v>883</v>
      </c>
      <c r="F136" s="39"/>
      <c r="G136" s="58" t="n">
        <v>1775</v>
      </c>
      <c r="H136" s="34" t="n">
        <f aca="false">G136*2</f>
        <v>3550</v>
      </c>
      <c r="I136" s="39" t="str">
        <f aca="false">A136&amp;"|"&amp;B136&amp;"|"&amp;D136&amp;"|"&amp;E136&amp;F136</f>
        <v>auto|Oklahoma City|scenario B (age 21)|male</v>
      </c>
      <c r="J136" s="34" t="n">
        <f aca="false" t="array" ref="J136:J136">MEDIAN(IF($I$4:$I$1803=I136,$H$4:$H$1803))</f>
        <v>3517</v>
      </c>
      <c r="K136" s="59" t="n">
        <f aca="false">H136/J136</f>
        <v>1.00938299687233</v>
      </c>
    </row>
    <row r="137" customFormat="false" ht="15" hidden="false" customHeight="false" outlineLevel="0" collapsed="false">
      <c r="A137" s="39" t="s">
        <v>879</v>
      </c>
      <c r="B137" s="39" t="s">
        <v>880</v>
      </c>
      <c r="C137" s="39" t="s">
        <v>901</v>
      </c>
      <c r="D137" s="39" t="s">
        <v>885</v>
      </c>
      <c r="E137" s="39" t="s">
        <v>884</v>
      </c>
      <c r="F137" s="39"/>
      <c r="G137" s="58" t="n">
        <v>1501</v>
      </c>
      <c r="H137" s="34" t="n">
        <f aca="false">G137*2</f>
        <v>3002</v>
      </c>
      <c r="I137" s="39" t="str">
        <f aca="false">A137&amp;"|"&amp;B137&amp;"|"&amp;D137&amp;"|"&amp;E137&amp;F137</f>
        <v>auto|Oklahoma City|scenario B (age 21)|female</v>
      </c>
      <c r="J137" s="34" t="n">
        <f aca="false" t="array" ref="J137:J137">MEDIAN(IF($I$4:$I$1803=I137,$H$4:$H$1803))</f>
        <v>3138</v>
      </c>
      <c r="K137" s="59" t="n">
        <f aca="false">H137/J137</f>
        <v>0.95666029318037</v>
      </c>
    </row>
    <row r="138" customFormat="false" ht="15" hidden="false" customHeight="false" outlineLevel="0" collapsed="false">
      <c r="A138" s="39" t="s">
        <v>879</v>
      </c>
      <c r="B138" s="39" t="s">
        <v>880</v>
      </c>
      <c r="C138" s="39" t="s">
        <v>901</v>
      </c>
      <c r="D138" s="39" t="s">
        <v>886</v>
      </c>
      <c r="E138" s="39" t="s">
        <v>883</v>
      </c>
      <c r="F138" s="39"/>
      <c r="G138" s="58" t="n">
        <v>1155</v>
      </c>
      <c r="H138" s="34" t="n">
        <f aca="false">G138*2</f>
        <v>2310</v>
      </c>
      <c r="I138" s="39" t="str">
        <f aca="false">A138&amp;"|"&amp;B138&amp;"|"&amp;D138&amp;"|"&amp;E138&amp;F138</f>
        <v>auto|Oklahoma City|scenario C (age 36)|male</v>
      </c>
      <c r="J138" s="34" t="n">
        <f aca="false" t="array" ref="J138:J138">MEDIAN(IF($I$4:$I$1803=I138,$H$4:$H$1803))</f>
        <v>2128</v>
      </c>
      <c r="K138" s="59" t="n">
        <f aca="false">H138/J138</f>
        <v>1.08552631578947</v>
      </c>
    </row>
    <row r="139" customFormat="false" ht="15" hidden="false" customHeight="false" outlineLevel="0" collapsed="false">
      <c r="A139" s="39" t="s">
        <v>879</v>
      </c>
      <c r="B139" s="39" t="s">
        <v>880</v>
      </c>
      <c r="C139" s="39" t="s">
        <v>901</v>
      </c>
      <c r="D139" s="39" t="s">
        <v>886</v>
      </c>
      <c r="E139" s="39" t="s">
        <v>884</v>
      </c>
      <c r="F139" s="39"/>
      <c r="G139" s="58" t="n">
        <v>1097</v>
      </c>
      <c r="H139" s="34" t="n">
        <f aca="false">G139*2</f>
        <v>2194</v>
      </c>
      <c r="I139" s="39" t="str">
        <f aca="false">A139&amp;"|"&amp;B139&amp;"|"&amp;D139&amp;"|"&amp;E139&amp;F139</f>
        <v>auto|Oklahoma City|scenario C (age 36)|female</v>
      </c>
      <c r="J139" s="34" t="n">
        <f aca="false" t="array" ref="J139:J139">MEDIAN(IF($I$4:$I$1803=I139,$H$4:$H$1803))</f>
        <v>2026</v>
      </c>
      <c r="K139" s="59" t="n">
        <f aca="false">H139/J139</f>
        <v>1.08292201382034</v>
      </c>
    </row>
    <row r="140" customFormat="false" ht="15" hidden="false" customHeight="false" outlineLevel="0" collapsed="false">
      <c r="A140" s="39" t="s">
        <v>879</v>
      </c>
      <c r="B140" s="39" t="s">
        <v>880</v>
      </c>
      <c r="C140" s="39" t="s">
        <v>901</v>
      </c>
      <c r="D140" s="39" t="s">
        <v>887</v>
      </c>
      <c r="E140" s="39" t="s">
        <v>883</v>
      </c>
      <c r="F140" s="39"/>
      <c r="G140" s="58" t="n">
        <v>916</v>
      </c>
      <c r="H140" s="34" t="n">
        <f aca="false">G140*2</f>
        <v>1832</v>
      </c>
      <c r="I140" s="39" t="str">
        <f aca="false">A140&amp;"|"&amp;B140&amp;"|"&amp;D140&amp;"|"&amp;E140&amp;F140</f>
        <v>auto|Oklahoma City|scenario D (age 55)|male</v>
      </c>
      <c r="J140" s="34" t="n">
        <f aca="false" t="array" ref="J140:J140">MEDIAN(IF($I$4:$I$1803=I140,$H$4:$H$1803))</f>
        <v>1762</v>
      </c>
      <c r="K140" s="59" t="n">
        <f aca="false">H140/J140</f>
        <v>1.03972758229285</v>
      </c>
    </row>
    <row r="141" customFormat="false" ht="15" hidden="false" customHeight="false" outlineLevel="0" collapsed="false">
      <c r="A141" s="39" t="s">
        <v>879</v>
      </c>
      <c r="B141" s="39" t="s">
        <v>880</v>
      </c>
      <c r="C141" s="39" t="s">
        <v>901</v>
      </c>
      <c r="D141" s="39" t="s">
        <v>887</v>
      </c>
      <c r="E141" s="39" t="s">
        <v>884</v>
      </c>
      <c r="F141" s="39"/>
      <c r="G141" s="58" t="n">
        <v>865</v>
      </c>
      <c r="H141" s="34" t="n">
        <f aca="false">G141*2</f>
        <v>1730</v>
      </c>
      <c r="I141" s="39" t="str">
        <f aca="false">A141&amp;"|"&amp;B141&amp;"|"&amp;D141&amp;"|"&amp;E141&amp;F141</f>
        <v>auto|Oklahoma City|scenario D (age 55)|female</v>
      </c>
      <c r="J141" s="34" t="n">
        <f aca="false" t="array" ref="J141:J141">MEDIAN(IF($I$4:$I$1803=I141,$H$4:$H$1803))</f>
        <v>1664</v>
      </c>
      <c r="K141" s="59" t="n">
        <f aca="false">H141/J141</f>
        <v>1.03966346153846</v>
      </c>
    </row>
    <row r="142" customFormat="false" ht="15" hidden="false" customHeight="false" outlineLevel="0" collapsed="false">
      <c r="A142" s="39" t="s">
        <v>879</v>
      </c>
      <c r="B142" s="39" t="s">
        <v>880</v>
      </c>
      <c r="C142" s="39" t="s">
        <v>901</v>
      </c>
      <c r="D142" s="39" t="s">
        <v>888</v>
      </c>
      <c r="E142" s="39" t="s">
        <v>883</v>
      </c>
      <c r="F142" s="39"/>
      <c r="G142" s="58" t="n">
        <v>1003</v>
      </c>
      <c r="H142" s="34" t="n">
        <f aca="false">G142*2</f>
        <v>2006</v>
      </c>
      <c r="I142" s="39" t="str">
        <f aca="false">A142&amp;"|"&amp;B142&amp;"|"&amp;D142&amp;"|"&amp;E142&amp;F142</f>
        <v>auto|Oklahoma City|scenario E (age 70)|male</v>
      </c>
      <c r="J142" s="34" t="n">
        <f aca="false" t="array" ref="J142:J142">MEDIAN(IF($I$4:$I$1803=I142,$H$4:$H$1803))</f>
        <v>1649</v>
      </c>
      <c r="K142" s="59" t="n">
        <f aca="false">H142/J142</f>
        <v>1.21649484536082</v>
      </c>
    </row>
    <row r="143" customFormat="false" ht="15" hidden="false" customHeight="false" outlineLevel="0" collapsed="false">
      <c r="A143" s="39" t="s">
        <v>879</v>
      </c>
      <c r="B143" s="39" t="s">
        <v>880</v>
      </c>
      <c r="C143" s="39" t="s">
        <v>901</v>
      </c>
      <c r="D143" s="39" t="s">
        <v>888</v>
      </c>
      <c r="E143" s="39" t="s">
        <v>884</v>
      </c>
      <c r="F143" s="39"/>
      <c r="G143" s="58" t="n">
        <v>908</v>
      </c>
      <c r="H143" s="34" t="n">
        <f aca="false">G143*2</f>
        <v>1816</v>
      </c>
      <c r="I143" s="39" t="str">
        <f aca="false">A143&amp;"|"&amp;B143&amp;"|"&amp;D143&amp;"|"&amp;E143&amp;F143</f>
        <v>auto|Oklahoma City|scenario E (age 70)|female</v>
      </c>
      <c r="J143" s="34" t="n">
        <f aca="false" t="array" ref="J143:J143">MEDIAN(IF($I$4:$I$1803=I143,$H$4:$H$1803))</f>
        <v>1664</v>
      </c>
      <c r="K143" s="59" t="n">
        <f aca="false">H143/J143</f>
        <v>1.09134615384615</v>
      </c>
    </row>
    <row r="144" customFormat="false" ht="15" hidden="false" customHeight="false" outlineLevel="0" collapsed="false">
      <c r="A144" s="39" t="s">
        <v>879</v>
      </c>
      <c r="B144" s="39" t="s">
        <v>880</v>
      </c>
      <c r="C144" s="39" t="s">
        <v>902</v>
      </c>
      <c r="D144" s="39" t="s">
        <v>882</v>
      </c>
      <c r="E144" s="39" t="s">
        <v>883</v>
      </c>
      <c r="F144" s="39"/>
      <c r="G144" s="58" t="n">
        <v>1578</v>
      </c>
      <c r="H144" s="34" t="n">
        <f aca="false">G144*2</f>
        <v>3156</v>
      </c>
      <c r="I144" s="39" t="str">
        <f aca="false">A144&amp;"|"&amp;B144&amp;"|"&amp;D144&amp;"|"&amp;E144&amp;F144</f>
        <v>auto|Oklahoma City|scenario A (age 16)|male</v>
      </c>
      <c r="J144" s="34" t="n">
        <f aca="false" t="array" ref="J144:J144">MEDIAN(IF($I$4:$I$1803=I144,$H$4:$H$1803))</f>
        <v>8358</v>
      </c>
      <c r="K144" s="59" t="n">
        <f aca="false">H144/J144</f>
        <v>0.377602297200287</v>
      </c>
    </row>
    <row r="145" customFormat="false" ht="15" hidden="false" customHeight="false" outlineLevel="0" collapsed="false">
      <c r="A145" s="39" t="s">
        <v>879</v>
      </c>
      <c r="B145" s="39" t="s">
        <v>880</v>
      </c>
      <c r="C145" s="39" t="s">
        <v>902</v>
      </c>
      <c r="D145" s="39" t="s">
        <v>882</v>
      </c>
      <c r="E145" s="39" t="s">
        <v>884</v>
      </c>
      <c r="F145" s="39"/>
      <c r="G145" s="58" t="n">
        <v>1581</v>
      </c>
      <c r="H145" s="34" t="n">
        <f aca="false">G145*2</f>
        <v>3162</v>
      </c>
      <c r="I145" s="39" t="str">
        <f aca="false">A145&amp;"|"&amp;B145&amp;"|"&amp;D145&amp;"|"&amp;E145&amp;F145</f>
        <v>auto|Oklahoma City|scenario A (age 16)|female</v>
      </c>
      <c r="J145" s="34" t="n">
        <f aca="false" t="array" ref="J145:J145">MEDIAN(IF($I$4:$I$1803=I145,$H$4:$H$1803))</f>
        <v>6710</v>
      </c>
      <c r="K145" s="59" t="n">
        <f aca="false">H145/J145</f>
        <v>0.47123695976155</v>
      </c>
    </row>
    <row r="146" customFormat="false" ht="15" hidden="false" customHeight="false" outlineLevel="0" collapsed="false">
      <c r="A146" s="39" t="s">
        <v>879</v>
      </c>
      <c r="B146" s="39" t="s">
        <v>880</v>
      </c>
      <c r="C146" s="39" t="s">
        <v>902</v>
      </c>
      <c r="D146" s="39" t="s">
        <v>885</v>
      </c>
      <c r="E146" s="39" t="s">
        <v>883</v>
      </c>
      <c r="F146" s="39"/>
      <c r="G146" s="58" t="n">
        <v>2937</v>
      </c>
      <c r="H146" s="34" t="n">
        <f aca="false">G146*2</f>
        <v>5874</v>
      </c>
      <c r="I146" s="39" t="str">
        <f aca="false">A146&amp;"|"&amp;B146&amp;"|"&amp;D146&amp;"|"&amp;E146&amp;F146</f>
        <v>auto|Oklahoma City|scenario B (age 21)|male</v>
      </c>
      <c r="J146" s="34" t="n">
        <f aca="false" t="array" ref="J146:J146">MEDIAN(IF($I$4:$I$1803=I146,$H$4:$H$1803))</f>
        <v>3517</v>
      </c>
      <c r="K146" s="59" t="n">
        <f aca="false">H146/J146</f>
        <v>1.67017344327552</v>
      </c>
    </row>
    <row r="147" customFormat="false" ht="15" hidden="false" customHeight="false" outlineLevel="0" collapsed="false">
      <c r="A147" s="39" t="s">
        <v>879</v>
      </c>
      <c r="B147" s="39" t="s">
        <v>880</v>
      </c>
      <c r="C147" s="39" t="s">
        <v>902</v>
      </c>
      <c r="D147" s="39" t="s">
        <v>885</v>
      </c>
      <c r="E147" s="39" t="s">
        <v>884</v>
      </c>
      <c r="F147" s="39"/>
      <c r="G147" s="58" t="n">
        <v>2968</v>
      </c>
      <c r="H147" s="34" t="n">
        <f aca="false">G147*2</f>
        <v>5936</v>
      </c>
      <c r="I147" s="39" t="str">
        <f aca="false">A147&amp;"|"&amp;B147&amp;"|"&amp;D147&amp;"|"&amp;E147&amp;F147</f>
        <v>auto|Oklahoma City|scenario B (age 21)|female</v>
      </c>
      <c r="J147" s="34" t="n">
        <f aca="false" t="array" ref="J147:J147">MEDIAN(IF($I$4:$I$1803=I147,$H$4:$H$1803))</f>
        <v>3138</v>
      </c>
      <c r="K147" s="59" t="n">
        <f aca="false">H147/J147</f>
        <v>1.89165073295092</v>
      </c>
    </row>
    <row r="148" customFormat="false" ht="15" hidden="false" customHeight="false" outlineLevel="0" collapsed="false">
      <c r="A148" s="39" t="s">
        <v>879</v>
      </c>
      <c r="B148" s="39" t="s">
        <v>880</v>
      </c>
      <c r="C148" s="39" t="s">
        <v>902</v>
      </c>
      <c r="D148" s="39" t="s">
        <v>886</v>
      </c>
      <c r="E148" s="39" t="s">
        <v>883</v>
      </c>
      <c r="F148" s="39"/>
      <c r="G148" s="58" t="n">
        <v>2486</v>
      </c>
      <c r="H148" s="34" t="n">
        <f aca="false">G148*2</f>
        <v>4972</v>
      </c>
      <c r="I148" s="39" t="str">
        <f aca="false">A148&amp;"|"&amp;B148&amp;"|"&amp;D148&amp;"|"&amp;E148&amp;F148</f>
        <v>auto|Oklahoma City|scenario C (age 36)|male</v>
      </c>
      <c r="J148" s="34" t="n">
        <f aca="false" t="array" ref="J148:J148">MEDIAN(IF($I$4:$I$1803=I148,$H$4:$H$1803))</f>
        <v>2128</v>
      </c>
      <c r="K148" s="59" t="n">
        <f aca="false">H148/J148</f>
        <v>2.33646616541353</v>
      </c>
    </row>
    <row r="149" customFormat="false" ht="15" hidden="false" customHeight="false" outlineLevel="0" collapsed="false">
      <c r="A149" s="39" t="s">
        <v>879</v>
      </c>
      <c r="B149" s="39" t="s">
        <v>880</v>
      </c>
      <c r="C149" s="39" t="s">
        <v>902</v>
      </c>
      <c r="D149" s="39" t="s">
        <v>886</v>
      </c>
      <c r="E149" s="39" t="s">
        <v>884</v>
      </c>
      <c r="F149" s="39"/>
      <c r="G149" s="58" t="n">
        <v>2511</v>
      </c>
      <c r="H149" s="34" t="n">
        <f aca="false">G149*2</f>
        <v>5022</v>
      </c>
      <c r="I149" s="39" t="str">
        <f aca="false">A149&amp;"|"&amp;B149&amp;"|"&amp;D149&amp;"|"&amp;E149&amp;F149</f>
        <v>auto|Oklahoma City|scenario C (age 36)|female</v>
      </c>
      <c r="J149" s="34" t="n">
        <f aca="false" t="array" ref="J149:J149">MEDIAN(IF($I$4:$I$1803=I149,$H$4:$H$1803))</f>
        <v>2026</v>
      </c>
      <c r="K149" s="59" t="n">
        <f aca="false">H149/J149</f>
        <v>2.47877591312932</v>
      </c>
    </row>
    <row r="150" customFormat="false" ht="15" hidden="false" customHeight="false" outlineLevel="0" collapsed="false">
      <c r="A150" s="39" t="s">
        <v>879</v>
      </c>
      <c r="B150" s="39" t="s">
        <v>880</v>
      </c>
      <c r="C150" s="39" t="s">
        <v>902</v>
      </c>
      <c r="D150" s="39" t="s">
        <v>887</v>
      </c>
      <c r="E150" s="39" t="s">
        <v>883</v>
      </c>
      <c r="F150" s="39"/>
      <c r="G150" s="58" t="n">
        <v>2349</v>
      </c>
      <c r="H150" s="34" t="n">
        <f aca="false">G150*2</f>
        <v>4698</v>
      </c>
      <c r="I150" s="39" t="str">
        <f aca="false">A150&amp;"|"&amp;B150&amp;"|"&amp;D150&amp;"|"&amp;E150&amp;F150</f>
        <v>auto|Oklahoma City|scenario D (age 55)|male</v>
      </c>
      <c r="J150" s="34" t="n">
        <f aca="false" t="array" ref="J150:J150">MEDIAN(IF($I$4:$I$1803=I150,$H$4:$H$1803))</f>
        <v>1762</v>
      </c>
      <c r="K150" s="59" t="n">
        <f aca="false">H150/J150</f>
        <v>2.66628830874007</v>
      </c>
    </row>
    <row r="151" customFormat="false" ht="15" hidden="false" customHeight="false" outlineLevel="0" collapsed="false">
      <c r="A151" s="39" t="s">
        <v>879</v>
      </c>
      <c r="B151" s="39" t="s">
        <v>880</v>
      </c>
      <c r="C151" s="39" t="s">
        <v>902</v>
      </c>
      <c r="D151" s="39" t="s">
        <v>887</v>
      </c>
      <c r="E151" s="39" t="s">
        <v>884</v>
      </c>
      <c r="F151" s="39"/>
      <c r="G151" s="58" t="n">
        <v>2351</v>
      </c>
      <c r="H151" s="34" t="n">
        <f aca="false">G151*2</f>
        <v>4702</v>
      </c>
      <c r="I151" s="39" t="str">
        <f aca="false">A151&amp;"|"&amp;B151&amp;"|"&amp;D151&amp;"|"&amp;E151&amp;F151</f>
        <v>auto|Oklahoma City|scenario D (age 55)|female</v>
      </c>
      <c r="J151" s="34" t="n">
        <f aca="false" t="array" ref="J151:J151">MEDIAN(IF($I$4:$I$1803=I151,$H$4:$H$1803))</f>
        <v>1664</v>
      </c>
      <c r="K151" s="59" t="n">
        <f aca="false">H151/J151</f>
        <v>2.82572115384615</v>
      </c>
    </row>
    <row r="152" customFormat="false" ht="15" hidden="false" customHeight="false" outlineLevel="0" collapsed="false">
      <c r="A152" s="39" t="s">
        <v>879</v>
      </c>
      <c r="B152" s="39" t="s">
        <v>880</v>
      </c>
      <c r="C152" s="39" t="s">
        <v>902</v>
      </c>
      <c r="D152" s="39" t="s">
        <v>888</v>
      </c>
      <c r="E152" s="39" t="s">
        <v>883</v>
      </c>
      <c r="F152" s="39"/>
      <c r="G152" s="58" t="n">
        <v>1082</v>
      </c>
      <c r="H152" s="34" t="n">
        <f aca="false">G152*2</f>
        <v>2164</v>
      </c>
      <c r="I152" s="39" t="str">
        <f aca="false">A152&amp;"|"&amp;B152&amp;"|"&amp;D152&amp;"|"&amp;E152&amp;F152</f>
        <v>auto|Oklahoma City|scenario E (age 70)|male</v>
      </c>
      <c r="J152" s="34" t="n">
        <f aca="false" t="array" ref="J152:J152">MEDIAN(IF($I$4:$I$1803=I152,$H$4:$H$1803))</f>
        <v>1649</v>
      </c>
      <c r="K152" s="59" t="n">
        <f aca="false">H152/J152</f>
        <v>1.31231049120679</v>
      </c>
    </row>
    <row r="153" customFormat="false" ht="15" hidden="false" customHeight="false" outlineLevel="0" collapsed="false">
      <c r="A153" s="39" t="s">
        <v>879</v>
      </c>
      <c r="B153" s="39" t="s">
        <v>880</v>
      </c>
      <c r="C153" s="39" t="s">
        <v>902</v>
      </c>
      <c r="D153" s="39" t="s">
        <v>888</v>
      </c>
      <c r="E153" s="39" t="s">
        <v>884</v>
      </c>
      <c r="F153" s="39"/>
      <c r="G153" s="58" t="n">
        <v>1138</v>
      </c>
      <c r="H153" s="34" t="n">
        <f aca="false">G153*2</f>
        <v>2276</v>
      </c>
      <c r="I153" s="39" t="str">
        <f aca="false">A153&amp;"|"&amp;B153&amp;"|"&amp;D153&amp;"|"&amp;E153&amp;F153</f>
        <v>auto|Oklahoma City|scenario E (age 70)|female</v>
      </c>
      <c r="J153" s="34" t="n">
        <f aca="false" t="array" ref="J153:J153">MEDIAN(IF($I$4:$I$1803=I153,$H$4:$H$1803))</f>
        <v>1664</v>
      </c>
      <c r="K153" s="59" t="n">
        <f aca="false">H153/J153</f>
        <v>1.36778846153846</v>
      </c>
    </row>
    <row r="154" customFormat="false" ht="15" hidden="false" customHeight="false" outlineLevel="0" collapsed="false">
      <c r="A154" s="39" t="s">
        <v>879</v>
      </c>
      <c r="B154" s="39" t="s">
        <v>880</v>
      </c>
      <c r="C154" s="39" t="s">
        <v>903</v>
      </c>
      <c r="D154" s="39" t="s">
        <v>882</v>
      </c>
      <c r="E154" s="39" t="s">
        <v>883</v>
      </c>
      <c r="F154" s="39"/>
      <c r="G154" s="58" t="n">
        <v>1158</v>
      </c>
      <c r="H154" s="34" t="n">
        <f aca="false">G154*2</f>
        <v>2316</v>
      </c>
      <c r="I154" s="39" t="str">
        <f aca="false">A154&amp;"|"&amp;B154&amp;"|"&amp;D154&amp;"|"&amp;E154&amp;F154</f>
        <v>auto|Oklahoma City|scenario A (age 16)|male</v>
      </c>
      <c r="J154" s="34" t="n">
        <f aca="false" t="array" ref="J154:J154">MEDIAN(IF($I$4:$I$1803=I154,$H$4:$H$1803))</f>
        <v>8358</v>
      </c>
      <c r="K154" s="59" t="n">
        <f aca="false">H154/J154</f>
        <v>0.277099784637473</v>
      </c>
    </row>
    <row r="155" customFormat="false" ht="15" hidden="false" customHeight="false" outlineLevel="0" collapsed="false">
      <c r="A155" s="39" t="s">
        <v>879</v>
      </c>
      <c r="B155" s="39" t="s">
        <v>880</v>
      </c>
      <c r="C155" s="39" t="s">
        <v>903</v>
      </c>
      <c r="D155" s="39" t="s">
        <v>882</v>
      </c>
      <c r="E155" s="39" t="s">
        <v>884</v>
      </c>
      <c r="F155" s="39"/>
      <c r="G155" s="58" t="n">
        <v>1161</v>
      </c>
      <c r="H155" s="34" t="n">
        <f aca="false">G155*2</f>
        <v>2322</v>
      </c>
      <c r="I155" s="39" t="str">
        <f aca="false">A155&amp;"|"&amp;B155&amp;"|"&amp;D155&amp;"|"&amp;E155&amp;F155</f>
        <v>auto|Oklahoma City|scenario A (age 16)|female</v>
      </c>
      <c r="J155" s="34" t="n">
        <f aca="false" t="array" ref="J155:J155">MEDIAN(IF($I$4:$I$1803=I155,$H$4:$H$1803))</f>
        <v>6710</v>
      </c>
      <c r="K155" s="59" t="n">
        <f aca="false">H155/J155</f>
        <v>0.346050670640835</v>
      </c>
    </row>
    <row r="156" customFormat="false" ht="15" hidden="false" customHeight="false" outlineLevel="0" collapsed="false">
      <c r="A156" s="39" t="s">
        <v>879</v>
      </c>
      <c r="B156" s="39" t="s">
        <v>880</v>
      </c>
      <c r="C156" s="39" t="s">
        <v>903</v>
      </c>
      <c r="D156" s="39" t="s">
        <v>885</v>
      </c>
      <c r="E156" s="39" t="s">
        <v>883</v>
      </c>
      <c r="F156" s="39"/>
      <c r="G156" s="58" t="n">
        <v>2156</v>
      </c>
      <c r="H156" s="34" t="n">
        <f aca="false">G156*2</f>
        <v>4312</v>
      </c>
      <c r="I156" s="39" t="str">
        <f aca="false">A156&amp;"|"&amp;B156&amp;"|"&amp;D156&amp;"|"&amp;E156&amp;F156</f>
        <v>auto|Oklahoma City|scenario B (age 21)|male</v>
      </c>
      <c r="J156" s="34" t="n">
        <f aca="false" t="array" ref="J156:J156">MEDIAN(IF($I$4:$I$1803=I156,$H$4:$H$1803))</f>
        <v>3517</v>
      </c>
      <c r="K156" s="59" t="n">
        <f aca="false">H156/J156</f>
        <v>1.22604492465169</v>
      </c>
    </row>
    <row r="157" customFormat="false" ht="15" hidden="false" customHeight="false" outlineLevel="0" collapsed="false">
      <c r="A157" s="39" t="s">
        <v>879</v>
      </c>
      <c r="B157" s="39" t="s">
        <v>880</v>
      </c>
      <c r="C157" s="39" t="s">
        <v>903</v>
      </c>
      <c r="D157" s="39" t="s">
        <v>885</v>
      </c>
      <c r="E157" s="39" t="s">
        <v>884</v>
      </c>
      <c r="F157" s="39"/>
      <c r="G157" s="58" t="n">
        <v>2179</v>
      </c>
      <c r="H157" s="34" t="n">
        <f aca="false">G157*2</f>
        <v>4358</v>
      </c>
      <c r="I157" s="39" t="str">
        <f aca="false">A157&amp;"|"&amp;B157&amp;"|"&amp;D157&amp;"|"&amp;E157&amp;F157</f>
        <v>auto|Oklahoma City|scenario B (age 21)|female</v>
      </c>
      <c r="J157" s="34" t="n">
        <f aca="false" t="array" ref="J157:J157">MEDIAN(IF($I$4:$I$1803=I157,$H$4:$H$1803))</f>
        <v>3138</v>
      </c>
      <c r="K157" s="59" t="n">
        <f aca="false">H157/J157</f>
        <v>1.38878266411727</v>
      </c>
    </row>
    <row r="158" customFormat="false" ht="15" hidden="false" customHeight="false" outlineLevel="0" collapsed="false">
      <c r="A158" s="39" t="s">
        <v>879</v>
      </c>
      <c r="B158" s="39" t="s">
        <v>880</v>
      </c>
      <c r="C158" s="39" t="s">
        <v>903</v>
      </c>
      <c r="D158" s="39" t="s">
        <v>886</v>
      </c>
      <c r="E158" s="39" t="s">
        <v>883</v>
      </c>
      <c r="F158" s="39"/>
      <c r="G158" s="58" t="n">
        <v>1826</v>
      </c>
      <c r="H158" s="34" t="n">
        <f aca="false">G158*2</f>
        <v>3652</v>
      </c>
      <c r="I158" s="39" t="str">
        <f aca="false">A158&amp;"|"&amp;B158&amp;"|"&amp;D158&amp;"|"&amp;E158&amp;F158</f>
        <v>auto|Oklahoma City|scenario C (age 36)|male</v>
      </c>
      <c r="J158" s="34" t="n">
        <f aca="false" t="array" ref="J158:J158">MEDIAN(IF($I$4:$I$1803=I158,$H$4:$H$1803))</f>
        <v>2128</v>
      </c>
      <c r="K158" s="59" t="n">
        <f aca="false">H158/J158</f>
        <v>1.71616541353383</v>
      </c>
    </row>
    <row r="159" customFormat="false" ht="15" hidden="false" customHeight="false" outlineLevel="0" collapsed="false">
      <c r="A159" s="39" t="s">
        <v>879</v>
      </c>
      <c r="B159" s="39" t="s">
        <v>880</v>
      </c>
      <c r="C159" s="39" t="s">
        <v>903</v>
      </c>
      <c r="D159" s="39" t="s">
        <v>886</v>
      </c>
      <c r="E159" s="39" t="s">
        <v>884</v>
      </c>
      <c r="F159" s="39"/>
      <c r="G159" s="58" t="n">
        <v>1844</v>
      </c>
      <c r="H159" s="34" t="n">
        <f aca="false">G159*2</f>
        <v>3688</v>
      </c>
      <c r="I159" s="39" t="str">
        <f aca="false">A159&amp;"|"&amp;B159&amp;"|"&amp;D159&amp;"|"&amp;E159&amp;F159</f>
        <v>auto|Oklahoma City|scenario C (age 36)|female</v>
      </c>
      <c r="J159" s="34" t="n">
        <f aca="false" t="array" ref="J159:J159">MEDIAN(IF($I$4:$I$1803=I159,$H$4:$H$1803))</f>
        <v>2026</v>
      </c>
      <c r="K159" s="59" t="n">
        <f aca="false">H159/J159</f>
        <v>1.82033563672261</v>
      </c>
    </row>
    <row r="160" customFormat="false" ht="15" hidden="false" customHeight="false" outlineLevel="0" collapsed="false">
      <c r="A160" s="39" t="s">
        <v>879</v>
      </c>
      <c r="B160" s="39" t="s">
        <v>880</v>
      </c>
      <c r="C160" s="39" t="s">
        <v>903</v>
      </c>
      <c r="D160" s="39" t="s">
        <v>887</v>
      </c>
      <c r="E160" s="39" t="s">
        <v>883</v>
      </c>
      <c r="F160" s="39"/>
      <c r="G160" s="58" t="n">
        <v>1725</v>
      </c>
      <c r="H160" s="34" t="n">
        <f aca="false">G160*2</f>
        <v>3450</v>
      </c>
      <c r="I160" s="39" t="str">
        <f aca="false">A160&amp;"|"&amp;B160&amp;"|"&amp;D160&amp;"|"&amp;E160&amp;F160</f>
        <v>auto|Oklahoma City|scenario D (age 55)|male</v>
      </c>
      <c r="J160" s="34" t="n">
        <f aca="false" t="array" ref="J160:J160">MEDIAN(IF($I$4:$I$1803=I160,$H$4:$H$1803))</f>
        <v>1762</v>
      </c>
      <c r="K160" s="59" t="n">
        <f aca="false">H160/J160</f>
        <v>1.95800227014756</v>
      </c>
    </row>
    <row r="161" customFormat="false" ht="15" hidden="false" customHeight="false" outlineLevel="0" collapsed="false">
      <c r="A161" s="39" t="s">
        <v>879</v>
      </c>
      <c r="B161" s="39" t="s">
        <v>880</v>
      </c>
      <c r="C161" s="39" t="s">
        <v>903</v>
      </c>
      <c r="D161" s="39" t="s">
        <v>887</v>
      </c>
      <c r="E161" s="39" t="s">
        <v>884</v>
      </c>
      <c r="F161" s="39"/>
      <c r="G161" s="58" t="n">
        <v>1726</v>
      </c>
      <c r="H161" s="34" t="n">
        <f aca="false">G161*2</f>
        <v>3452</v>
      </c>
      <c r="I161" s="39" t="str">
        <f aca="false">A161&amp;"|"&amp;B161&amp;"|"&amp;D161&amp;"|"&amp;E161&amp;F161</f>
        <v>auto|Oklahoma City|scenario D (age 55)|female</v>
      </c>
      <c r="J161" s="34" t="n">
        <f aca="false" t="array" ref="J161:J161">MEDIAN(IF($I$4:$I$1803=I161,$H$4:$H$1803))</f>
        <v>1664</v>
      </c>
      <c r="K161" s="59" t="n">
        <f aca="false">H161/J161</f>
        <v>2.07451923076923</v>
      </c>
    </row>
    <row r="162" customFormat="false" ht="15" hidden="false" customHeight="false" outlineLevel="0" collapsed="false">
      <c r="A162" s="39" t="s">
        <v>879</v>
      </c>
      <c r="B162" s="39" t="s">
        <v>880</v>
      </c>
      <c r="C162" s="39" t="s">
        <v>903</v>
      </c>
      <c r="D162" s="39" t="s">
        <v>888</v>
      </c>
      <c r="E162" s="39" t="s">
        <v>883</v>
      </c>
      <c r="F162" s="39"/>
      <c r="G162" s="58" t="n">
        <v>794</v>
      </c>
      <c r="H162" s="34" t="n">
        <f aca="false">G162*2</f>
        <v>1588</v>
      </c>
      <c r="I162" s="39" t="str">
        <f aca="false">A162&amp;"|"&amp;B162&amp;"|"&amp;D162&amp;"|"&amp;E162&amp;F162</f>
        <v>auto|Oklahoma City|scenario E (age 70)|male</v>
      </c>
      <c r="J162" s="34" t="n">
        <f aca="false" t="array" ref="J162:J162">MEDIAN(IF($I$4:$I$1803=I162,$H$4:$H$1803))</f>
        <v>1649</v>
      </c>
      <c r="K162" s="59" t="n">
        <f aca="false">H162/J162</f>
        <v>0.963007883565798</v>
      </c>
    </row>
    <row r="163" customFormat="false" ht="15" hidden="false" customHeight="false" outlineLevel="0" collapsed="false">
      <c r="A163" s="39" t="s">
        <v>879</v>
      </c>
      <c r="B163" s="39" t="s">
        <v>880</v>
      </c>
      <c r="C163" s="39" t="s">
        <v>903</v>
      </c>
      <c r="D163" s="39" t="s">
        <v>888</v>
      </c>
      <c r="E163" s="39" t="s">
        <v>884</v>
      </c>
      <c r="F163" s="39"/>
      <c r="G163" s="58" t="n">
        <v>836</v>
      </c>
      <c r="H163" s="34" t="n">
        <f aca="false">G163*2</f>
        <v>1672</v>
      </c>
      <c r="I163" s="39" t="str">
        <f aca="false">A163&amp;"|"&amp;B163&amp;"|"&amp;D163&amp;"|"&amp;E163&amp;F163</f>
        <v>auto|Oklahoma City|scenario E (age 70)|female</v>
      </c>
      <c r="J163" s="34" t="n">
        <f aca="false" t="array" ref="J163:J163">MEDIAN(IF($I$4:$I$1803=I163,$H$4:$H$1803))</f>
        <v>1664</v>
      </c>
      <c r="K163" s="59" t="n">
        <f aca="false">H163/J163</f>
        <v>1.00480769230769</v>
      </c>
    </row>
    <row r="164" customFormat="false" ht="15" hidden="false" customHeight="false" outlineLevel="0" collapsed="false">
      <c r="A164" s="39" t="s">
        <v>879</v>
      </c>
      <c r="B164" s="39" t="s">
        <v>880</v>
      </c>
      <c r="C164" s="39" t="s">
        <v>904</v>
      </c>
      <c r="D164" s="39" t="s">
        <v>882</v>
      </c>
      <c r="E164" s="39" t="s">
        <v>883</v>
      </c>
      <c r="F164" s="39"/>
      <c r="G164" s="58" t="n">
        <v>5256</v>
      </c>
      <c r="H164" s="34" t="n">
        <f aca="false">G164*2</f>
        <v>10512</v>
      </c>
      <c r="I164" s="39" t="str">
        <f aca="false">A164&amp;"|"&amp;B164&amp;"|"&amp;D164&amp;"|"&amp;E164&amp;F164</f>
        <v>auto|Oklahoma City|scenario A (age 16)|male</v>
      </c>
      <c r="J164" s="34" t="n">
        <f aca="false" t="array" ref="J164:J164">MEDIAN(IF($I$4:$I$1803=I164,$H$4:$H$1803))</f>
        <v>8358</v>
      </c>
      <c r="K164" s="59" t="n">
        <f aca="false">H164/J164</f>
        <v>1.25771715721464</v>
      </c>
    </row>
    <row r="165" customFormat="false" ht="15" hidden="false" customHeight="false" outlineLevel="0" collapsed="false">
      <c r="A165" s="39" t="s">
        <v>879</v>
      </c>
      <c r="B165" s="39" t="s">
        <v>880</v>
      </c>
      <c r="C165" s="39" t="s">
        <v>904</v>
      </c>
      <c r="D165" s="39" t="s">
        <v>882</v>
      </c>
      <c r="E165" s="39" t="s">
        <v>884</v>
      </c>
      <c r="F165" s="39"/>
      <c r="G165" s="58" t="n">
        <v>4105</v>
      </c>
      <c r="H165" s="34" t="n">
        <f aca="false">G165*2</f>
        <v>8210</v>
      </c>
      <c r="I165" s="39" t="str">
        <f aca="false">A165&amp;"|"&amp;B165&amp;"|"&amp;D165&amp;"|"&amp;E165&amp;F165</f>
        <v>auto|Oklahoma City|scenario A (age 16)|female</v>
      </c>
      <c r="J165" s="34" t="n">
        <f aca="false" t="array" ref="J165:J165">MEDIAN(IF($I$4:$I$1803=I165,$H$4:$H$1803))</f>
        <v>6710</v>
      </c>
      <c r="K165" s="59" t="n">
        <f aca="false">H165/J165</f>
        <v>1.22354694485842</v>
      </c>
    </row>
    <row r="166" customFormat="false" ht="15" hidden="false" customHeight="false" outlineLevel="0" collapsed="false">
      <c r="A166" s="39" t="s">
        <v>879</v>
      </c>
      <c r="B166" s="39" t="s">
        <v>880</v>
      </c>
      <c r="C166" s="39" t="s">
        <v>904</v>
      </c>
      <c r="D166" s="39" t="s">
        <v>885</v>
      </c>
      <c r="E166" s="39" t="s">
        <v>883</v>
      </c>
      <c r="F166" s="39"/>
      <c r="G166" s="58" t="n">
        <v>3431</v>
      </c>
      <c r="H166" s="34" t="n">
        <f aca="false">G166*2</f>
        <v>6862</v>
      </c>
      <c r="I166" s="39" t="str">
        <f aca="false">A166&amp;"|"&amp;B166&amp;"|"&amp;D166&amp;"|"&amp;E166&amp;F166</f>
        <v>auto|Oklahoma City|scenario B (age 21)|male</v>
      </c>
      <c r="J166" s="34" t="n">
        <f aca="false" t="array" ref="J166:J166">MEDIAN(IF($I$4:$I$1803=I166,$H$4:$H$1803))</f>
        <v>3517</v>
      </c>
      <c r="K166" s="59" t="n">
        <f aca="false">H166/J166</f>
        <v>1.95109468296844</v>
      </c>
    </row>
    <row r="167" customFormat="false" ht="15" hidden="false" customHeight="false" outlineLevel="0" collapsed="false">
      <c r="A167" s="39" t="s">
        <v>879</v>
      </c>
      <c r="B167" s="39" t="s">
        <v>880</v>
      </c>
      <c r="C167" s="39" t="s">
        <v>904</v>
      </c>
      <c r="D167" s="39" t="s">
        <v>885</v>
      </c>
      <c r="E167" s="39" t="s">
        <v>884</v>
      </c>
      <c r="F167" s="39"/>
      <c r="G167" s="58" t="n">
        <v>2656</v>
      </c>
      <c r="H167" s="34" t="n">
        <f aca="false">G167*2</f>
        <v>5312</v>
      </c>
      <c r="I167" s="39" t="str">
        <f aca="false">A167&amp;"|"&amp;B167&amp;"|"&amp;D167&amp;"|"&amp;E167&amp;F167</f>
        <v>auto|Oklahoma City|scenario B (age 21)|female</v>
      </c>
      <c r="J167" s="34" t="n">
        <f aca="false" t="array" ref="J167:J167">MEDIAN(IF($I$4:$I$1803=I167,$H$4:$H$1803))</f>
        <v>3138</v>
      </c>
      <c r="K167" s="59" t="n">
        <f aca="false">H167/J167</f>
        <v>1.69279796048439</v>
      </c>
    </row>
    <row r="168" customFormat="false" ht="15" hidden="false" customHeight="false" outlineLevel="0" collapsed="false">
      <c r="A168" s="39" t="s">
        <v>879</v>
      </c>
      <c r="B168" s="39" t="s">
        <v>880</v>
      </c>
      <c r="C168" s="39" t="s">
        <v>904</v>
      </c>
      <c r="D168" s="39" t="s">
        <v>886</v>
      </c>
      <c r="E168" s="39" t="s">
        <v>883</v>
      </c>
      <c r="F168" s="39"/>
      <c r="G168" s="58" t="n">
        <v>1180</v>
      </c>
      <c r="H168" s="34" t="n">
        <f aca="false">G168*2</f>
        <v>2360</v>
      </c>
      <c r="I168" s="39" t="str">
        <f aca="false">A168&amp;"|"&amp;B168&amp;"|"&amp;D168&amp;"|"&amp;E168&amp;F168</f>
        <v>auto|Oklahoma City|scenario C (age 36)|male</v>
      </c>
      <c r="J168" s="34" t="n">
        <f aca="false" t="array" ref="J168:J168">MEDIAN(IF($I$4:$I$1803=I168,$H$4:$H$1803))</f>
        <v>2128</v>
      </c>
      <c r="K168" s="59" t="n">
        <f aca="false">H168/J168</f>
        <v>1.10902255639098</v>
      </c>
    </row>
    <row r="169" customFormat="false" ht="15" hidden="false" customHeight="false" outlineLevel="0" collapsed="false">
      <c r="A169" s="39" t="s">
        <v>879</v>
      </c>
      <c r="B169" s="39" t="s">
        <v>880</v>
      </c>
      <c r="C169" s="39" t="s">
        <v>904</v>
      </c>
      <c r="D169" s="39" t="s">
        <v>886</v>
      </c>
      <c r="E169" s="39" t="s">
        <v>884</v>
      </c>
      <c r="F169" s="39"/>
      <c r="G169" s="58" t="n">
        <v>1167</v>
      </c>
      <c r="H169" s="34" t="n">
        <f aca="false">G169*2</f>
        <v>2334</v>
      </c>
      <c r="I169" s="39" t="str">
        <f aca="false">A169&amp;"|"&amp;B169&amp;"|"&amp;D169&amp;"|"&amp;E169&amp;F169</f>
        <v>auto|Oklahoma City|scenario C (age 36)|female</v>
      </c>
      <c r="J169" s="34" t="n">
        <f aca="false" t="array" ref="J169:J169">MEDIAN(IF($I$4:$I$1803=I169,$H$4:$H$1803))</f>
        <v>2026</v>
      </c>
      <c r="K169" s="59" t="n">
        <f aca="false">H169/J169</f>
        <v>1.15202369200395</v>
      </c>
    </row>
    <row r="170" customFormat="false" ht="15" hidden="false" customHeight="false" outlineLevel="0" collapsed="false">
      <c r="A170" s="39" t="s">
        <v>879</v>
      </c>
      <c r="B170" s="39" t="s">
        <v>880</v>
      </c>
      <c r="C170" s="39" t="s">
        <v>904</v>
      </c>
      <c r="D170" s="39" t="s">
        <v>887</v>
      </c>
      <c r="E170" s="39" t="s">
        <v>883</v>
      </c>
      <c r="F170" s="39"/>
      <c r="G170" s="58" t="n">
        <v>1166</v>
      </c>
      <c r="H170" s="34" t="n">
        <f aca="false">G170*2</f>
        <v>2332</v>
      </c>
      <c r="I170" s="39" t="str">
        <f aca="false">A170&amp;"|"&amp;B170&amp;"|"&amp;D170&amp;"|"&amp;E170&amp;F170</f>
        <v>auto|Oklahoma City|scenario D (age 55)|male</v>
      </c>
      <c r="J170" s="34" t="n">
        <f aca="false" t="array" ref="J170:J170">MEDIAN(IF($I$4:$I$1803=I170,$H$4:$H$1803))</f>
        <v>1762</v>
      </c>
      <c r="K170" s="59" t="n">
        <f aca="false">H170/J170</f>
        <v>1.32349602724177</v>
      </c>
    </row>
    <row r="171" customFormat="false" ht="15" hidden="false" customHeight="false" outlineLevel="0" collapsed="false">
      <c r="A171" s="39" t="s">
        <v>879</v>
      </c>
      <c r="B171" s="39" t="s">
        <v>880</v>
      </c>
      <c r="C171" s="39" t="s">
        <v>904</v>
      </c>
      <c r="D171" s="39" t="s">
        <v>887</v>
      </c>
      <c r="E171" s="39" t="s">
        <v>884</v>
      </c>
      <c r="F171" s="39"/>
      <c r="G171" s="58" t="n">
        <v>1125</v>
      </c>
      <c r="H171" s="34" t="n">
        <f aca="false">G171*2</f>
        <v>2250</v>
      </c>
      <c r="I171" s="39" t="str">
        <f aca="false">A171&amp;"|"&amp;B171&amp;"|"&amp;D171&amp;"|"&amp;E171&amp;F171</f>
        <v>auto|Oklahoma City|scenario D (age 55)|female</v>
      </c>
      <c r="J171" s="34" t="n">
        <f aca="false" t="array" ref="J171:J171">MEDIAN(IF($I$4:$I$1803=I171,$H$4:$H$1803))</f>
        <v>1664</v>
      </c>
      <c r="K171" s="59" t="n">
        <f aca="false">H171/J171</f>
        <v>1.35216346153846</v>
      </c>
    </row>
    <row r="172" customFormat="false" ht="15" hidden="false" customHeight="false" outlineLevel="0" collapsed="false">
      <c r="A172" s="39" t="s">
        <v>879</v>
      </c>
      <c r="B172" s="39" t="s">
        <v>880</v>
      </c>
      <c r="C172" s="39" t="s">
        <v>904</v>
      </c>
      <c r="D172" s="39" t="s">
        <v>888</v>
      </c>
      <c r="E172" s="39" t="s">
        <v>883</v>
      </c>
      <c r="F172" s="39"/>
      <c r="G172" s="58" t="n">
        <v>1359</v>
      </c>
      <c r="H172" s="34" t="n">
        <f aca="false">G172*2</f>
        <v>2718</v>
      </c>
      <c r="I172" s="39" t="str">
        <f aca="false">A172&amp;"|"&amp;B172&amp;"|"&amp;D172&amp;"|"&amp;E172&amp;F172</f>
        <v>auto|Oklahoma City|scenario E (age 70)|male</v>
      </c>
      <c r="J172" s="34" t="n">
        <f aca="false" t="array" ref="J172:J172">MEDIAN(IF($I$4:$I$1803=I172,$H$4:$H$1803))</f>
        <v>1649</v>
      </c>
      <c r="K172" s="59" t="n">
        <f aca="false">H172/J172</f>
        <v>1.64827167980594</v>
      </c>
    </row>
    <row r="173" customFormat="false" ht="15" hidden="false" customHeight="false" outlineLevel="0" collapsed="false">
      <c r="A173" s="39" t="s">
        <v>879</v>
      </c>
      <c r="B173" s="39" t="s">
        <v>880</v>
      </c>
      <c r="C173" s="39" t="s">
        <v>904</v>
      </c>
      <c r="D173" s="39" t="s">
        <v>888</v>
      </c>
      <c r="E173" s="39" t="s">
        <v>884</v>
      </c>
      <c r="F173" s="39"/>
      <c r="G173" s="58" t="n">
        <v>1324</v>
      </c>
      <c r="H173" s="34" t="n">
        <f aca="false">G173*2</f>
        <v>2648</v>
      </c>
      <c r="I173" s="39" t="str">
        <f aca="false">A173&amp;"|"&amp;B173&amp;"|"&amp;D173&amp;"|"&amp;E173&amp;F173</f>
        <v>auto|Oklahoma City|scenario E (age 70)|female</v>
      </c>
      <c r="J173" s="34" t="n">
        <f aca="false" t="array" ref="J173:J173">MEDIAN(IF($I$4:$I$1803=I173,$H$4:$H$1803))</f>
        <v>1664</v>
      </c>
      <c r="K173" s="59" t="n">
        <f aca="false">H173/J173</f>
        <v>1.59134615384615</v>
      </c>
    </row>
    <row r="174" customFormat="false" ht="15" hidden="false" customHeight="false" outlineLevel="0" collapsed="false">
      <c r="A174" s="39" t="s">
        <v>879</v>
      </c>
      <c r="B174" s="39" t="s">
        <v>880</v>
      </c>
      <c r="C174" s="39" t="s">
        <v>905</v>
      </c>
      <c r="D174" s="39" t="s">
        <v>882</v>
      </c>
      <c r="E174" s="39" t="s">
        <v>883</v>
      </c>
      <c r="F174" s="39"/>
      <c r="G174" s="58" t="n">
        <v>3320</v>
      </c>
      <c r="H174" s="34" t="n">
        <f aca="false">G174*2</f>
        <v>6640</v>
      </c>
      <c r="I174" s="39" t="str">
        <f aca="false">A174&amp;"|"&amp;B174&amp;"|"&amp;D174&amp;"|"&amp;E174&amp;F174</f>
        <v>auto|Oklahoma City|scenario A (age 16)|male</v>
      </c>
      <c r="J174" s="34" t="n">
        <f aca="false" t="array" ref="J174:J174">MEDIAN(IF($I$4:$I$1803=I174,$H$4:$H$1803))</f>
        <v>8358</v>
      </c>
      <c r="K174" s="59" t="n">
        <f aca="false">H174/J174</f>
        <v>0.794448432639387</v>
      </c>
    </row>
    <row r="175" customFormat="false" ht="15" hidden="false" customHeight="false" outlineLevel="0" collapsed="false">
      <c r="A175" s="39" t="s">
        <v>879</v>
      </c>
      <c r="B175" s="39" t="s">
        <v>880</v>
      </c>
      <c r="C175" s="39" t="s">
        <v>905</v>
      </c>
      <c r="D175" s="39" t="s">
        <v>882</v>
      </c>
      <c r="E175" s="39" t="s">
        <v>884</v>
      </c>
      <c r="F175" s="39"/>
      <c r="G175" s="58" t="n">
        <v>3163</v>
      </c>
      <c r="H175" s="34" t="n">
        <f aca="false">G175*2</f>
        <v>6326</v>
      </c>
      <c r="I175" s="39" t="str">
        <f aca="false">A175&amp;"|"&amp;B175&amp;"|"&amp;D175&amp;"|"&amp;E175&amp;F175</f>
        <v>auto|Oklahoma City|scenario A (age 16)|female</v>
      </c>
      <c r="J175" s="34" t="n">
        <f aca="false" t="array" ref="J175:J175">MEDIAN(IF($I$4:$I$1803=I175,$H$4:$H$1803))</f>
        <v>6710</v>
      </c>
      <c r="K175" s="59" t="n">
        <f aca="false">H175/J175</f>
        <v>0.942771982116244</v>
      </c>
    </row>
    <row r="176" customFormat="false" ht="15" hidden="false" customHeight="false" outlineLevel="0" collapsed="false">
      <c r="A176" s="39" t="s">
        <v>879</v>
      </c>
      <c r="B176" s="39" t="s">
        <v>880</v>
      </c>
      <c r="C176" s="39" t="s">
        <v>905</v>
      </c>
      <c r="D176" s="39" t="s">
        <v>885</v>
      </c>
      <c r="E176" s="39" t="s">
        <v>883</v>
      </c>
      <c r="F176" s="39"/>
      <c r="G176" s="58" t="n">
        <v>1247</v>
      </c>
      <c r="H176" s="34" t="n">
        <f aca="false">G176*2</f>
        <v>2494</v>
      </c>
      <c r="I176" s="39" t="str">
        <f aca="false">A176&amp;"|"&amp;B176&amp;"|"&amp;D176&amp;"|"&amp;E176&amp;F176</f>
        <v>auto|Oklahoma City|scenario B (age 21)|male</v>
      </c>
      <c r="J176" s="34" t="n">
        <f aca="false" t="array" ref="J176:J176">MEDIAN(IF($I$4:$I$1803=I176,$H$4:$H$1803))</f>
        <v>3517</v>
      </c>
      <c r="K176" s="59" t="n">
        <f aca="false">H176/J176</f>
        <v>0.709127096957634</v>
      </c>
    </row>
    <row r="177" customFormat="false" ht="15" hidden="false" customHeight="false" outlineLevel="0" collapsed="false">
      <c r="A177" s="39" t="s">
        <v>879</v>
      </c>
      <c r="B177" s="39" t="s">
        <v>880</v>
      </c>
      <c r="C177" s="39" t="s">
        <v>905</v>
      </c>
      <c r="D177" s="39" t="s">
        <v>885</v>
      </c>
      <c r="E177" s="39" t="s">
        <v>884</v>
      </c>
      <c r="F177" s="39"/>
      <c r="G177" s="58" t="n">
        <v>1174</v>
      </c>
      <c r="H177" s="34" t="n">
        <f aca="false">G177*2</f>
        <v>2348</v>
      </c>
      <c r="I177" s="39" t="str">
        <f aca="false">A177&amp;"|"&amp;B177&amp;"|"&amp;D177&amp;"|"&amp;E177&amp;F177</f>
        <v>auto|Oklahoma City|scenario B (age 21)|female</v>
      </c>
      <c r="J177" s="34" t="n">
        <f aca="false" t="array" ref="J177:J177">MEDIAN(IF($I$4:$I$1803=I177,$H$4:$H$1803))</f>
        <v>3138</v>
      </c>
      <c r="K177" s="59" t="n">
        <f aca="false">H177/J177</f>
        <v>0.748247291268324</v>
      </c>
    </row>
    <row r="178" customFormat="false" ht="15" hidden="false" customHeight="false" outlineLevel="0" collapsed="false">
      <c r="A178" s="39" t="s">
        <v>879</v>
      </c>
      <c r="B178" s="39" t="s">
        <v>880</v>
      </c>
      <c r="C178" s="39" t="s">
        <v>905</v>
      </c>
      <c r="D178" s="39" t="s">
        <v>886</v>
      </c>
      <c r="E178" s="39" t="s">
        <v>883</v>
      </c>
      <c r="F178" s="39"/>
      <c r="G178" s="58" t="n">
        <v>692</v>
      </c>
      <c r="H178" s="34" t="n">
        <f aca="false">G178*2</f>
        <v>1384</v>
      </c>
      <c r="I178" s="39" t="str">
        <f aca="false">A178&amp;"|"&amp;B178&amp;"|"&amp;D178&amp;"|"&amp;E178&amp;F178</f>
        <v>auto|Oklahoma City|scenario C (age 36)|male</v>
      </c>
      <c r="J178" s="34" t="n">
        <f aca="false" t="array" ref="J178:J178">MEDIAN(IF($I$4:$I$1803=I178,$H$4:$H$1803))</f>
        <v>2128</v>
      </c>
      <c r="K178" s="59" t="n">
        <f aca="false">H178/J178</f>
        <v>0.650375939849624</v>
      </c>
    </row>
    <row r="179" customFormat="false" ht="15" hidden="false" customHeight="false" outlineLevel="0" collapsed="false">
      <c r="A179" s="39" t="s">
        <v>879</v>
      </c>
      <c r="B179" s="39" t="s">
        <v>880</v>
      </c>
      <c r="C179" s="39" t="s">
        <v>905</v>
      </c>
      <c r="D179" s="39" t="s">
        <v>886</v>
      </c>
      <c r="E179" s="39" t="s">
        <v>884</v>
      </c>
      <c r="F179" s="39"/>
      <c r="G179" s="58" t="n">
        <v>686</v>
      </c>
      <c r="H179" s="34" t="n">
        <f aca="false">G179*2</f>
        <v>1372</v>
      </c>
      <c r="I179" s="39" t="str">
        <f aca="false">A179&amp;"|"&amp;B179&amp;"|"&amp;D179&amp;"|"&amp;E179&amp;F179</f>
        <v>auto|Oklahoma City|scenario C (age 36)|female</v>
      </c>
      <c r="J179" s="34" t="n">
        <f aca="false" t="array" ref="J179:J179">MEDIAN(IF($I$4:$I$1803=I179,$H$4:$H$1803))</f>
        <v>2026</v>
      </c>
      <c r="K179" s="59" t="n">
        <f aca="false">H179/J179</f>
        <v>0.677196446199408</v>
      </c>
    </row>
    <row r="180" customFormat="false" ht="15" hidden="false" customHeight="false" outlineLevel="0" collapsed="false">
      <c r="A180" s="39" t="s">
        <v>879</v>
      </c>
      <c r="B180" s="39" t="s">
        <v>880</v>
      </c>
      <c r="C180" s="39" t="s">
        <v>905</v>
      </c>
      <c r="D180" s="39" t="s">
        <v>887</v>
      </c>
      <c r="E180" s="39" t="s">
        <v>883</v>
      </c>
      <c r="F180" s="39"/>
      <c r="G180" s="58" t="n">
        <v>634</v>
      </c>
      <c r="H180" s="34" t="n">
        <f aca="false">G180*2</f>
        <v>1268</v>
      </c>
      <c r="I180" s="39" t="str">
        <f aca="false">A180&amp;"|"&amp;B180&amp;"|"&amp;D180&amp;"|"&amp;E180&amp;F180</f>
        <v>auto|Oklahoma City|scenario D (age 55)|male</v>
      </c>
      <c r="J180" s="34" t="n">
        <f aca="false" t="array" ref="J180:J180">MEDIAN(IF($I$4:$I$1803=I180,$H$4:$H$1803))</f>
        <v>1762</v>
      </c>
      <c r="K180" s="59" t="n">
        <f aca="false">H180/J180</f>
        <v>0.719636776390465</v>
      </c>
    </row>
    <row r="181" customFormat="false" ht="15" hidden="false" customHeight="false" outlineLevel="0" collapsed="false">
      <c r="A181" s="39" t="s">
        <v>879</v>
      </c>
      <c r="B181" s="39" t="s">
        <v>880</v>
      </c>
      <c r="C181" s="39" t="s">
        <v>905</v>
      </c>
      <c r="D181" s="39" t="s">
        <v>887</v>
      </c>
      <c r="E181" s="39" t="s">
        <v>884</v>
      </c>
      <c r="F181" s="39"/>
      <c r="G181" s="58" t="n">
        <v>630</v>
      </c>
      <c r="H181" s="34" t="n">
        <f aca="false">G181*2</f>
        <v>1260</v>
      </c>
      <c r="I181" s="39" t="str">
        <f aca="false">A181&amp;"|"&amp;B181&amp;"|"&amp;D181&amp;"|"&amp;E181&amp;F181</f>
        <v>auto|Oklahoma City|scenario D (age 55)|female</v>
      </c>
      <c r="J181" s="34" t="n">
        <f aca="false" t="array" ref="J181:J181">MEDIAN(IF($I$4:$I$1803=I181,$H$4:$H$1803))</f>
        <v>1664</v>
      </c>
      <c r="K181" s="59" t="n">
        <f aca="false">H181/J181</f>
        <v>0.757211538461538</v>
      </c>
    </row>
    <row r="182" customFormat="false" ht="15" hidden="false" customHeight="false" outlineLevel="0" collapsed="false">
      <c r="A182" s="39" t="s">
        <v>879</v>
      </c>
      <c r="B182" s="39" t="s">
        <v>880</v>
      </c>
      <c r="C182" s="39" t="s">
        <v>905</v>
      </c>
      <c r="D182" s="39" t="s">
        <v>888</v>
      </c>
      <c r="E182" s="39" t="s">
        <v>883</v>
      </c>
      <c r="F182" s="39"/>
      <c r="G182" s="58" t="n">
        <v>648</v>
      </c>
      <c r="H182" s="34" t="n">
        <f aca="false">G182*2</f>
        <v>1296</v>
      </c>
      <c r="I182" s="39" t="str">
        <f aca="false">A182&amp;"|"&amp;B182&amp;"|"&amp;D182&amp;"|"&amp;E182&amp;F182</f>
        <v>auto|Oklahoma City|scenario E (age 70)|male</v>
      </c>
      <c r="J182" s="34" t="n">
        <f aca="false" t="array" ref="J182:J182">MEDIAN(IF($I$4:$I$1803=I182,$H$4:$H$1803))</f>
        <v>1649</v>
      </c>
      <c r="K182" s="59" t="n">
        <f aca="false">H182/J182</f>
        <v>0.785930867192238</v>
      </c>
    </row>
    <row r="183" customFormat="false" ht="15" hidden="false" customHeight="false" outlineLevel="0" collapsed="false">
      <c r="A183" s="39" t="s">
        <v>879</v>
      </c>
      <c r="B183" s="39" t="s">
        <v>880</v>
      </c>
      <c r="C183" s="39" t="s">
        <v>905</v>
      </c>
      <c r="D183" s="39" t="s">
        <v>888</v>
      </c>
      <c r="E183" s="39" t="s">
        <v>884</v>
      </c>
      <c r="F183" s="39"/>
      <c r="G183" s="58" t="n">
        <v>655</v>
      </c>
      <c r="H183" s="34" t="n">
        <f aca="false">G183*2</f>
        <v>1310</v>
      </c>
      <c r="I183" s="39" t="str">
        <f aca="false">A183&amp;"|"&amp;B183&amp;"|"&amp;D183&amp;"|"&amp;E183&amp;F183</f>
        <v>auto|Oklahoma City|scenario E (age 70)|female</v>
      </c>
      <c r="J183" s="34" t="n">
        <f aca="false" t="array" ref="J183:J183">MEDIAN(IF($I$4:$I$1803=I183,$H$4:$H$1803))</f>
        <v>1664</v>
      </c>
      <c r="K183" s="59" t="n">
        <f aca="false">H183/J183</f>
        <v>0.787259615384615</v>
      </c>
    </row>
    <row r="184" customFormat="false" ht="15" hidden="false" customHeight="false" outlineLevel="0" collapsed="false">
      <c r="A184" s="39" t="s">
        <v>879</v>
      </c>
      <c r="B184" s="39" t="s">
        <v>880</v>
      </c>
      <c r="C184" s="39" t="s">
        <v>906</v>
      </c>
      <c r="D184" s="39" t="s">
        <v>882</v>
      </c>
      <c r="E184" s="39" t="s">
        <v>883</v>
      </c>
      <c r="F184" s="39"/>
      <c r="G184" s="58" t="n">
        <v>3459</v>
      </c>
      <c r="H184" s="34" t="n">
        <f aca="false">G184*2</f>
        <v>6918</v>
      </c>
      <c r="I184" s="39" t="str">
        <f aca="false">A184&amp;"|"&amp;B184&amp;"|"&amp;D184&amp;"|"&amp;E184&amp;F184</f>
        <v>auto|Oklahoma City|scenario A (age 16)|male</v>
      </c>
      <c r="J184" s="34" t="n">
        <f aca="false" t="array" ref="J184:J184">MEDIAN(IF($I$4:$I$1803=I184,$H$4:$H$1803))</f>
        <v>8358</v>
      </c>
      <c r="K184" s="59" t="n">
        <f aca="false">H184/J184</f>
        <v>0.827709978463747</v>
      </c>
    </row>
    <row r="185" customFormat="false" ht="15" hidden="false" customHeight="false" outlineLevel="0" collapsed="false">
      <c r="A185" s="39" t="s">
        <v>879</v>
      </c>
      <c r="B185" s="39" t="s">
        <v>880</v>
      </c>
      <c r="C185" s="39" t="s">
        <v>906</v>
      </c>
      <c r="D185" s="39" t="s">
        <v>882</v>
      </c>
      <c r="E185" s="39" t="s">
        <v>884</v>
      </c>
      <c r="F185" s="39"/>
      <c r="G185" s="58" t="n">
        <v>3343</v>
      </c>
      <c r="H185" s="34" t="n">
        <f aca="false">G185*2</f>
        <v>6686</v>
      </c>
      <c r="I185" s="39" t="str">
        <f aca="false">A185&amp;"|"&amp;B185&amp;"|"&amp;D185&amp;"|"&amp;E185&amp;F185</f>
        <v>auto|Oklahoma City|scenario A (age 16)|female</v>
      </c>
      <c r="J185" s="34" t="n">
        <f aca="false" t="array" ref="J185:J185">MEDIAN(IF($I$4:$I$1803=I185,$H$4:$H$1803))</f>
        <v>6710</v>
      </c>
      <c r="K185" s="59" t="n">
        <f aca="false">H185/J185</f>
        <v>0.996423248882265</v>
      </c>
    </row>
    <row r="186" customFormat="false" ht="15" hidden="false" customHeight="false" outlineLevel="0" collapsed="false">
      <c r="A186" s="39" t="s">
        <v>879</v>
      </c>
      <c r="B186" s="39" t="s">
        <v>880</v>
      </c>
      <c r="C186" s="39" t="s">
        <v>906</v>
      </c>
      <c r="D186" s="39" t="s">
        <v>885</v>
      </c>
      <c r="E186" s="39" t="s">
        <v>883</v>
      </c>
      <c r="F186" s="39"/>
      <c r="G186" s="58" t="n">
        <v>1293</v>
      </c>
      <c r="H186" s="34" t="n">
        <f aca="false">G186*2</f>
        <v>2586</v>
      </c>
      <c r="I186" s="39" t="str">
        <f aca="false">A186&amp;"|"&amp;B186&amp;"|"&amp;D186&amp;"|"&amp;E186&amp;F186</f>
        <v>auto|Oklahoma City|scenario B (age 21)|male</v>
      </c>
      <c r="J186" s="34" t="n">
        <f aca="false" t="array" ref="J186:J186">MEDIAN(IF($I$4:$I$1803=I186,$H$4:$H$1803))</f>
        <v>3517</v>
      </c>
      <c r="K186" s="59" t="n">
        <f aca="false">H186/J186</f>
        <v>0.735285754904748</v>
      </c>
    </row>
    <row r="187" customFormat="false" ht="15" hidden="false" customHeight="false" outlineLevel="0" collapsed="false">
      <c r="A187" s="39" t="s">
        <v>879</v>
      </c>
      <c r="B187" s="39" t="s">
        <v>880</v>
      </c>
      <c r="C187" s="39" t="s">
        <v>906</v>
      </c>
      <c r="D187" s="39" t="s">
        <v>885</v>
      </c>
      <c r="E187" s="39" t="s">
        <v>884</v>
      </c>
      <c r="F187" s="39"/>
      <c r="G187" s="58" t="n">
        <v>1247</v>
      </c>
      <c r="H187" s="34" t="n">
        <f aca="false">G187*2</f>
        <v>2494</v>
      </c>
      <c r="I187" s="39" t="str">
        <f aca="false">A187&amp;"|"&amp;B187&amp;"|"&amp;D187&amp;"|"&amp;E187&amp;F187</f>
        <v>auto|Oklahoma City|scenario B (age 21)|female</v>
      </c>
      <c r="J187" s="34" t="n">
        <f aca="false" t="array" ref="J187:J187">MEDIAN(IF($I$4:$I$1803=I187,$H$4:$H$1803))</f>
        <v>3138</v>
      </c>
      <c r="K187" s="59" t="n">
        <f aca="false">H187/J187</f>
        <v>0.794773741236456</v>
      </c>
    </row>
    <row r="188" customFormat="false" ht="15" hidden="false" customHeight="false" outlineLevel="0" collapsed="false">
      <c r="A188" s="39" t="s">
        <v>879</v>
      </c>
      <c r="B188" s="39" t="s">
        <v>880</v>
      </c>
      <c r="C188" s="39" t="s">
        <v>906</v>
      </c>
      <c r="D188" s="39" t="s">
        <v>886</v>
      </c>
      <c r="E188" s="39" t="s">
        <v>883</v>
      </c>
      <c r="F188" s="39"/>
      <c r="G188" s="58" t="n">
        <v>726</v>
      </c>
      <c r="H188" s="34" t="n">
        <f aca="false">G188*2</f>
        <v>1452</v>
      </c>
      <c r="I188" s="39" t="str">
        <f aca="false">A188&amp;"|"&amp;B188&amp;"|"&amp;D188&amp;"|"&amp;E188&amp;F188</f>
        <v>auto|Oklahoma City|scenario C (age 36)|male</v>
      </c>
      <c r="J188" s="34" t="n">
        <f aca="false" t="array" ref="J188:J188">MEDIAN(IF($I$4:$I$1803=I188,$H$4:$H$1803))</f>
        <v>2128</v>
      </c>
      <c r="K188" s="59" t="n">
        <f aca="false">H188/J188</f>
        <v>0.682330827067669</v>
      </c>
    </row>
    <row r="189" customFormat="false" ht="15" hidden="false" customHeight="false" outlineLevel="0" collapsed="false">
      <c r="A189" s="39" t="s">
        <v>879</v>
      </c>
      <c r="B189" s="39" t="s">
        <v>880</v>
      </c>
      <c r="C189" s="39" t="s">
        <v>906</v>
      </c>
      <c r="D189" s="39" t="s">
        <v>886</v>
      </c>
      <c r="E189" s="39" t="s">
        <v>884</v>
      </c>
      <c r="F189" s="39"/>
      <c r="G189" s="58" t="n">
        <v>710</v>
      </c>
      <c r="H189" s="34" t="n">
        <f aca="false">G189*2</f>
        <v>1420</v>
      </c>
      <c r="I189" s="39" t="str">
        <f aca="false">A189&amp;"|"&amp;B189&amp;"|"&amp;D189&amp;"|"&amp;E189&amp;F189</f>
        <v>auto|Oklahoma City|scenario C (age 36)|female</v>
      </c>
      <c r="J189" s="34" t="n">
        <f aca="false" t="array" ref="J189:J189">MEDIAN(IF($I$4:$I$1803=I189,$H$4:$H$1803))</f>
        <v>2026</v>
      </c>
      <c r="K189" s="59" t="n">
        <f aca="false">H189/J189</f>
        <v>0.700888450148075</v>
      </c>
    </row>
    <row r="190" customFormat="false" ht="15" hidden="false" customHeight="false" outlineLevel="0" collapsed="false">
      <c r="A190" s="39" t="s">
        <v>879</v>
      </c>
      <c r="B190" s="39" t="s">
        <v>880</v>
      </c>
      <c r="C190" s="39" t="s">
        <v>906</v>
      </c>
      <c r="D190" s="39" t="s">
        <v>887</v>
      </c>
      <c r="E190" s="39" t="s">
        <v>883</v>
      </c>
      <c r="F190" s="39"/>
      <c r="G190" s="58" t="n">
        <v>624</v>
      </c>
      <c r="H190" s="34" t="n">
        <f aca="false">G190*2</f>
        <v>1248</v>
      </c>
      <c r="I190" s="39" t="str">
        <f aca="false">A190&amp;"|"&amp;B190&amp;"|"&amp;D190&amp;"|"&amp;E190&amp;F190</f>
        <v>auto|Oklahoma City|scenario D (age 55)|male</v>
      </c>
      <c r="J190" s="34" t="n">
        <f aca="false" t="array" ref="J190:J190">MEDIAN(IF($I$4:$I$1803=I190,$H$4:$H$1803))</f>
        <v>1762</v>
      </c>
      <c r="K190" s="59" t="n">
        <f aca="false">H190/J190</f>
        <v>0.708286038592509</v>
      </c>
    </row>
    <row r="191" customFormat="false" ht="15" hidden="false" customHeight="false" outlineLevel="0" collapsed="false">
      <c r="A191" s="39" t="s">
        <v>879</v>
      </c>
      <c r="B191" s="39" t="s">
        <v>880</v>
      </c>
      <c r="C191" s="39" t="s">
        <v>906</v>
      </c>
      <c r="D191" s="39" t="s">
        <v>887</v>
      </c>
      <c r="E191" s="39" t="s">
        <v>884</v>
      </c>
      <c r="F191" s="39"/>
      <c r="G191" s="58" t="n">
        <v>623</v>
      </c>
      <c r="H191" s="34" t="n">
        <f aca="false">G191*2</f>
        <v>1246</v>
      </c>
      <c r="I191" s="39" t="str">
        <f aca="false">A191&amp;"|"&amp;B191&amp;"|"&amp;D191&amp;"|"&amp;E191&amp;F191</f>
        <v>auto|Oklahoma City|scenario D (age 55)|female</v>
      </c>
      <c r="J191" s="34" t="n">
        <f aca="false" t="array" ref="J191:J191">MEDIAN(IF($I$4:$I$1803=I191,$H$4:$H$1803))</f>
        <v>1664</v>
      </c>
      <c r="K191" s="59" t="n">
        <f aca="false">H191/J191</f>
        <v>0.748798076923077</v>
      </c>
    </row>
    <row r="192" customFormat="false" ht="15" hidden="false" customHeight="false" outlineLevel="0" collapsed="false">
      <c r="A192" s="39" t="s">
        <v>879</v>
      </c>
      <c r="B192" s="39" t="s">
        <v>880</v>
      </c>
      <c r="C192" s="39" t="s">
        <v>906</v>
      </c>
      <c r="D192" s="39" t="s">
        <v>888</v>
      </c>
      <c r="E192" s="39" t="s">
        <v>883</v>
      </c>
      <c r="F192" s="39"/>
      <c r="G192" s="58" t="n">
        <v>640</v>
      </c>
      <c r="H192" s="34" t="n">
        <f aca="false">G192*2</f>
        <v>1280</v>
      </c>
      <c r="I192" s="39" t="str">
        <f aca="false">A192&amp;"|"&amp;B192&amp;"|"&amp;D192&amp;"|"&amp;E192&amp;F192</f>
        <v>auto|Oklahoma City|scenario E (age 70)|male</v>
      </c>
      <c r="J192" s="34" t="n">
        <f aca="false" t="array" ref="J192:J192">MEDIAN(IF($I$4:$I$1803=I192,$H$4:$H$1803))</f>
        <v>1649</v>
      </c>
      <c r="K192" s="59" t="n">
        <f aca="false">H192/J192</f>
        <v>0.776228016979988</v>
      </c>
    </row>
    <row r="193" customFormat="false" ht="15" hidden="false" customHeight="false" outlineLevel="0" collapsed="false">
      <c r="A193" s="39" t="s">
        <v>879</v>
      </c>
      <c r="B193" s="39" t="s">
        <v>880</v>
      </c>
      <c r="C193" s="39" t="s">
        <v>906</v>
      </c>
      <c r="D193" s="39" t="s">
        <v>888</v>
      </c>
      <c r="E193" s="39" t="s">
        <v>884</v>
      </c>
      <c r="F193" s="39"/>
      <c r="G193" s="58" t="n">
        <v>645</v>
      </c>
      <c r="H193" s="34" t="n">
        <f aca="false">G193*2</f>
        <v>1290</v>
      </c>
      <c r="I193" s="39" t="str">
        <f aca="false">A193&amp;"|"&amp;B193&amp;"|"&amp;D193&amp;"|"&amp;E193&amp;F193</f>
        <v>auto|Oklahoma City|scenario E (age 70)|female</v>
      </c>
      <c r="J193" s="34" t="n">
        <f aca="false" t="array" ref="J193:J193">MEDIAN(IF($I$4:$I$1803=I193,$H$4:$H$1803))</f>
        <v>1664</v>
      </c>
      <c r="K193" s="59" t="n">
        <f aca="false">H193/J193</f>
        <v>0.775240384615385</v>
      </c>
    </row>
    <row r="194" customFormat="false" ht="15" hidden="false" customHeight="false" outlineLevel="0" collapsed="false">
      <c r="A194" s="39" t="s">
        <v>879</v>
      </c>
      <c r="B194" s="39" t="s">
        <v>880</v>
      </c>
      <c r="C194" s="39" t="s">
        <v>907</v>
      </c>
      <c r="D194" s="39" t="s">
        <v>882</v>
      </c>
      <c r="E194" s="39" t="s">
        <v>883</v>
      </c>
      <c r="F194" s="39"/>
      <c r="G194" s="58" t="n">
        <v>4666</v>
      </c>
      <c r="H194" s="34" t="n">
        <f aca="false">G194*2</f>
        <v>9332</v>
      </c>
      <c r="I194" s="39" t="str">
        <f aca="false">A194&amp;"|"&amp;B194&amp;"|"&amp;D194&amp;"|"&amp;E194&amp;F194</f>
        <v>auto|Oklahoma City|scenario A (age 16)|male</v>
      </c>
      <c r="J194" s="34" t="n">
        <f aca="false" t="array" ref="J194:J194">MEDIAN(IF($I$4:$I$1803=I194,$H$4:$H$1803))</f>
        <v>8358</v>
      </c>
      <c r="K194" s="59" t="n">
        <f aca="false">H194/J194</f>
        <v>1.11653505623355</v>
      </c>
    </row>
    <row r="195" customFormat="false" ht="15" hidden="false" customHeight="false" outlineLevel="0" collapsed="false">
      <c r="A195" s="39" t="s">
        <v>879</v>
      </c>
      <c r="B195" s="39" t="s">
        <v>880</v>
      </c>
      <c r="C195" s="39" t="s">
        <v>907</v>
      </c>
      <c r="D195" s="39" t="s">
        <v>882</v>
      </c>
      <c r="E195" s="39" t="s">
        <v>884</v>
      </c>
      <c r="F195" s="39"/>
      <c r="G195" s="58" t="n">
        <v>4498</v>
      </c>
      <c r="H195" s="34" t="n">
        <f aca="false">G195*2</f>
        <v>8996</v>
      </c>
      <c r="I195" s="39" t="str">
        <f aca="false">A195&amp;"|"&amp;B195&amp;"|"&amp;D195&amp;"|"&amp;E195&amp;F195</f>
        <v>auto|Oklahoma City|scenario A (age 16)|female</v>
      </c>
      <c r="J195" s="34" t="n">
        <f aca="false" t="array" ref="J195:J195">MEDIAN(IF($I$4:$I$1803=I195,$H$4:$H$1803))</f>
        <v>6710</v>
      </c>
      <c r="K195" s="59" t="n">
        <f aca="false">H195/J195</f>
        <v>1.34068554396423</v>
      </c>
    </row>
    <row r="196" customFormat="false" ht="15" hidden="false" customHeight="false" outlineLevel="0" collapsed="false">
      <c r="A196" s="39" t="s">
        <v>879</v>
      </c>
      <c r="B196" s="39" t="s">
        <v>880</v>
      </c>
      <c r="C196" s="39" t="s">
        <v>907</v>
      </c>
      <c r="D196" s="39" t="s">
        <v>885</v>
      </c>
      <c r="E196" s="39" t="s">
        <v>883</v>
      </c>
      <c r="F196" s="39"/>
      <c r="G196" s="58" t="n">
        <v>1644</v>
      </c>
      <c r="H196" s="34" t="n">
        <f aca="false">G196*2</f>
        <v>3288</v>
      </c>
      <c r="I196" s="39" t="str">
        <f aca="false">A196&amp;"|"&amp;B196&amp;"|"&amp;D196&amp;"|"&amp;E196&amp;F196</f>
        <v>auto|Oklahoma City|scenario B (age 21)|male</v>
      </c>
      <c r="J196" s="34" t="n">
        <f aca="false" t="array" ref="J196:J196">MEDIAN(IF($I$4:$I$1803=I196,$H$4:$H$1803))</f>
        <v>3517</v>
      </c>
      <c r="K196" s="59" t="n">
        <f aca="false">H196/J196</f>
        <v>0.934887688370771</v>
      </c>
    </row>
    <row r="197" customFormat="false" ht="15" hidden="false" customHeight="false" outlineLevel="0" collapsed="false">
      <c r="A197" s="39" t="s">
        <v>879</v>
      </c>
      <c r="B197" s="39" t="s">
        <v>880</v>
      </c>
      <c r="C197" s="39" t="s">
        <v>907</v>
      </c>
      <c r="D197" s="39" t="s">
        <v>885</v>
      </c>
      <c r="E197" s="39" t="s">
        <v>884</v>
      </c>
      <c r="F197" s="39"/>
      <c r="G197" s="58" t="n">
        <v>1586</v>
      </c>
      <c r="H197" s="34" t="n">
        <f aca="false">G197*2</f>
        <v>3172</v>
      </c>
      <c r="I197" s="39" t="str">
        <f aca="false">A197&amp;"|"&amp;B197&amp;"|"&amp;D197&amp;"|"&amp;E197&amp;F197</f>
        <v>auto|Oklahoma City|scenario B (age 21)|female</v>
      </c>
      <c r="J197" s="34" t="n">
        <f aca="false" t="array" ref="J197:J197">MEDIAN(IF($I$4:$I$1803=I197,$H$4:$H$1803))</f>
        <v>3138</v>
      </c>
      <c r="K197" s="59" t="n">
        <f aca="false">H197/J197</f>
        <v>1.01083492670491</v>
      </c>
    </row>
    <row r="198" customFormat="false" ht="15" hidden="false" customHeight="false" outlineLevel="0" collapsed="false">
      <c r="A198" s="39" t="s">
        <v>879</v>
      </c>
      <c r="B198" s="39" t="s">
        <v>880</v>
      </c>
      <c r="C198" s="39" t="s">
        <v>907</v>
      </c>
      <c r="D198" s="39" t="s">
        <v>886</v>
      </c>
      <c r="E198" s="39" t="s">
        <v>883</v>
      </c>
      <c r="F198" s="39"/>
      <c r="G198" s="58" t="n">
        <v>901</v>
      </c>
      <c r="H198" s="34" t="n">
        <f aca="false">G198*2</f>
        <v>1802</v>
      </c>
      <c r="I198" s="39" t="str">
        <f aca="false">A198&amp;"|"&amp;B198&amp;"|"&amp;D198&amp;"|"&amp;E198&amp;F198</f>
        <v>auto|Oklahoma City|scenario C (age 36)|male</v>
      </c>
      <c r="J198" s="34" t="n">
        <f aca="false" t="array" ref="J198:J198">MEDIAN(IF($I$4:$I$1803=I198,$H$4:$H$1803))</f>
        <v>2128</v>
      </c>
      <c r="K198" s="59" t="n">
        <f aca="false">H198/J198</f>
        <v>0.846804511278195</v>
      </c>
    </row>
    <row r="199" customFormat="false" ht="15" hidden="false" customHeight="false" outlineLevel="0" collapsed="false">
      <c r="A199" s="39" t="s">
        <v>879</v>
      </c>
      <c r="B199" s="39" t="s">
        <v>880</v>
      </c>
      <c r="C199" s="39" t="s">
        <v>907</v>
      </c>
      <c r="D199" s="39" t="s">
        <v>886</v>
      </c>
      <c r="E199" s="39" t="s">
        <v>884</v>
      </c>
      <c r="F199" s="39"/>
      <c r="G199" s="58" t="n">
        <v>881</v>
      </c>
      <c r="H199" s="34" t="n">
        <f aca="false">G199*2</f>
        <v>1762</v>
      </c>
      <c r="I199" s="39" t="str">
        <f aca="false">A199&amp;"|"&amp;B199&amp;"|"&amp;D199&amp;"|"&amp;E199&amp;F199</f>
        <v>auto|Oklahoma City|scenario C (age 36)|female</v>
      </c>
      <c r="J199" s="34" t="n">
        <f aca="false" t="array" ref="J199:J199">MEDIAN(IF($I$4:$I$1803=I199,$H$4:$H$1803))</f>
        <v>2026</v>
      </c>
      <c r="K199" s="59" t="n">
        <f aca="false">H199/J199</f>
        <v>0.86969397828233</v>
      </c>
    </row>
    <row r="200" customFormat="false" ht="15" hidden="false" customHeight="false" outlineLevel="0" collapsed="false">
      <c r="A200" s="39" t="s">
        <v>879</v>
      </c>
      <c r="B200" s="39" t="s">
        <v>880</v>
      </c>
      <c r="C200" s="39" t="s">
        <v>907</v>
      </c>
      <c r="D200" s="39" t="s">
        <v>887</v>
      </c>
      <c r="E200" s="39" t="s">
        <v>883</v>
      </c>
      <c r="F200" s="39"/>
      <c r="G200" s="58" t="n">
        <v>801</v>
      </c>
      <c r="H200" s="34" t="n">
        <f aca="false">G200*2</f>
        <v>1602</v>
      </c>
      <c r="I200" s="39" t="str">
        <f aca="false">A200&amp;"|"&amp;B200&amp;"|"&amp;D200&amp;"|"&amp;E200&amp;F200</f>
        <v>auto|Oklahoma City|scenario D (age 55)|male</v>
      </c>
      <c r="J200" s="34" t="n">
        <f aca="false" t="array" ref="J200:J200">MEDIAN(IF($I$4:$I$1803=I200,$H$4:$H$1803))</f>
        <v>1762</v>
      </c>
      <c r="K200" s="59" t="n">
        <f aca="false">H200/J200</f>
        <v>0.909194097616345</v>
      </c>
    </row>
    <row r="201" customFormat="false" ht="15" hidden="false" customHeight="false" outlineLevel="0" collapsed="false">
      <c r="A201" s="39" t="s">
        <v>879</v>
      </c>
      <c r="B201" s="39" t="s">
        <v>880</v>
      </c>
      <c r="C201" s="39" t="s">
        <v>907</v>
      </c>
      <c r="D201" s="39" t="s">
        <v>887</v>
      </c>
      <c r="E201" s="39" t="s">
        <v>884</v>
      </c>
      <c r="F201" s="39"/>
      <c r="G201" s="58" t="n">
        <v>799</v>
      </c>
      <c r="H201" s="34" t="n">
        <f aca="false">G201*2</f>
        <v>1598</v>
      </c>
      <c r="I201" s="39" t="str">
        <f aca="false">A201&amp;"|"&amp;B201&amp;"|"&amp;D201&amp;"|"&amp;E201&amp;F201</f>
        <v>auto|Oklahoma City|scenario D (age 55)|female</v>
      </c>
      <c r="J201" s="34" t="n">
        <f aca="false" t="array" ref="J201:J201">MEDIAN(IF($I$4:$I$1803=I201,$H$4:$H$1803))</f>
        <v>1664</v>
      </c>
      <c r="K201" s="59" t="n">
        <f aca="false">H201/J201</f>
        <v>0.960336538461538</v>
      </c>
    </row>
    <row r="202" customFormat="false" ht="15" hidden="false" customHeight="false" outlineLevel="0" collapsed="false">
      <c r="A202" s="39" t="s">
        <v>879</v>
      </c>
      <c r="B202" s="39" t="s">
        <v>880</v>
      </c>
      <c r="C202" s="39" t="s">
        <v>907</v>
      </c>
      <c r="D202" s="39" t="s">
        <v>888</v>
      </c>
      <c r="E202" s="39" t="s">
        <v>883</v>
      </c>
      <c r="F202" s="39"/>
      <c r="G202" s="58" t="n">
        <v>823</v>
      </c>
      <c r="H202" s="34" t="n">
        <f aca="false">G202*2</f>
        <v>1646</v>
      </c>
      <c r="I202" s="39" t="str">
        <f aca="false">A202&amp;"|"&amp;B202&amp;"|"&amp;D202&amp;"|"&amp;E202&amp;F202</f>
        <v>auto|Oklahoma City|scenario E (age 70)|male</v>
      </c>
      <c r="J202" s="34" t="n">
        <f aca="false" t="array" ref="J202:J202">MEDIAN(IF($I$4:$I$1803=I202,$H$4:$H$1803))</f>
        <v>1649</v>
      </c>
      <c r="K202" s="59" t="n">
        <f aca="false">H202/J202</f>
        <v>0.998180715585203</v>
      </c>
    </row>
    <row r="203" customFormat="false" ht="15" hidden="false" customHeight="false" outlineLevel="0" collapsed="false">
      <c r="A203" s="39" t="s">
        <v>879</v>
      </c>
      <c r="B203" s="39" t="s">
        <v>880</v>
      </c>
      <c r="C203" s="39" t="s">
        <v>907</v>
      </c>
      <c r="D203" s="39" t="s">
        <v>888</v>
      </c>
      <c r="E203" s="39" t="s">
        <v>884</v>
      </c>
      <c r="F203" s="39"/>
      <c r="G203" s="58" t="n">
        <v>828</v>
      </c>
      <c r="H203" s="34" t="n">
        <f aca="false">G203*2</f>
        <v>1656</v>
      </c>
      <c r="I203" s="39" t="str">
        <f aca="false">A203&amp;"|"&amp;B203&amp;"|"&amp;D203&amp;"|"&amp;E203&amp;F203</f>
        <v>auto|Oklahoma City|scenario E (age 70)|female</v>
      </c>
      <c r="J203" s="34" t="n">
        <f aca="false" t="array" ref="J203:J203">MEDIAN(IF($I$4:$I$1803=I203,$H$4:$H$1803))</f>
        <v>1664</v>
      </c>
      <c r="K203" s="59" t="n">
        <f aca="false">H203/J203</f>
        <v>0.995192307692308</v>
      </c>
    </row>
    <row r="204" customFormat="false" ht="15" hidden="false" customHeight="false" outlineLevel="0" collapsed="false">
      <c r="A204" s="39" t="s">
        <v>879</v>
      </c>
      <c r="B204" s="39" t="s">
        <v>908</v>
      </c>
      <c r="C204" s="39" t="s">
        <v>881</v>
      </c>
      <c r="D204" s="39" t="s">
        <v>882</v>
      </c>
      <c r="E204" s="39" t="s">
        <v>883</v>
      </c>
      <c r="F204" s="39"/>
      <c r="G204" s="58" t="n">
        <v>6590</v>
      </c>
      <c r="H204" s="34" t="n">
        <f aca="false">G204*2</f>
        <v>13180</v>
      </c>
      <c r="I204" s="39" t="str">
        <f aca="false">A204&amp;"|"&amp;B204&amp;"|"&amp;D204&amp;"|"&amp;E204&amp;F204</f>
        <v>auto|Tulsa|scenario A (age 16)|male</v>
      </c>
      <c r="J204" s="34" t="n">
        <f aca="false" t="array" ref="J204:J204">MEDIAN(IF($I$4:$I$1803=I204,$H$4:$H$1803))</f>
        <v>8754</v>
      </c>
      <c r="K204" s="59" t="n">
        <f aca="false">H204/J204</f>
        <v>1.50559744116975</v>
      </c>
    </row>
    <row r="205" customFormat="false" ht="15" hidden="false" customHeight="false" outlineLevel="0" collapsed="false">
      <c r="A205" s="39" t="s">
        <v>879</v>
      </c>
      <c r="B205" s="39" t="s">
        <v>908</v>
      </c>
      <c r="C205" s="39" t="s">
        <v>881</v>
      </c>
      <c r="D205" s="39" t="s">
        <v>882</v>
      </c>
      <c r="E205" s="39" t="s">
        <v>884</v>
      </c>
      <c r="F205" s="39"/>
      <c r="G205" s="58" t="n">
        <v>6057</v>
      </c>
      <c r="H205" s="34" t="n">
        <f aca="false">G205*2</f>
        <v>12114</v>
      </c>
      <c r="I205" s="39" t="str">
        <f aca="false">A205&amp;"|"&amp;B205&amp;"|"&amp;D205&amp;"|"&amp;E205&amp;F205</f>
        <v>auto|Tulsa|scenario A (age 16)|female</v>
      </c>
      <c r="J205" s="34" t="n">
        <f aca="false" t="array" ref="J205:J205">MEDIAN(IF($I$4:$I$1803=I205,$H$4:$H$1803))</f>
        <v>7301</v>
      </c>
      <c r="K205" s="59" t="n">
        <f aca="false">H205/J205</f>
        <v>1.659224763731</v>
      </c>
    </row>
    <row r="206" customFormat="false" ht="15" hidden="false" customHeight="false" outlineLevel="0" collapsed="false">
      <c r="A206" s="39" t="s">
        <v>879</v>
      </c>
      <c r="B206" s="39" t="s">
        <v>908</v>
      </c>
      <c r="C206" s="39" t="s">
        <v>881</v>
      </c>
      <c r="D206" s="39" t="s">
        <v>885</v>
      </c>
      <c r="E206" s="39" t="s">
        <v>883</v>
      </c>
      <c r="F206" s="39"/>
      <c r="G206" s="58" t="n">
        <v>1916</v>
      </c>
      <c r="H206" s="34" t="n">
        <f aca="false">G206*2</f>
        <v>3832</v>
      </c>
      <c r="I206" s="39" t="str">
        <f aca="false">A206&amp;"|"&amp;B206&amp;"|"&amp;D206&amp;"|"&amp;E206&amp;F206</f>
        <v>auto|Tulsa|scenario B (age 21)|male</v>
      </c>
      <c r="J206" s="34" t="n">
        <f aca="false" t="array" ref="J206:J206">MEDIAN(IF($I$4:$I$1803=I206,$H$4:$H$1803))</f>
        <v>3712</v>
      </c>
      <c r="K206" s="59" t="n">
        <f aca="false">H206/J206</f>
        <v>1.0323275862069</v>
      </c>
    </row>
    <row r="207" customFormat="false" ht="15" hidden="false" customHeight="false" outlineLevel="0" collapsed="false">
      <c r="A207" s="39" t="s">
        <v>879</v>
      </c>
      <c r="B207" s="39" t="s">
        <v>908</v>
      </c>
      <c r="C207" s="39" t="s">
        <v>881</v>
      </c>
      <c r="D207" s="39" t="s">
        <v>885</v>
      </c>
      <c r="E207" s="39" t="s">
        <v>884</v>
      </c>
      <c r="F207" s="39"/>
      <c r="G207" s="58" t="n">
        <v>1564</v>
      </c>
      <c r="H207" s="34" t="n">
        <f aca="false">G207*2</f>
        <v>3128</v>
      </c>
      <c r="I207" s="39" t="str">
        <f aca="false">A207&amp;"|"&amp;B207&amp;"|"&amp;D207&amp;"|"&amp;E207&amp;F207</f>
        <v>auto|Tulsa|scenario B (age 21)|female</v>
      </c>
      <c r="J207" s="34" t="n">
        <f aca="false" t="array" ref="J207:J207">MEDIAN(IF($I$4:$I$1803=I207,$H$4:$H$1803))</f>
        <v>3230</v>
      </c>
      <c r="K207" s="59" t="n">
        <f aca="false">H207/J207</f>
        <v>0.968421052631579</v>
      </c>
    </row>
    <row r="208" customFormat="false" ht="15" hidden="false" customHeight="false" outlineLevel="0" collapsed="false">
      <c r="A208" s="39" t="s">
        <v>879</v>
      </c>
      <c r="B208" s="39" t="s">
        <v>908</v>
      </c>
      <c r="C208" s="39" t="s">
        <v>881</v>
      </c>
      <c r="D208" s="39" t="s">
        <v>886</v>
      </c>
      <c r="E208" s="39" t="s">
        <v>883</v>
      </c>
      <c r="F208" s="39"/>
      <c r="G208" s="58" t="n">
        <v>1020</v>
      </c>
      <c r="H208" s="34" t="n">
        <f aca="false">G208*2</f>
        <v>2040</v>
      </c>
      <c r="I208" s="39" t="str">
        <f aca="false">A208&amp;"|"&amp;B208&amp;"|"&amp;D208&amp;"|"&amp;E208&amp;F208</f>
        <v>auto|Tulsa|scenario C (age 36)|male</v>
      </c>
      <c r="J208" s="34" t="n">
        <f aca="false" t="array" ref="J208:J208">MEDIAN(IF($I$4:$I$1803=I208,$H$4:$H$1803))</f>
        <v>2040</v>
      </c>
      <c r="K208" s="59" t="n">
        <f aca="false">H208/J208</f>
        <v>1</v>
      </c>
    </row>
    <row r="209" customFormat="false" ht="15" hidden="false" customHeight="false" outlineLevel="0" collapsed="false">
      <c r="A209" s="39" t="s">
        <v>879</v>
      </c>
      <c r="B209" s="39" t="s">
        <v>908</v>
      </c>
      <c r="C209" s="39" t="s">
        <v>881</v>
      </c>
      <c r="D209" s="39" t="s">
        <v>886</v>
      </c>
      <c r="E209" s="39" t="s">
        <v>884</v>
      </c>
      <c r="F209" s="39"/>
      <c r="G209" s="58" t="n">
        <v>1024</v>
      </c>
      <c r="H209" s="34" t="n">
        <f aca="false">G209*2</f>
        <v>2048</v>
      </c>
      <c r="I209" s="39" t="str">
        <f aca="false">A209&amp;"|"&amp;B209&amp;"|"&amp;D209&amp;"|"&amp;E209&amp;F209</f>
        <v>auto|Tulsa|scenario C (age 36)|female</v>
      </c>
      <c r="J209" s="34" t="n">
        <f aca="false" t="array" ref="J209:J209">MEDIAN(IF($I$4:$I$1803=I209,$H$4:$H$1803))</f>
        <v>1976</v>
      </c>
      <c r="K209" s="59" t="n">
        <f aca="false">H209/J209</f>
        <v>1.03643724696356</v>
      </c>
    </row>
    <row r="210" customFormat="false" ht="15" hidden="false" customHeight="false" outlineLevel="0" collapsed="false">
      <c r="A210" s="39" t="s">
        <v>879</v>
      </c>
      <c r="B210" s="39" t="s">
        <v>908</v>
      </c>
      <c r="C210" s="39" t="s">
        <v>881</v>
      </c>
      <c r="D210" s="39" t="s">
        <v>887</v>
      </c>
      <c r="E210" s="39" t="s">
        <v>883</v>
      </c>
      <c r="F210" s="39"/>
      <c r="G210" s="58" t="n">
        <v>1007</v>
      </c>
      <c r="H210" s="34" t="n">
        <f aca="false">G210*2</f>
        <v>2014</v>
      </c>
      <c r="I210" s="39" t="str">
        <f aca="false">A210&amp;"|"&amp;B210&amp;"|"&amp;D210&amp;"|"&amp;E210&amp;F210</f>
        <v>auto|Tulsa|scenario D (age 55)|male</v>
      </c>
      <c r="J210" s="34" t="n">
        <f aca="false" t="array" ref="J210:J210">MEDIAN(IF($I$4:$I$1803=I210,$H$4:$H$1803))</f>
        <v>1765</v>
      </c>
      <c r="K210" s="59" t="n">
        <f aca="false">H210/J210</f>
        <v>1.14107648725212</v>
      </c>
    </row>
    <row r="211" customFormat="false" ht="15" hidden="false" customHeight="false" outlineLevel="0" collapsed="false">
      <c r="A211" s="39" t="s">
        <v>879</v>
      </c>
      <c r="B211" s="39" t="s">
        <v>908</v>
      </c>
      <c r="C211" s="39" t="s">
        <v>881</v>
      </c>
      <c r="D211" s="39" t="s">
        <v>887</v>
      </c>
      <c r="E211" s="39" t="s">
        <v>884</v>
      </c>
      <c r="F211" s="39"/>
      <c r="G211" s="58" t="n">
        <v>953</v>
      </c>
      <c r="H211" s="34" t="n">
        <f aca="false">G211*2</f>
        <v>1906</v>
      </c>
      <c r="I211" s="39" t="str">
        <f aca="false">A211&amp;"|"&amp;B211&amp;"|"&amp;D211&amp;"|"&amp;E211&amp;F211</f>
        <v>auto|Tulsa|scenario D (age 55)|female</v>
      </c>
      <c r="J211" s="34" t="n">
        <f aca="false" t="array" ref="J211:J211">MEDIAN(IF($I$4:$I$1803=I211,$H$4:$H$1803))</f>
        <v>1781</v>
      </c>
      <c r="K211" s="59" t="n">
        <f aca="false">H211/J211</f>
        <v>1.07018528916339</v>
      </c>
    </row>
    <row r="212" customFormat="false" ht="15" hidden="false" customHeight="false" outlineLevel="0" collapsed="false">
      <c r="A212" s="39" t="s">
        <v>879</v>
      </c>
      <c r="B212" s="39" t="s">
        <v>908</v>
      </c>
      <c r="C212" s="39" t="s">
        <v>881</v>
      </c>
      <c r="D212" s="39" t="s">
        <v>888</v>
      </c>
      <c r="E212" s="39" t="s">
        <v>883</v>
      </c>
      <c r="F212" s="39"/>
      <c r="G212" s="58" t="n">
        <v>1072</v>
      </c>
      <c r="H212" s="34" t="n">
        <f aca="false">G212*2</f>
        <v>2144</v>
      </c>
      <c r="I212" s="39" t="str">
        <f aca="false">A212&amp;"|"&amp;B212&amp;"|"&amp;D212&amp;"|"&amp;E212&amp;F212</f>
        <v>auto|Tulsa|scenario E (age 70)|male</v>
      </c>
      <c r="J212" s="34" t="n">
        <f aca="false" t="array" ref="J212:J212">MEDIAN(IF($I$4:$I$1803=I212,$H$4:$H$1803))</f>
        <v>1676</v>
      </c>
      <c r="K212" s="59" t="n">
        <f aca="false">H212/J212</f>
        <v>1.27923627684964</v>
      </c>
    </row>
    <row r="213" customFormat="false" ht="15" hidden="false" customHeight="false" outlineLevel="0" collapsed="false">
      <c r="A213" s="39" t="s">
        <v>879</v>
      </c>
      <c r="B213" s="39" t="s">
        <v>908</v>
      </c>
      <c r="C213" s="39" t="s">
        <v>881</v>
      </c>
      <c r="D213" s="39" t="s">
        <v>888</v>
      </c>
      <c r="E213" s="39" t="s">
        <v>884</v>
      </c>
      <c r="F213" s="39"/>
      <c r="G213" s="58" t="n">
        <v>1015</v>
      </c>
      <c r="H213" s="34" t="n">
        <f aca="false">G213*2</f>
        <v>2030</v>
      </c>
      <c r="I213" s="39" t="str">
        <f aca="false">A213&amp;"|"&amp;B213&amp;"|"&amp;D213&amp;"|"&amp;E213&amp;F213</f>
        <v>auto|Tulsa|scenario E (age 70)|female</v>
      </c>
      <c r="J213" s="34" t="n">
        <f aca="false" t="array" ref="J213:J213">MEDIAN(IF($I$4:$I$1803=I213,$H$4:$H$1803))</f>
        <v>1677</v>
      </c>
      <c r="K213" s="59" t="n">
        <f aca="false">H213/J213</f>
        <v>1.21049493142516</v>
      </c>
    </row>
    <row r="214" customFormat="false" ht="15" hidden="false" customHeight="false" outlineLevel="0" collapsed="false">
      <c r="A214" s="39" t="s">
        <v>879</v>
      </c>
      <c r="B214" s="39" t="s">
        <v>908</v>
      </c>
      <c r="C214" s="39" t="s">
        <v>889</v>
      </c>
      <c r="D214" s="39" t="s">
        <v>882</v>
      </c>
      <c r="E214" s="39" t="s">
        <v>883</v>
      </c>
      <c r="F214" s="39"/>
      <c r="G214" s="58" t="n">
        <v>3106</v>
      </c>
      <c r="H214" s="34" t="n">
        <f aca="false">G214*2</f>
        <v>6212</v>
      </c>
      <c r="I214" s="39" t="str">
        <f aca="false">A214&amp;"|"&amp;B214&amp;"|"&amp;D214&amp;"|"&amp;E214&amp;F214</f>
        <v>auto|Tulsa|scenario A (age 16)|male</v>
      </c>
      <c r="J214" s="34" t="n">
        <f aca="false" t="array" ref="J214:J214">MEDIAN(IF($I$4:$I$1803=I214,$H$4:$H$1803))</f>
        <v>8754</v>
      </c>
      <c r="K214" s="59" t="n">
        <f aca="false">H214/J214</f>
        <v>0.709618460132511</v>
      </c>
    </row>
    <row r="215" customFormat="false" ht="15" hidden="false" customHeight="false" outlineLevel="0" collapsed="false">
      <c r="A215" s="39" t="s">
        <v>879</v>
      </c>
      <c r="B215" s="39" t="s">
        <v>908</v>
      </c>
      <c r="C215" s="39" t="s">
        <v>889</v>
      </c>
      <c r="D215" s="39" t="s">
        <v>882</v>
      </c>
      <c r="E215" s="39" t="s">
        <v>884</v>
      </c>
      <c r="F215" s="39"/>
      <c r="G215" s="58" t="n">
        <v>2977</v>
      </c>
      <c r="H215" s="34" t="n">
        <f aca="false">G215*2</f>
        <v>5954</v>
      </c>
      <c r="I215" s="39" t="str">
        <f aca="false">A215&amp;"|"&amp;B215&amp;"|"&amp;D215&amp;"|"&amp;E215&amp;F215</f>
        <v>auto|Tulsa|scenario A (age 16)|female</v>
      </c>
      <c r="J215" s="34" t="n">
        <f aca="false" t="array" ref="J215:J215">MEDIAN(IF($I$4:$I$1803=I215,$H$4:$H$1803))</f>
        <v>7301</v>
      </c>
      <c r="K215" s="59" t="n">
        <f aca="false">H215/J215</f>
        <v>0.815504725380085</v>
      </c>
    </row>
    <row r="216" customFormat="false" ht="15" hidden="false" customHeight="false" outlineLevel="0" collapsed="false">
      <c r="A216" s="39" t="s">
        <v>879</v>
      </c>
      <c r="B216" s="39" t="s">
        <v>908</v>
      </c>
      <c r="C216" s="39" t="s">
        <v>889</v>
      </c>
      <c r="D216" s="39" t="s">
        <v>885</v>
      </c>
      <c r="E216" s="39" t="s">
        <v>883</v>
      </c>
      <c r="F216" s="39"/>
      <c r="G216" s="58" t="n">
        <v>2147</v>
      </c>
      <c r="H216" s="34" t="n">
        <f aca="false">G216*2</f>
        <v>4294</v>
      </c>
      <c r="I216" s="39" t="str">
        <f aca="false">A216&amp;"|"&amp;B216&amp;"|"&amp;D216&amp;"|"&amp;E216&amp;F216</f>
        <v>auto|Tulsa|scenario B (age 21)|male</v>
      </c>
      <c r="J216" s="34" t="n">
        <f aca="false" t="array" ref="J216:J216">MEDIAN(IF($I$4:$I$1803=I216,$H$4:$H$1803))</f>
        <v>3712</v>
      </c>
      <c r="K216" s="59" t="n">
        <f aca="false">H216/J216</f>
        <v>1.15678879310345</v>
      </c>
    </row>
    <row r="217" customFormat="false" ht="15" hidden="false" customHeight="false" outlineLevel="0" collapsed="false">
      <c r="A217" s="39" t="s">
        <v>879</v>
      </c>
      <c r="B217" s="39" t="s">
        <v>908</v>
      </c>
      <c r="C217" s="39" t="s">
        <v>889</v>
      </c>
      <c r="D217" s="39" t="s">
        <v>885</v>
      </c>
      <c r="E217" s="39" t="s">
        <v>884</v>
      </c>
      <c r="F217" s="39"/>
      <c r="G217" s="58" t="n">
        <v>2064</v>
      </c>
      <c r="H217" s="34" t="n">
        <f aca="false">G217*2</f>
        <v>4128</v>
      </c>
      <c r="I217" s="39" t="str">
        <f aca="false">A217&amp;"|"&amp;B217&amp;"|"&amp;D217&amp;"|"&amp;E217&amp;F217</f>
        <v>auto|Tulsa|scenario B (age 21)|female</v>
      </c>
      <c r="J217" s="34" t="n">
        <f aca="false" t="array" ref="J217:J217">MEDIAN(IF($I$4:$I$1803=I217,$H$4:$H$1803))</f>
        <v>3230</v>
      </c>
      <c r="K217" s="59" t="n">
        <f aca="false">H217/J217</f>
        <v>1.27801857585139</v>
      </c>
    </row>
    <row r="218" customFormat="false" ht="15" hidden="false" customHeight="false" outlineLevel="0" collapsed="false">
      <c r="A218" s="39" t="s">
        <v>879</v>
      </c>
      <c r="B218" s="39" t="s">
        <v>908</v>
      </c>
      <c r="C218" s="39" t="s">
        <v>889</v>
      </c>
      <c r="D218" s="39" t="s">
        <v>886</v>
      </c>
      <c r="E218" s="39" t="s">
        <v>883</v>
      </c>
      <c r="F218" s="39"/>
      <c r="G218" s="58" t="n">
        <v>1411</v>
      </c>
      <c r="H218" s="34" t="n">
        <f aca="false">G218*2</f>
        <v>2822</v>
      </c>
      <c r="I218" s="39" t="str">
        <f aca="false">A218&amp;"|"&amp;B218&amp;"|"&amp;D218&amp;"|"&amp;E218&amp;F218</f>
        <v>auto|Tulsa|scenario C (age 36)|male</v>
      </c>
      <c r="J218" s="34" t="n">
        <f aca="false" t="array" ref="J218:J218">MEDIAN(IF($I$4:$I$1803=I218,$H$4:$H$1803))</f>
        <v>2040</v>
      </c>
      <c r="K218" s="59" t="n">
        <f aca="false">H218/J218</f>
        <v>1.38333333333333</v>
      </c>
    </row>
    <row r="219" customFormat="false" ht="15" hidden="false" customHeight="false" outlineLevel="0" collapsed="false">
      <c r="A219" s="39" t="s">
        <v>879</v>
      </c>
      <c r="B219" s="39" t="s">
        <v>908</v>
      </c>
      <c r="C219" s="39" t="s">
        <v>889</v>
      </c>
      <c r="D219" s="39" t="s">
        <v>886</v>
      </c>
      <c r="E219" s="39" t="s">
        <v>884</v>
      </c>
      <c r="F219" s="39"/>
      <c r="G219" s="58" t="n">
        <v>1363</v>
      </c>
      <c r="H219" s="34" t="n">
        <f aca="false">G219*2</f>
        <v>2726</v>
      </c>
      <c r="I219" s="39" t="str">
        <f aca="false">A219&amp;"|"&amp;B219&amp;"|"&amp;D219&amp;"|"&amp;E219&amp;F219</f>
        <v>auto|Tulsa|scenario C (age 36)|female</v>
      </c>
      <c r="J219" s="34" t="n">
        <f aca="false" t="array" ref="J219:J219">MEDIAN(IF($I$4:$I$1803=I219,$H$4:$H$1803))</f>
        <v>1976</v>
      </c>
      <c r="K219" s="59" t="n">
        <f aca="false">H219/J219</f>
        <v>1.37955465587045</v>
      </c>
    </row>
    <row r="220" customFormat="false" ht="15" hidden="false" customHeight="false" outlineLevel="0" collapsed="false">
      <c r="A220" s="39" t="s">
        <v>879</v>
      </c>
      <c r="B220" s="39" t="s">
        <v>908</v>
      </c>
      <c r="C220" s="39" t="s">
        <v>889</v>
      </c>
      <c r="D220" s="39" t="s">
        <v>887</v>
      </c>
      <c r="E220" s="39" t="s">
        <v>883</v>
      </c>
      <c r="F220" s="39"/>
      <c r="G220" s="58" t="n">
        <v>1387</v>
      </c>
      <c r="H220" s="34" t="n">
        <f aca="false">G220*2</f>
        <v>2774</v>
      </c>
      <c r="I220" s="39" t="str">
        <f aca="false">A220&amp;"|"&amp;B220&amp;"|"&amp;D220&amp;"|"&amp;E220&amp;F220</f>
        <v>auto|Tulsa|scenario D (age 55)|male</v>
      </c>
      <c r="J220" s="34" t="n">
        <f aca="false" t="array" ref="J220:J220">MEDIAN(IF($I$4:$I$1803=I220,$H$4:$H$1803))</f>
        <v>1765</v>
      </c>
      <c r="K220" s="59" t="n">
        <f aca="false">H220/J220</f>
        <v>1.57167138810198</v>
      </c>
    </row>
    <row r="221" customFormat="false" ht="15" hidden="false" customHeight="false" outlineLevel="0" collapsed="false">
      <c r="A221" s="39" t="s">
        <v>879</v>
      </c>
      <c r="B221" s="39" t="s">
        <v>908</v>
      </c>
      <c r="C221" s="39" t="s">
        <v>889</v>
      </c>
      <c r="D221" s="39" t="s">
        <v>887</v>
      </c>
      <c r="E221" s="39" t="s">
        <v>884</v>
      </c>
      <c r="F221" s="39"/>
      <c r="G221" s="58" t="n">
        <v>1340</v>
      </c>
      <c r="H221" s="34" t="n">
        <f aca="false">G221*2</f>
        <v>2680</v>
      </c>
      <c r="I221" s="39" t="str">
        <f aca="false">A221&amp;"|"&amp;B221&amp;"|"&amp;D221&amp;"|"&amp;E221&amp;F221</f>
        <v>auto|Tulsa|scenario D (age 55)|female</v>
      </c>
      <c r="J221" s="34" t="n">
        <f aca="false" t="array" ref="J221:J221">MEDIAN(IF($I$4:$I$1803=I221,$H$4:$H$1803))</f>
        <v>1781</v>
      </c>
      <c r="K221" s="59" t="n">
        <f aca="false">H221/J221</f>
        <v>1.50477259966311</v>
      </c>
    </row>
    <row r="222" customFormat="false" ht="15" hidden="false" customHeight="false" outlineLevel="0" collapsed="false">
      <c r="A222" s="39" t="s">
        <v>879</v>
      </c>
      <c r="B222" s="39" t="s">
        <v>908</v>
      </c>
      <c r="C222" s="39" t="s">
        <v>889</v>
      </c>
      <c r="D222" s="39" t="s">
        <v>888</v>
      </c>
      <c r="E222" s="39" t="s">
        <v>883</v>
      </c>
      <c r="F222" s="39"/>
      <c r="G222" s="58" t="n">
        <v>1363</v>
      </c>
      <c r="H222" s="34" t="n">
        <f aca="false">G222*2</f>
        <v>2726</v>
      </c>
      <c r="I222" s="39" t="str">
        <f aca="false">A222&amp;"|"&amp;B222&amp;"|"&amp;D222&amp;"|"&amp;E222&amp;F222</f>
        <v>auto|Tulsa|scenario E (age 70)|male</v>
      </c>
      <c r="J222" s="34" t="n">
        <f aca="false" t="array" ref="J222:J222">MEDIAN(IF($I$4:$I$1803=I222,$H$4:$H$1803))</f>
        <v>1676</v>
      </c>
      <c r="K222" s="59" t="n">
        <f aca="false">H222/J222</f>
        <v>1.62649164677804</v>
      </c>
    </row>
    <row r="223" customFormat="false" ht="15" hidden="false" customHeight="false" outlineLevel="0" collapsed="false">
      <c r="A223" s="39" t="s">
        <v>879</v>
      </c>
      <c r="B223" s="39" t="s">
        <v>908</v>
      </c>
      <c r="C223" s="39" t="s">
        <v>889</v>
      </c>
      <c r="D223" s="39" t="s">
        <v>888</v>
      </c>
      <c r="E223" s="39" t="s">
        <v>884</v>
      </c>
      <c r="F223" s="39"/>
      <c r="G223" s="58" t="n">
        <v>1317</v>
      </c>
      <c r="H223" s="34" t="n">
        <f aca="false">G223*2</f>
        <v>2634</v>
      </c>
      <c r="I223" s="39" t="str">
        <f aca="false">A223&amp;"|"&amp;B223&amp;"|"&amp;D223&amp;"|"&amp;E223&amp;F223</f>
        <v>auto|Tulsa|scenario E (age 70)|female</v>
      </c>
      <c r="J223" s="34" t="n">
        <f aca="false" t="array" ref="J223:J223">MEDIAN(IF($I$4:$I$1803=I223,$H$4:$H$1803))</f>
        <v>1677</v>
      </c>
      <c r="K223" s="59" t="n">
        <f aca="false">H223/J223</f>
        <v>1.57066189624329</v>
      </c>
    </row>
    <row r="224" customFormat="false" ht="15" hidden="false" customHeight="false" outlineLevel="0" collapsed="false">
      <c r="A224" s="39" t="s">
        <v>879</v>
      </c>
      <c r="B224" s="39" t="s">
        <v>908</v>
      </c>
      <c r="C224" s="39" t="s">
        <v>890</v>
      </c>
      <c r="D224" s="39" t="s">
        <v>882</v>
      </c>
      <c r="E224" s="39" t="s">
        <v>883</v>
      </c>
      <c r="F224" s="39"/>
      <c r="G224" s="58" t="n">
        <v>4524</v>
      </c>
      <c r="H224" s="34" t="n">
        <f aca="false">G224*2</f>
        <v>9048</v>
      </c>
      <c r="I224" s="39" t="str">
        <f aca="false">A224&amp;"|"&amp;B224&amp;"|"&amp;D224&amp;"|"&amp;E224&amp;F224</f>
        <v>auto|Tulsa|scenario A (age 16)|male</v>
      </c>
      <c r="J224" s="34" t="n">
        <f aca="false" t="array" ref="J224:J224">MEDIAN(IF($I$4:$I$1803=I224,$H$4:$H$1803))</f>
        <v>8754</v>
      </c>
      <c r="K224" s="59" t="n">
        <f aca="false">H224/J224</f>
        <v>1.03358464701851</v>
      </c>
    </row>
    <row r="225" customFormat="false" ht="15" hidden="false" customHeight="false" outlineLevel="0" collapsed="false">
      <c r="A225" s="39" t="s">
        <v>879</v>
      </c>
      <c r="B225" s="39" t="s">
        <v>908</v>
      </c>
      <c r="C225" s="39" t="s">
        <v>890</v>
      </c>
      <c r="D225" s="39" t="s">
        <v>882</v>
      </c>
      <c r="E225" s="39" t="s">
        <v>884</v>
      </c>
      <c r="F225" s="39"/>
      <c r="G225" s="58" t="n">
        <v>4022</v>
      </c>
      <c r="H225" s="34" t="n">
        <f aca="false">G225*2</f>
        <v>8044</v>
      </c>
      <c r="I225" s="39" t="str">
        <f aca="false">A225&amp;"|"&amp;B225&amp;"|"&amp;D225&amp;"|"&amp;E225&amp;F225</f>
        <v>auto|Tulsa|scenario A (age 16)|female</v>
      </c>
      <c r="J225" s="34" t="n">
        <f aca="false" t="array" ref="J225:J225">MEDIAN(IF($I$4:$I$1803=I225,$H$4:$H$1803))</f>
        <v>7301</v>
      </c>
      <c r="K225" s="59" t="n">
        <f aca="false">H225/J225</f>
        <v>1.10176688124914</v>
      </c>
    </row>
    <row r="226" customFormat="false" ht="15" hidden="false" customHeight="false" outlineLevel="0" collapsed="false">
      <c r="A226" s="39" t="s">
        <v>879</v>
      </c>
      <c r="B226" s="39" t="s">
        <v>908</v>
      </c>
      <c r="C226" s="39" t="s">
        <v>890</v>
      </c>
      <c r="D226" s="39" t="s">
        <v>885</v>
      </c>
      <c r="E226" s="39" t="s">
        <v>883</v>
      </c>
      <c r="F226" s="39"/>
      <c r="G226" s="58" t="n">
        <v>2859</v>
      </c>
      <c r="H226" s="34" t="n">
        <f aca="false">G226*2</f>
        <v>5718</v>
      </c>
      <c r="I226" s="39" t="str">
        <f aca="false">A226&amp;"|"&amp;B226&amp;"|"&amp;D226&amp;"|"&amp;E226&amp;F226</f>
        <v>auto|Tulsa|scenario B (age 21)|male</v>
      </c>
      <c r="J226" s="34" t="n">
        <f aca="false" t="array" ref="J226:J226">MEDIAN(IF($I$4:$I$1803=I226,$H$4:$H$1803))</f>
        <v>3712</v>
      </c>
      <c r="K226" s="59" t="n">
        <f aca="false">H226/J226</f>
        <v>1.54040948275862</v>
      </c>
    </row>
    <row r="227" customFormat="false" ht="15" hidden="false" customHeight="false" outlineLevel="0" collapsed="false">
      <c r="A227" s="39" t="s">
        <v>879</v>
      </c>
      <c r="B227" s="39" t="s">
        <v>908</v>
      </c>
      <c r="C227" s="39" t="s">
        <v>890</v>
      </c>
      <c r="D227" s="39" t="s">
        <v>885</v>
      </c>
      <c r="E227" s="39" t="s">
        <v>884</v>
      </c>
      <c r="F227" s="39"/>
      <c r="G227" s="58" t="n">
        <v>2247</v>
      </c>
      <c r="H227" s="34" t="n">
        <f aca="false">G227*2</f>
        <v>4494</v>
      </c>
      <c r="I227" s="39" t="str">
        <f aca="false">A227&amp;"|"&amp;B227&amp;"|"&amp;D227&amp;"|"&amp;E227&amp;F227</f>
        <v>auto|Tulsa|scenario B (age 21)|female</v>
      </c>
      <c r="J227" s="34" t="n">
        <f aca="false" t="array" ref="J227:J227">MEDIAN(IF($I$4:$I$1803=I227,$H$4:$H$1803))</f>
        <v>3230</v>
      </c>
      <c r="K227" s="59" t="n">
        <f aca="false">H227/J227</f>
        <v>1.39133126934985</v>
      </c>
    </row>
    <row r="228" customFormat="false" ht="15" hidden="false" customHeight="false" outlineLevel="0" collapsed="false">
      <c r="A228" s="39" t="s">
        <v>879</v>
      </c>
      <c r="B228" s="39" t="s">
        <v>908</v>
      </c>
      <c r="C228" s="39" t="s">
        <v>890</v>
      </c>
      <c r="D228" s="39" t="s">
        <v>886</v>
      </c>
      <c r="E228" s="39" t="s">
        <v>883</v>
      </c>
      <c r="F228" s="39"/>
      <c r="G228" s="58" t="n">
        <v>1171</v>
      </c>
      <c r="H228" s="34" t="n">
        <f aca="false">G228*2</f>
        <v>2342</v>
      </c>
      <c r="I228" s="39" t="str">
        <f aca="false">A228&amp;"|"&amp;B228&amp;"|"&amp;D228&amp;"|"&amp;E228&amp;F228</f>
        <v>auto|Tulsa|scenario C (age 36)|male</v>
      </c>
      <c r="J228" s="34" t="n">
        <f aca="false" t="array" ref="J228:J228">MEDIAN(IF($I$4:$I$1803=I228,$H$4:$H$1803))</f>
        <v>2040</v>
      </c>
      <c r="K228" s="59" t="n">
        <f aca="false">H228/J228</f>
        <v>1.14803921568627</v>
      </c>
    </row>
    <row r="229" customFormat="false" ht="15" hidden="false" customHeight="false" outlineLevel="0" collapsed="false">
      <c r="A229" s="39" t="s">
        <v>879</v>
      </c>
      <c r="B229" s="39" t="s">
        <v>908</v>
      </c>
      <c r="C229" s="39" t="s">
        <v>890</v>
      </c>
      <c r="D229" s="39" t="s">
        <v>886</v>
      </c>
      <c r="E229" s="39" t="s">
        <v>884</v>
      </c>
      <c r="F229" s="39"/>
      <c r="G229" s="58" t="n">
        <v>1197</v>
      </c>
      <c r="H229" s="34" t="n">
        <f aca="false">G229*2</f>
        <v>2394</v>
      </c>
      <c r="I229" s="39" t="str">
        <f aca="false">A229&amp;"|"&amp;B229&amp;"|"&amp;D229&amp;"|"&amp;E229&amp;F229</f>
        <v>auto|Tulsa|scenario C (age 36)|female</v>
      </c>
      <c r="J229" s="34" t="n">
        <f aca="false" t="array" ref="J229:J229">MEDIAN(IF($I$4:$I$1803=I229,$H$4:$H$1803))</f>
        <v>1976</v>
      </c>
      <c r="K229" s="59" t="n">
        <f aca="false">H229/J229</f>
        <v>1.21153846153846</v>
      </c>
    </row>
    <row r="230" customFormat="false" ht="15" hidden="false" customHeight="false" outlineLevel="0" collapsed="false">
      <c r="A230" s="39" t="s">
        <v>879</v>
      </c>
      <c r="B230" s="39" t="s">
        <v>908</v>
      </c>
      <c r="C230" s="39" t="s">
        <v>890</v>
      </c>
      <c r="D230" s="39" t="s">
        <v>887</v>
      </c>
      <c r="E230" s="39" t="s">
        <v>883</v>
      </c>
      <c r="F230" s="39"/>
      <c r="G230" s="58" t="n">
        <v>937</v>
      </c>
      <c r="H230" s="34" t="n">
        <f aca="false">G230*2</f>
        <v>1874</v>
      </c>
      <c r="I230" s="39" t="str">
        <f aca="false">A230&amp;"|"&amp;B230&amp;"|"&amp;D230&amp;"|"&amp;E230&amp;F230</f>
        <v>auto|Tulsa|scenario D (age 55)|male</v>
      </c>
      <c r="J230" s="34" t="n">
        <f aca="false" t="array" ref="J230:J230">MEDIAN(IF($I$4:$I$1803=I230,$H$4:$H$1803))</f>
        <v>1765</v>
      </c>
      <c r="K230" s="59" t="n">
        <f aca="false">H230/J230</f>
        <v>1.06175637393768</v>
      </c>
    </row>
    <row r="231" customFormat="false" ht="15" hidden="false" customHeight="false" outlineLevel="0" collapsed="false">
      <c r="A231" s="39" t="s">
        <v>879</v>
      </c>
      <c r="B231" s="39" t="s">
        <v>908</v>
      </c>
      <c r="C231" s="39" t="s">
        <v>890</v>
      </c>
      <c r="D231" s="39" t="s">
        <v>887</v>
      </c>
      <c r="E231" s="39" t="s">
        <v>884</v>
      </c>
      <c r="F231" s="39"/>
      <c r="G231" s="58" t="n">
        <v>970</v>
      </c>
      <c r="H231" s="34" t="n">
        <f aca="false">G231*2</f>
        <v>1940</v>
      </c>
      <c r="I231" s="39" t="str">
        <f aca="false">A231&amp;"|"&amp;B231&amp;"|"&amp;D231&amp;"|"&amp;E231&amp;F231</f>
        <v>auto|Tulsa|scenario D (age 55)|female</v>
      </c>
      <c r="J231" s="34" t="n">
        <f aca="false" t="array" ref="J231:J231">MEDIAN(IF($I$4:$I$1803=I231,$H$4:$H$1803))</f>
        <v>1781</v>
      </c>
      <c r="K231" s="59" t="n">
        <f aca="false">H231/J231</f>
        <v>1.08927568781583</v>
      </c>
    </row>
    <row r="232" customFormat="false" ht="15" hidden="false" customHeight="false" outlineLevel="0" collapsed="false">
      <c r="A232" s="39" t="s">
        <v>879</v>
      </c>
      <c r="B232" s="39" t="s">
        <v>908</v>
      </c>
      <c r="C232" s="39" t="s">
        <v>890</v>
      </c>
      <c r="D232" s="39" t="s">
        <v>888</v>
      </c>
      <c r="E232" s="39" t="s">
        <v>883</v>
      </c>
      <c r="F232" s="39"/>
      <c r="G232" s="58" t="n">
        <v>1039</v>
      </c>
      <c r="H232" s="34" t="n">
        <f aca="false">G232*2</f>
        <v>2078</v>
      </c>
      <c r="I232" s="39" t="str">
        <f aca="false">A232&amp;"|"&amp;B232&amp;"|"&amp;D232&amp;"|"&amp;E232&amp;F232</f>
        <v>auto|Tulsa|scenario E (age 70)|male</v>
      </c>
      <c r="J232" s="34" t="n">
        <f aca="false" t="array" ref="J232:J232">MEDIAN(IF($I$4:$I$1803=I232,$H$4:$H$1803))</f>
        <v>1676</v>
      </c>
      <c r="K232" s="59" t="n">
        <f aca="false">H232/J232</f>
        <v>1.23985680190931</v>
      </c>
    </row>
    <row r="233" customFormat="false" ht="15" hidden="false" customHeight="false" outlineLevel="0" collapsed="false">
      <c r="A233" s="39" t="s">
        <v>879</v>
      </c>
      <c r="B233" s="39" t="s">
        <v>908</v>
      </c>
      <c r="C233" s="39" t="s">
        <v>890</v>
      </c>
      <c r="D233" s="39" t="s">
        <v>888</v>
      </c>
      <c r="E233" s="39" t="s">
        <v>884</v>
      </c>
      <c r="F233" s="39"/>
      <c r="G233" s="58" t="n">
        <v>1059</v>
      </c>
      <c r="H233" s="34" t="n">
        <f aca="false">G233*2</f>
        <v>2118</v>
      </c>
      <c r="I233" s="39" t="str">
        <f aca="false">A233&amp;"|"&amp;B233&amp;"|"&amp;D233&amp;"|"&amp;E233&amp;F233</f>
        <v>auto|Tulsa|scenario E (age 70)|female</v>
      </c>
      <c r="J233" s="34" t="n">
        <f aca="false" t="array" ref="J233:J233">MEDIAN(IF($I$4:$I$1803=I233,$H$4:$H$1803))</f>
        <v>1677</v>
      </c>
      <c r="K233" s="59" t="n">
        <f aca="false">H233/J233</f>
        <v>1.26296958855098</v>
      </c>
    </row>
    <row r="234" customFormat="false" ht="15" hidden="false" customHeight="false" outlineLevel="0" collapsed="false">
      <c r="A234" s="39" t="s">
        <v>879</v>
      </c>
      <c r="B234" s="39" t="s">
        <v>908</v>
      </c>
      <c r="C234" s="39" t="s">
        <v>891</v>
      </c>
      <c r="D234" s="39" t="s">
        <v>882</v>
      </c>
      <c r="E234" s="39" t="s">
        <v>883</v>
      </c>
      <c r="F234" s="39"/>
      <c r="G234" s="58" t="n">
        <v>5999</v>
      </c>
      <c r="H234" s="34" t="n">
        <f aca="false">G234*2</f>
        <v>11998</v>
      </c>
      <c r="I234" s="39" t="str">
        <f aca="false">A234&amp;"|"&amp;B234&amp;"|"&amp;D234&amp;"|"&amp;E234&amp;F234</f>
        <v>auto|Tulsa|scenario A (age 16)|male</v>
      </c>
      <c r="J234" s="34" t="n">
        <f aca="false" t="array" ref="J234:J234">MEDIAN(IF($I$4:$I$1803=I234,$H$4:$H$1803))</f>
        <v>8754</v>
      </c>
      <c r="K234" s="59" t="n">
        <f aca="false">H234/J234</f>
        <v>1.37057345213617</v>
      </c>
    </row>
    <row r="235" customFormat="false" ht="15" hidden="false" customHeight="false" outlineLevel="0" collapsed="false">
      <c r="A235" s="39" t="s">
        <v>879</v>
      </c>
      <c r="B235" s="39" t="s">
        <v>908</v>
      </c>
      <c r="C235" s="39" t="s">
        <v>891</v>
      </c>
      <c r="D235" s="39" t="s">
        <v>882</v>
      </c>
      <c r="E235" s="39" t="s">
        <v>884</v>
      </c>
      <c r="F235" s="39"/>
      <c r="G235" s="58" t="n">
        <v>6130</v>
      </c>
      <c r="H235" s="34" t="n">
        <f aca="false">G235*2</f>
        <v>12260</v>
      </c>
      <c r="I235" s="39" t="str">
        <f aca="false">A235&amp;"|"&amp;B235&amp;"|"&amp;D235&amp;"|"&amp;E235&amp;F235</f>
        <v>auto|Tulsa|scenario A (age 16)|female</v>
      </c>
      <c r="J235" s="34" t="n">
        <f aca="false" t="array" ref="J235:J235">MEDIAN(IF($I$4:$I$1803=I235,$H$4:$H$1803))</f>
        <v>7301</v>
      </c>
      <c r="K235" s="59" t="n">
        <f aca="false">H235/J235</f>
        <v>1.67922202438022</v>
      </c>
    </row>
    <row r="236" customFormat="false" ht="15" hidden="false" customHeight="false" outlineLevel="0" collapsed="false">
      <c r="A236" s="39" t="s">
        <v>879</v>
      </c>
      <c r="B236" s="39" t="s">
        <v>908</v>
      </c>
      <c r="C236" s="39" t="s">
        <v>891</v>
      </c>
      <c r="D236" s="39" t="s">
        <v>885</v>
      </c>
      <c r="E236" s="39" t="s">
        <v>883</v>
      </c>
      <c r="F236" s="39"/>
      <c r="G236" s="58" t="n">
        <v>1827</v>
      </c>
      <c r="H236" s="34" t="n">
        <f aca="false">G236*2</f>
        <v>3654</v>
      </c>
      <c r="I236" s="39" t="str">
        <f aca="false">A236&amp;"|"&amp;B236&amp;"|"&amp;D236&amp;"|"&amp;E236&amp;F236</f>
        <v>auto|Tulsa|scenario B (age 21)|male</v>
      </c>
      <c r="J236" s="34" t="n">
        <f aca="false" t="array" ref="J236:J236">MEDIAN(IF($I$4:$I$1803=I236,$H$4:$H$1803))</f>
        <v>3712</v>
      </c>
      <c r="K236" s="59" t="n">
        <f aca="false">H236/J236</f>
        <v>0.984375</v>
      </c>
    </row>
    <row r="237" customFormat="false" ht="15" hidden="false" customHeight="false" outlineLevel="0" collapsed="false">
      <c r="A237" s="39" t="s">
        <v>879</v>
      </c>
      <c r="B237" s="39" t="s">
        <v>908</v>
      </c>
      <c r="C237" s="39" t="s">
        <v>891</v>
      </c>
      <c r="D237" s="39" t="s">
        <v>885</v>
      </c>
      <c r="E237" s="39" t="s">
        <v>884</v>
      </c>
      <c r="F237" s="39"/>
      <c r="G237" s="58" t="n">
        <v>1839</v>
      </c>
      <c r="H237" s="34" t="n">
        <f aca="false">G237*2</f>
        <v>3678</v>
      </c>
      <c r="I237" s="39" t="str">
        <f aca="false">A237&amp;"|"&amp;B237&amp;"|"&amp;D237&amp;"|"&amp;E237&amp;F237</f>
        <v>auto|Tulsa|scenario B (age 21)|female</v>
      </c>
      <c r="J237" s="34" t="n">
        <f aca="false" t="array" ref="J237:J237">MEDIAN(IF($I$4:$I$1803=I237,$H$4:$H$1803))</f>
        <v>3230</v>
      </c>
      <c r="K237" s="59" t="n">
        <f aca="false">H237/J237</f>
        <v>1.13869969040248</v>
      </c>
    </row>
    <row r="238" customFormat="false" ht="15" hidden="false" customHeight="false" outlineLevel="0" collapsed="false">
      <c r="A238" s="39" t="s">
        <v>879</v>
      </c>
      <c r="B238" s="39" t="s">
        <v>908</v>
      </c>
      <c r="C238" s="39" t="s">
        <v>891</v>
      </c>
      <c r="D238" s="39" t="s">
        <v>886</v>
      </c>
      <c r="E238" s="39" t="s">
        <v>883</v>
      </c>
      <c r="F238" s="39"/>
      <c r="G238" s="58" t="n">
        <v>1218</v>
      </c>
      <c r="H238" s="34" t="n">
        <f aca="false">G238*2</f>
        <v>2436</v>
      </c>
      <c r="I238" s="39" t="str">
        <f aca="false">A238&amp;"|"&amp;B238&amp;"|"&amp;D238&amp;"|"&amp;E238&amp;F238</f>
        <v>auto|Tulsa|scenario C (age 36)|male</v>
      </c>
      <c r="J238" s="34" t="n">
        <f aca="false" t="array" ref="J238:J238">MEDIAN(IF($I$4:$I$1803=I238,$H$4:$H$1803))</f>
        <v>2040</v>
      </c>
      <c r="K238" s="59" t="n">
        <f aca="false">H238/J238</f>
        <v>1.19411764705882</v>
      </c>
    </row>
    <row r="239" customFormat="false" ht="15" hidden="false" customHeight="false" outlineLevel="0" collapsed="false">
      <c r="A239" s="39" t="s">
        <v>879</v>
      </c>
      <c r="B239" s="39" t="s">
        <v>908</v>
      </c>
      <c r="C239" s="39" t="s">
        <v>891</v>
      </c>
      <c r="D239" s="39" t="s">
        <v>886</v>
      </c>
      <c r="E239" s="39" t="s">
        <v>884</v>
      </c>
      <c r="F239" s="39"/>
      <c r="G239" s="58" t="n">
        <v>1114</v>
      </c>
      <c r="H239" s="34" t="n">
        <f aca="false">G239*2</f>
        <v>2228</v>
      </c>
      <c r="I239" s="39" t="str">
        <f aca="false">A239&amp;"|"&amp;B239&amp;"|"&amp;D239&amp;"|"&amp;E239&amp;F239</f>
        <v>auto|Tulsa|scenario C (age 36)|female</v>
      </c>
      <c r="J239" s="34" t="n">
        <f aca="false" t="array" ref="J239:J239">MEDIAN(IF($I$4:$I$1803=I239,$H$4:$H$1803))</f>
        <v>1976</v>
      </c>
      <c r="K239" s="59" t="n">
        <f aca="false">H239/J239</f>
        <v>1.12753036437247</v>
      </c>
    </row>
    <row r="240" customFormat="false" ht="15" hidden="false" customHeight="false" outlineLevel="0" collapsed="false">
      <c r="A240" s="39" t="s">
        <v>879</v>
      </c>
      <c r="B240" s="39" t="s">
        <v>908</v>
      </c>
      <c r="C240" s="39" t="s">
        <v>891</v>
      </c>
      <c r="D240" s="39" t="s">
        <v>887</v>
      </c>
      <c r="E240" s="39" t="s">
        <v>883</v>
      </c>
      <c r="F240" s="39"/>
      <c r="G240" s="58" t="n">
        <v>1087</v>
      </c>
      <c r="H240" s="34" t="n">
        <f aca="false">G240*2</f>
        <v>2174</v>
      </c>
      <c r="I240" s="39" t="str">
        <f aca="false">A240&amp;"|"&amp;B240&amp;"|"&amp;D240&amp;"|"&amp;E240&amp;F240</f>
        <v>auto|Tulsa|scenario D (age 55)|male</v>
      </c>
      <c r="J240" s="34" t="n">
        <f aca="false" t="array" ref="J240:J240">MEDIAN(IF($I$4:$I$1803=I240,$H$4:$H$1803))</f>
        <v>1765</v>
      </c>
      <c r="K240" s="59" t="n">
        <f aca="false">H240/J240</f>
        <v>1.23172804532578</v>
      </c>
    </row>
    <row r="241" customFormat="false" ht="15" hidden="false" customHeight="false" outlineLevel="0" collapsed="false">
      <c r="A241" s="39" t="s">
        <v>879</v>
      </c>
      <c r="B241" s="39" t="s">
        <v>908</v>
      </c>
      <c r="C241" s="39" t="s">
        <v>891</v>
      </c>
      <c r="D241" s="39" t="s">
        <v>887</v>
      </c>
      <c r="E241" s="39" t="s">
        <v>884</v>
      </c>
      <c r="F241" s="39"/>
      <c r="G241" s="58" t="n">
        <v>959</v>
      </c>
      <c r="H241" s="34" t="n">
        <f aca="false">G241*2</f>
        <v>1918</v>
      </c>
      <c r="I241" s="39" t="str">
        <f aca="false">A241&amp;"|"&amp;B241&amp;"|"&amp;D241&amp;"|"&amp;E241&amp;F241</f>
        <v>auto|Tulsa|scenario D (age 55)|female</v>
      </c>
      <c r="J241" s="34" t="n">
        <f aca="false" t="array" ref="J241:J241">MEDIAN(IF($I$4:$I$1803=I241,$H$4:$H$1803))</f>
        <v>1781</v>
      </c>
      <c r="K241" s="59" t="n">
        <f aca="false">H241/J241</f>
        <v>1.07692307692308</v>
      </c>
    </row>
    <row r="242" customFormat="false" ht="15" hidden="false" customHeight="false" outlineLevel="0" collapsed="false">
      <c r="A242" s="39" t="s">
        <v>879</v>
      </c>
      <c r="B242" s="39" t="s">
        <v>908</v>
      </c>
      <c r="C242" s="39" t="s">
        <v>891</v>
      </c>
      <c r="D242" s="39" t="s">
        <v>888</v>
      </c>
      <c r="E242" s="39" t="s">
        <v>883</v>
      </c>
      <c r="F242" s="39"/>
      <c r="G242" s="58" t="n">
        <v>1190</v>
      </c>
      <c r="H242" s="34" t="n">
        <f aca="false">G242*2</f>
        <v>2380</v>
      </c>
      <c r="I242" s="39" t="str">
        <f aca="false">A242&amp;"|"&amp;B242&amp;"|"&amp;D242&amp;"|"&amp;E242&amp;F242</f>
        <v>auto|Tulsa|scenario E (age 70)|male</v>
      </c>
      <c r="J242" s="34" t="n">
        <f aca="false" t="array" ref="J242:J242">MEDIAN(IF($I$4:$I$1803=I242,$H$4:$H$1803))</f>
        <v>1676</v>
      </c>
      <c r="K242" s="59" t="n">
        <f aca="false">H242/J242</f>
        <v>1.4200477326969</v>
      </c>
    </row>
    <row r="243" customFormat="false" ht="15" hidden="false" customHeight="false" outlineLevel="0" collapsed="false">
      <c r="A243" s="39" t="s">
        <v>879</v>
      </c>
      <c r="B243" s="39" t="s">
        <v>908</v>
      </c>
      <c r="C243" s="39" t="s">
        <v>891</v>
      </c>
      <c r="D243" s="39" t="s">
        <v>888</v>
      </c>
      <c r="E243" s="39" t="s">
        <v>884</v>
      </c>
      <c r="F243" s="39"/>
      <c r="G243" s="58" t="n">
        <v>968</v>
      </c>
      <c r="H243" s="34" t="n">
        <f aca="false">G243*2</f>
        <v>1936</v>
      </c>
      <c r="I243" s="39" t="str">
        <f aca="false">A243&amp;"|"&amp;B243&amp;"|"&amp;D243&amp;"|"&amp;E243&amp;F243</f>
        <v>auto|Tulsa|scenario E (age 70)|female</v>
      </c>
      <c r="J243" s="34" t="n">
        <f aca="false" t="array" ref="J243:J243">MEDIAN(IF($I$4:$I$1803=I243,$H$4:$H$1803))</f>
        <v>1677</v>
      </c>
      <c r="K243" s="59" t="n">
        <f aca="false">H243/J243</f>
        <v>1.15444245676804</v>
      </c>
    </row>
    <row r="244" customFormat="false" ht="15" hidden="false" customHeight="false" outlineLevel="0" collapsed="false">
      <c r="A244" s="39" t="s">
        <v>879</v>
      </c>
      <c r="B244" s="39" t="s">
        <v>908</v>
      </c>
      <c r="C244" s="39" t="s">
        <v>892</v>
      </c>
      <c r="D244" s="39" t="s">
        <v>882</v>
      </c>
      <c r="E244" s="39" t="s">
        <v>883</v>
      </c>
      <c r="F244" s="39"/>
      <c r="G244" s="58" t="n">
        <v>5743</v>
      </c>
      <c r="H244" s="34" t="n">
        <f aca="false">G244*2</f>
        <v>11486</v>
      </c>
      <c r="I244" s="39" t="str">
        <f aca="false">A244&amp;"|"&amp;B244&amp;"|"&amp;D244&amp;"|"&amp;E244&amp;F244</f>
        <v>auto|Tulsa|scenario A (age 16)|male</v>
      </c>
      <c r="J244" s="34" t="n">
        <f aca="false" t="array" ref="J244:J244">MEDIAN(IF($I$4:$I$1803=I244,$H$4:$H$1803))</f>
        <v>8754</v>
      </c>
      <c r="K244" s="59" t="n">
        <f aca="false">H244/J244</f>
        <v>1.31208590358693</v>
      </c>
    </row>
    <row r="245" customFormat="false" ht="15" hidden="false" customHeight="false" outlineLevel="0" collapsed="false">
      <c r="A245" s="39" t="s">
        <v>879</v>
      </c>
      <c r="B245" s="39" t="s">
        <v>908</v>
      </c>
      <c r="C245" s="39" t="s">
        <v>892</v>
      </c>
      <c r="D245" s="39" t="s">
        <v>882</v>
      </c>
      <c r="E245" s="39" t="s">
        <v>884</v>
      </c>
      <c r="F245" s="39"/>
      <c r="G245" s="58" t="n">
        <v>4147</v>
      </c>
      <c r="H245" s="34" t="n">
        <f aca="false">G245*2</f>
        <v>8294</v>
      </c>
      <c r="I245" s="39" t="str">
        <f aca="false">A245&amp;"|"&amp;B245&amp;"|"&amp;D245&amp;"|"&amp;E245&amp;F245</f>
        <v>auto|Tulsa|scenario A (age 16)|female</v>
      </c>
      <c r="J245" s="34" t="n">
        <f aca="false" t="array" ref="J245:J245">MEDIAN(IF($I$4:$I$1803=I245,$H$4:$H$1803))</f>
        <v>7301</v>
      </c>
      <c r="K245" s="59" t="n">
        <f aca="false">H245/J245</f>
        <v>1.13600876592248</v>
      </c>
    </row>
    <row r="246" customFormat="false" ht="15" hidden="false" customHeight="false" outlineLevel="0" collapsed="false">
      <c r="A246" s="39" t="s">
        <v>879</v>
      </c>
      <c r="B246" s="39" t="s">
        <v>908</v>
      </c>
      <c r="C246" s="39" t="s">
        <v>892</v>
      </c>
      <c r="D246" s="39" t="s">
        <v>885</v>
      </c>
      <c r="E246" s="39" t="s">
        <v>883</v>
      </c>
      <c r="F246" s="39"/>
      <c r="G246" s="58" t="n">
        <v>2978</v>
      </c>
      <c r="H246" s="34" t="n">
        <f aca="false">G246*2</f>
        <v>5956</v>
      </c>
      <c r="I246" s="39" t="str">
        <f aca="false">A246&amp;"|"&amp;B246&amp;"|"&amp;D246&amp;"|"&amp;E246&amp;F246</f>
        <v>auto|Tulsa|scenario B (age 21)|male</v>
      </c>
      <c r="J246" s="34" t="n">
        <f aca="false" t="array" ref="J246:J246">MEDIAN(IF($I$4:$I$1803=I246,$H$4:$H$1803))</f>
        <v>3712</v>
      </c>
      <c r="K246" s="59" t="n">
        <f aca="false">H246/J246</f>
        <v>1.60452586206897</v>
      </c>
    </row>
    <row r="247" customFormat="false" ht="15" hidden="false" customHeight="false" outlineLevel="0" collapsed="false">
      <c r="A247" s="39" t="s">
        <v>879</v>
      </c>
      <c r="B247" s="39" t="s">
        <v>908</v>
      </c>
      <c r="C247" s="39" t="s">
        <v>892</v>
      </c>
      <c r="D247" s="39" t="s">
        <v>885</v>
      </c>
      <c r="E247" s="39" t="s">
        <v>884</v>
      </c>
      <c r="F247" s="39"/>
      <c r="G247" s="58" t="n">
        <v>2736</v>
      </c>
      <c r="H247" s="34" t="n">
        <f aca="false">G247*2</f>
        <v>5472</v>
      </c>
      <c r="I247" s="39" t="str">
        <f aca="false">A247&amp;"|"&amp;B247&amp;"|"&amp;D247&amp;"|"&amp;E247&amp;F247</f>
        <v>auto|Tulsa|scenario B (age 21)|female</v>
      </c>
      <c r="J247" s="34" t="n">
        <f aca="false" t="array" ref="J247:J247">MEDIAN(IF($I$4:$I$1803=I247,$H$4:$H$1803))</f>
        <v>3230</v>
      </c>
      <c r="K247" s="59" t="n">
        <f aca="false">H247/J247</f>
        <v>1.69411764705882</v>
      </c>
    </row>
    <row r="248" customFormat="false" ht="15" hidden="false" customHeight="false" outlineLevel="0" collapsed="false">
      <c r="A248" s="39" t="s">
        <v>879</v>
      </c>
      <c r="B248" s="39" t="s">
        <v>908</v>
      </c>
      <c r="C248" s="39" t="s">
        <v>892</v>
      </c>
      <c r="D248" s="39" t="s">
        <v>886</v>
      </c>
      <c r="E248" s="39" t="s">
        <v>883</v>
      </c>
      <c r="F248" s="39"/>
      <c r="G248" s="58" t="n">
        <v>1658</v>
      </c>
      <c r="H248" s="34" t="n">
        <f aca="false">G248*2</f>
        <v>3316</v>
      </c>
      <c r="I248" s="39" t="str">
        <f aca="false">A248&amp;"|"&amp;B248&amp;"|"&amp;D248&amp;"|"&amp;E248&amp;F248</f>
        <v>auto|Tulsa|scenario C (age 36)|male</v>
      </c>
      <c r="J248" s="34" t="n">
        <f aca="false" t="array" ref="J248:J248">MEDIAN(IF($I$4:$I$1803=I248,$H$4:$H$1803))</f>
        <v>2040</v>
      </c>
      <c r="K248" s="59" t="n">
        <f aca="false">H248/J248</f>
        <v>1.62549019607843</v>
      </c>
    </row>
    <row r="249" customFormat="false" ht="15" hidden="false" customHeight="false" outlineLevel="0" collapsed="false">
      <c r="A249" s="39" t="s">
        <v>879</v>
      </c>
      <c r="B249" s="39" t="s">
        <v>908</v>
      </c>
      <c r="C249" s="39" t="s">
        <v>892</v>
      </c>
      <c r="D249" s="39" t="s">
        <v>886</v>
      </c>
      <c r="E249" s="39" t="s">
        <v>884</v>
      </c>
      <c r="F249" s="39"/>
      <c r="G249" s="58" t="n">
        <v>1605</v>
      </c>
      <c r="H249" s="34" t="n">
        <f aca="false">G249*2</f>
        <v>3210</v>
      </c>
      <c r="I249" s="39" t="str">
        <f aca="false">A249&amp;"|"&amp;B249&amp;"|"&amp;D249&amp;"|"&amp;E249&amp;F249</f>
        <v>auto|Tulsa|scenario C (age 36)|female</v>
      </c>
      <c r="J249" s="34" t="n">
        <f aca="false" t="array" ref="J249:J249">MEDIAN(IF($I$4:$I$1803=I249,$H$4:$H$1803))</f>
        <v>1976</v>
      </c>
      <c r="K249" s="59" t="n">
        <f aca="false">H249/J249</f>
        <v>1.62449392712551</v>
      </c>
    </row>
    <row r="250" customFormat="false" ht="15" hidden="false" customHeight="false" outlineLevel="0" collapsed="false">
      <c r="A250" s="39" t="s">
        <v>879</v>
      </c>
      <c r="B250" s="39" t="s">
        <v>908</v>
      </c>
      <c r="C250" s="39" t="s">
        <v>892</v>
      </c>
      <c r="D250" s="39" t="s">
        <v>887</v>
      </c>
      <c r="E250" s="39" t="s">
        <v>883</v>
      </c>
      <c r="F250" s="39"/>
      <c r="G250" s="58" t="n">
        <v>1545</v>
      </c>
      <c r="H250" s="34" t="n">
        <f aca="false">G250*2</f>
        <v>3090</v>
      </c>
      <c r="I250" s="39" t="str">
        <f aca="false">A250&amp;"|"&amp;B250&amp;"|"&amp;D250&amp;"|"&amp;E250&amp;F250</f>
        <v>auto|Tulsa|scenario D (age 55)|male</v>
      </c>
      <c r="J250" s="34" t="n">
        <f aca="false" t="array" ref="J250:J250">MEDIAN(IF($I$4:$I$1803=I250,$H$4:$H$1803))</f>
        <v>1765</v>
      </c>
      <c r="K250" s="59" t="n">
        <f aca="false">H250/J250</f>
        <v>1.75070821529745</v>
      </c>
    </row>
    <row r="251" customFormat="false" ht="15" hidden="false" customHeight="false" outlineLevel="0" collapsed="false">
      <c r="A251" s="39" t="s">
        <v>879</v>
      </c>
      <c r="B251" s="39" t="s">
        <v>908</v>
      </c>
      <c r="C251" s="39" t="s">
        <v>892</v>
      </c>
      <c r="D251" s="39" t="s">
        <v>887</v>
      </c>
      <c r="E251" s="39" t="s">
        <v>884</v>
      </c>
      <c r="F251" s="39"/>
      <c r="G251" s="58" t="n">
        <v>1606</v>
      </c>
      <c r="H251" s="34" t="n">
        <f aca="false">G251*2</f>
        <v>3212</v>
      </c>
      <c r="I251" s="39" t="str">
        <f aca="false">A251&amp;"|"&amp;B251&amp;"|"&amp;D251&amp;"|"&amp;E251&amp;F251</f>
        <v>auto|Tulsa|scenario D (age 55)|female</v>
      </c>
      <c r="J251" s="34" t="n">
        <f aca="false" t="array" ref="J251:J251">MEDIAN(IF($I$4:$I$1803=I251,$H$4:$H$1803))</f>
        <v>1781</v>
      </c>
      <c r="K251" s="59" t="n">
        <f aca="false">H251/J251</f>
        <v>1.8034811903425</v>
      </c>
    </row>
    <row r="252" customFormat="false" ht="15" hidden="false" customHeight="false" outlineLevel="0" collapsed="false">
      <c r="A252" s="39" t="s">
        <v>879</v>
      </c>
      <c r="B252" s="39" t="s">
        <v>908</v>
      </c>
      <c r="C252" s="39" t="s">
        <v>892</v>
      </c>
      <c r="D252" s="39" t="s">
        <v>888</v>
      </c>
      <c r="E252" s="39" t="s">
        <v>883</v>
      </c>
      <c r="F252" s="39"/>
      <c r="G252" s="58" t="n">
        <v>1968</v>
      </c>
      <c r="H252" s="34" t="n">
        <f aca="false">G252*2</f>
        <v>3936</v>
      </c>
      <c r="I252" s="39" t="str">
        <f aca="false">A252&amp;"|"&amp;B252&amp;"|"&amp;D252&amp;"|"&amp;E252&amp;F252</f>
        <v>auto|Tulsa|scenario E (age 70)|male</v>
      </c>
      <c r="J252" s="34" t="n">
        <f aca="false" t="array" ref="J252:J252">MEDIAN(IF($I$4:$I$1803=I252,$H$4:$H$1803))</f>
        <v>1676</v>
      </c>
      <c r="K252" s="59" t="n">
        <f aca="false">H252/J252</f>
        <v>2.34844868735084</v>
      </c>
    </row>
    <row r="253" customFormat="false" ht="15" hidden="false" customHeight="false" outlineLevel="0" collapsed="false">
      <c r="A253" s="39" t="s">
        <v>879</v>
      </c>
      <c r="B253" s="39" t="s">
        <v>908</v>
      </c>
      <c r="C253" s="39" t="s">
        <v>892</v>
      </c>
      <c r="D253" s="39" t="s">
        <v>888</v>
      </c>
      <c r="E253" s="39" t="s">
        <v>884</v>
      </c>
      <c r="F253" s="39"/>
      <c r="G253" s="58" t="n">
        <v>1906</v>
      </c>
      <c r="H253" s="34" t="n">
        <f aca="false">G253*2</f>
        <v>3812</v>
      </c>
      <c r="I253" s="39" t="str">
        <f aca="false">A253&amp;"|"&amp;B253&amp;"|"&amp;D253&amp;"|"&amp;E253&amp;F253</f>
        <v>auto|Tulsa|scenario E (age 70)|female</v>
      </c>
      <c r="J253" s="34" t="n">
        <f aca="false" t="array" ref="J253:J253">MEDIAN(IF($I$4:$I$1803=I253,$H$4:$H$1803))</f>
        <v>1677</v>
      </c>
      <c r="K253" s="59" t="n">
        <f aca="false">H253/J253</f>
        <v>2.27310673822302</v>
      </c>
    </row>
    <row r="254" customFormat="false" ht="15" hidden="false" customHeight="false" outlineLevel="0" collapsed="false">
      <c r="A254" s="39" t="s">
        <v>879</v>
      </c>
      <c r="B254" s="39" t="s">
        <v>908</v>
      </c>
      <c r="C254" s="39" t="s">
        <v>893</v>
      </c>
      <c r="D254" s="39" t="s">
        <v>882</v>
      </c>
      <c r="E254" s="39" t="s">
        <v>883</v>
      </c>
      <c r="F254" s="39"/>
      <c r="G254" s="58" t="n">
        <v>4523</v>
      </c>
      <c r="H254" s="34" t="n">
        <f aca="false">G254*2</f>
        <v>9046</v>
      </c>
      <c r="I254" s="39" t="str">
        <f aca="false">A254&amp;"|"&amp;B254&amp;"|"&amp;D254&amp;"|"&amp;E254&amp;F254</f>
        <v>auto|Tulsa|scenario A (age 16)|male</v>
      </c>
      <c r="J254" s="34" t="n">
        <f aca="false" t="array" ref="J254:J254">MEDIAN(IF($I$4:$I$1803=I254,$H$4:$H$1803))</f>
        <v>8754</v>
      </c>
      <c r="K254" s="59" t="n">
        <f aca="false">H254/J254</f>
        <v>1.03335618003199</v>
      </c>
    </row>
    <row r="255" customFormat="false" ht="15" hidden="false" customHeight="false" outlineLevel="0" collapsed="false">
      <c r="A255" s="39" t="s">
        <v>879</v>
      </c>
      <c r="B255" s="39" t="s">
        <v>908</v>
      </c>
      <c r="C255" s="39" t="s">
        <v>893</v>
      </c>
      <c r="D255" s="39" t="s">
        <v>882</v>
      </c>
      <c r="E255" s="39" t="s">
        <v>884</v>
      </c>
      <c r="F255" s="39"/>
      <c r="G255" s="58" t="n">
        <v>3460</v>
      </c>
      <c r="H255" s="34" t="n">
        <f aca="false">G255*2</f>
        <v>6920</v>
      </c>
      <c r="I255" s="39" t="str">
        <f aca="false">A255&amp;"|"&amp;B255&amp;"|"&amp;D255&amp;"|"&amp;E255&amp;F255</f>
        <v>auto|Tulsa|scenario A (age 16)|female</v>
      </c>
      <c r="J255" s="34" t="n">
        <f aca="false" t="array" ref="J255:J255">MEDIAN(IF($I$4:$I$1803=I255,$H$4:$H$1803))</f>
        <v>7301</v>
      </c>
      <c r="K255" s="59" t="n">
        <f aca="false">H255/J255</f>
        <v>0.947815367757841</v>
      </c>
    </row>
    <row r="256" customFormat="false" ht="15" hidden="false" customHeight="false" outlineLevel="0" collapsed="false">
      <c r="A256" s="39" t="s">
        <v>879</v>
      </c>
      <c r="B256" s="39" t="s">
        <v>908</v>
      </c>
      <c r="C256" s="39" t="s">
        <v>893</v>
      </c>
      <c r="D256" s="39" t="s">
        <v>885</v>
      </c>
      <c r="E256" s="39" t="s">
        <v>883</v>
      </c>
      <c r="F256" s="39"/>
      <c r="G256" s="58" t="n">
        <v>1885</v>
      </c>
      <c r="H256" s="34" t="n">
        <f aca="false">G256*2</f>
        <v>3770</v>
      </c>
      <c r="I256" s="39" t="str">
        <f aca="false">A256&amp;"|"&amp;B256&amp;"|"&amp;D256&amp;"|"&amp;E256&amp;F256</f>
        <v>auto|Tulsa|scenario B (age 21)|male</v>
      </c>
      <c r="J256" s="34" t="n">
        <f aca="false" t="array" ref="J256:J256">MEDIAN(IF($I$4:$I$1803=I256,$H$4:$H$1803))</f>
        <v>3712</v>
      </c>
      <c r="K256" s="59" t="n">
        <f aca="false">H256/J256</f>
        <v>1.015625</v>
      </c>
    </row>
    <row r="257" customFormat="false" ht="15" hidden="false" customHeight="false" outlineLevel="0" collapsed="false">
      <c r="A257" s="39" t="s">
        <v>879</v>
      </c>
      <c r="B257" s="39" t="s">
        <v>908</v>
      </c>
      <c r="C257" s="39" t="s">
        <v>893</v>
      </c>
      <c r="D257" s="39" t="s">
        <v>885</v>
      </c>
      <c r="E257" s="39" t="s">
        <v>884</v>
      </c>
      <c r="F257" s="39"/>
      <c r="G257" s="58" t="n">
        <v>1583</v>
      </c>
      <c r="H257" s="34" t="n">
        <f aca="false">G257*2</f>
        <v>3166</v>
      </c>
      <c r="I257" s="39" t="str">
        <f aca="false">A257&amp;"|"&amp;B257&amp;"|"&amp;D257&amp;"|"&amp;E257&amp;F257</f>
        <v>auto|Tulsa|scenario B (age 21)|female</v>
      </c>
      <c r="J257" s="34" t="n">
        <f aca="false" t="array" ref="J257:J257">MEDIAN(IF($I$4:$I$1803=I257,$H$4:$H$1803))</f>
        <v>3230</v>
      </c>
      <c r="K257" s="59" t="n">
        <f aca="false">H257/J257</f>
        <v>0.980185758513932</v>
      </c>
    </row>
    <row r="258" customFormat="false" ht="15" hidden="false" customHeight="false" outlineLevel="0" collapsed="false">
      <c r="A258" s="39" t="s">
        <v>879</v>
      </c>
      <c r="B258" s="39" t="s">
        <v>908</v>
      </c>
      <c r="C258" s="39" t="s">
        <v>893</v>
      </c>
      <c r="D258" s="39" t="s">
        <v>886</v>
      </c>
      <c r="E258" s="39" t="s">
        <v>883</v>
      </c>
      <c r="F258" s="39"/>
      <c r="G258" s="58" t="n">
        <v>862</v>
      </c>
      <c r="H258" s="34" t="n">
        <f aca="false">G258*2</f>
        <v>1724</v>
      </c>
      <c r="I258" s="39" t="str">
        <f aca="false">A258&amp;"|"&amp;B258&amp;"|"&amp;D258&amp;"|"&amp;E258&amp;F258</f>
        <v>auto|Tulsa|scenario C (age 36)|male</v>
      </c>
      <c r="J258" s="34" t="n">
        <f aca="false" t="array" ref="J258:J258">MEDIAN(IF($I$4:$I$1803=I258,$H$4:$H$1803))</f>
        <v>2040</v>
      </c>
      <c r="K258" s="59" t="n">
        <f aca="false">H258/J258</f>
        <v>0.845098039215686</v>
      </c>
    </row>
    <row r="259" customFormat="false" ht="15" hidden="false" customHeight="false" outlineLevel="0" collapsed="false">
      <c r="A259" s="39" t="s">
        <v>879</v>
      </c>
      <c r="B259" s="39" t="s">
        <v>908</v>
      </c>
      <c r="C259" s="39" t="s">
        <v>893</v>
      </c>
      <c r="D259" s="39" t="s">
        <v>886</v>
      </c>
      <c r="E259" s="39" t="s">
        <v>884</v>
      </c>
      <c r="F259" s="39"/>
      <c r="G259" s="58" t="n">
        <v>952</v>
      </c>
      <c r="H259" s="34" t="n">
        <f aca="false">G259*2</f>
        <v>1904</v>
      </c>
      <c r="I259" s="39" t="str">
        <f aca="false">A259&amp;"|"&amp;B259&amp;"|"&amp;D259&amp;"|"&amp;E259&amp;F259</f>
        <v>auto|Tulsa|scenario C (age 36)|female</v>
      </c>
      <c r="J259" s="34" t="n">
        <f aca="false" t="array" ref="J259:J259">MEDIAN(IF($I$4:$I$1803=I259,$H$4:$H$1803))</f>
        <v>1976</v>
      </c>
      <c r="K259" s="59" t="n">
        <f aca="false">H259/J259</f>
        <v>0.963562753036437</v>
      </c>
    </row>
    <row r="260" customFormat="false" ht="15" hidden="false" customHeight="false" outlineLevel="0" collapsed="false">
      <c r="A260" s="39" t="s">
        <v>879</v>
      </c>
      <c r="B260" s="39" t="s">
        <v>908</v>
      </c>
      <c r="C260" s="39" t="s">
        <v>893</v>
      </c>
      <c r="D260" s="39" t="s">
        <v>887</v>
      </c>
      <c r="E260" s="39" t="s">
        <v>883</v>
      </c>
      <c r="F260" s="39"/>
      <c r="G260" s="58" t="n">
        <v>751</v>
      </c>
      <c r="H260" s="34" t="n">
        <f aca="false">G260*2</f>
        <v>1502</v>
      </c>
      <c r="I260" s="39" t="str">
        <f aca="false">A260&amp;"|"&amp;B260&amp;"|"&amp;D260&amp;"|"&amp;E260&amp;F260</f>
        <v>auto|Tulsa|scenario D (age 55)|male</v>
      </c>
      <c r="J260" s="34" t="n">
        <f aca="false" t="array" ref="J260:J260">MEDIAN(IF($I$4:$I$1803=I260,$H$4:$H$1803))</f>
        <v>1765</v>
      </c>
      <c r="K260" s="59" t="n">
        <f aca="false">H260/J260</f>
        <v>0.850991501416431</v>
      </c>
    </row>
    <row r="261" customFormat="false" ht="15" hidden="false" customHeight="false" outlineLevel="0" collapsed="false">
      <c r="A261" s="39" t="s">
        <v>879</v>
      </c>
      <c r="B261" s="39" t="s">
        <v>908</v>
      </c>
      <c r="C261" s="39" t="s">
        <v>893</v>
      </c>
      <c r="D261" s="39" t="s">
        <v>887</v>
      </c>
      <c r="E261" s="39" t="s">
        <v>884</v>
      </c>
      <c r="F261" s="39"/>
      <c r="G261" s="58" t="n">
        <v>769</v>
      </c>
      <c r="H261" s="34" t="n">
        <f aca="false">G261*2</f>
        <v>1538</v>
      </c>
      <c r="I261" s="39" t="str">
        <f aca="false">A261&amp;"|"&amp;B261&amp;"|"&amp;D261&amp;"|"&amp;E261&amp;F261</f>
        <v>auto|Tulsa|scenario D (age 55)|female</v>
      </c>
      <c r="J261" s="34" t="n">
        <f aca="false" t="array" ref="J261:J261">MEDIAN(IF($I$4:$I$1803=I261,$H$4:$H$1803))</f>
        <v>1781</v>
      </c>
      <c r="K261" s="59" t="n">
        <f aca="false">H261/J261</f>
        <v>0.863559797866367</v>
      </c>
    </row>
    <row r="262" customFormat="false" ht="15" hidden="false" customHeight="false" outlineLevel="0" collapsed="false">
      <c r="A262" s="39" t="s">
        <v>879</v>
      </c>
      <c r="B262" s="39" t="s">
        <v>908</v>
      </c>
      <c r="C262" s="39" t="s">
        <v>893</v>
      </c>
      <c r="D262" s="39" t="s">
        <v>888</v>
      </c>
      <c r="E262" s="39" t="s">
        <v>883</v>
      </c>
      <c r="F262" s="39"/>
      <c r="G262" s="58" t="n">
        <v>668</v>
      </c>
      <c r="H262" s="34" t="n">
        <f aca="false">G262*2</f>
        <v>1336</v>
      </c>
      <c r="I262" s="39" t="str">
        <f aca="false">A262&amp;"|"&amp;B262&amp;"|"&amp;D262&amp;"|"&amp;E262&amp;F262</f>
        <v>auto|Tulsa|scenario E (age 70)|male</v>
      </c>
      <c r="J262" s="34" t="n">
        <f aca="false" t="array" ref="J262:J262">MEDIAN(IF($I$4:$I$1803=I262,$H$4:$H$1803))</f>
        <v>1676</v>
      </c>
      <c r="K262" s="59" t="n">
        <f aca="false">H262/J262</f>
        <v>0.797136038186158</v>
      </c>
    </row>
    <row r="263" customFormat="false" ht="15" hidden="false" customHeight="false" outlineLevel="0" collapsed="false">
      <c r="A263" s="39" t="s">
        <v>879</v>
      </c>
      <c r="B263" s="39" t="s">
        <v>908</v>
      </c>
      <c r="C263" s="39" t="s">
        <v>893</v>
      </c>
      <c r="D263" s="39" t="s">
        <v>888</v>
      </c>
      <c r="E263" s="39" t="s">
        <v>884</v>
      </c>
      <c r="F263" s="39"/>
      <c r="G263" s="58" t="n">
        <v>730</v>
      </c>
      <c r="H263" s="34" t="n">
        <f aca="false">G263*2</f>
        <v>1460</v>
      </c>
      <c r="I263" s="39" t="str">
        <f aca="false">A263&amp;"|"&amp;B263&amp;"|"&amp;D263&amp;"|"&amp;E263&amp;F263</f>
        <v>auto|Tulsa|scenario E (age 70)|female</v>
      </c>
      <c r="J263" s="34" t="n">
        <f aca="false" t="array" ref="J263:J263">MEDIAN(IF($I$4:$I$1803=I263,$H$4:$H$1803))</f>
        <v>1677</v>
      </c>
      <c r="K263" s="59" t="n">
        <f aca="false">H263/J263</f>
        <v>0.870602265951103</v>
      </c>
    </row>
    <row r="264" customFormat="false" ht="15" hidden="false" customHeight="false" outlineLevel="0" collapsed="false">
      <c r="A264" s="39" t="s">
        <v>879</v>
      </c>
      <c r="B264" s="39" t="s">
        <v>908</v>
      </c>
      <c r="C264" s="39" t="s">
        <v>894</v>
      </c>
      <c r="D264" s="39" t="s">
        <v>882</v>
      </c>
      <c r="E264" s="39" t="s">
        <v>883</v>
      </c>
      <c r="F264" s="39"/>
      <c r="G264" s="58" t="n">
        <v>4023</v>
      </c>
      <c r="H264" s="34" t="n">
        <f aca="false">G264*2</f>
        <v>8046</v>
      </c>
      <c r="I264" s="39" t="str">
        <f aca="false">A264&amp;"|"&amp;B264&amp;"|"&amp;D264&amp;"|"&amp;E264&amp;F264</f>
        <v>auto|Tulsa|scenario A (age 16)|male</v>
      </c>
      <c r="J264" s="34" t="n">
        <f aca="false" t="array" ref="J264:J264">MEDIAN(IF($I$4:$I$1803=I264,$H$4:$H$1803))</f>
        <v>8754</v>
      </c>
      <c r="K264" s="59" t="n">
        <f aca="false">H264/J264</f>
        <v>0.919122686771762</v>
      </c>
    </row>
    <row r="265" customFormat="false" ht="15" hidden="false" customHeight="false" outlineLevel="0" collapsed="false">
      <c r="A265" s="39" t="s">
        <v>879</v>
      </c>
      <c r="B265" s="39" t="s">
        <v>908</v>
      </c>
      <c r="C265" s="39" t="s">
        <v>894</v>
      </c>
      <c r="D265" s="39" t="s">
        <v>882</v>
      </c>
      <c r="E265" s="39" t="s">
        <v>884</v>
      </c>
      <c r="F265" s="39"/>
      <c r="G265" s="58" t="n">
        <v>3885</v>
      </c>
      <c r="H265" s="34" t="n">
        <f aca="false">G265*2</f>
        <v>7770</v>
      </c>
      <c r="I265" s="39" t="str">
        <f aca="false">A265&amp;"|"&amp;B265&amp;"|"&amp;D265&amp;"|"&amp;E265&amp;F265</f>
        <v>auto|Tulsa|scenario A (age 16)|female</v>
      </c>
      <c r="J265" s="34" t="n">
        <f aca="false" t="array" ref="J265:J265">MEDIAN(IF($I$4:$I$1803=I265,$H$4:$H$1803))</f>
        <v>7301</v>
      </c>
      <c r="K265" s="59" t="n">
        <f aca="false">H265/J265</f>
        <v>1.06423777564717</v>
      </c>
    </row>
    <row r="266" customFormat="false" ht="15" hidden="false" customHeight="false" outlineLevel="0" collapsed="false">
      <c r="A266" s="39" t="s">
        <v>879</v>
      </c>
      <c r="B266" s="39" t="s">
        <v>908</v>
      </c>
      <c r="C266" s="39" t="s">
        <v>894</v>
      </c>
      <c r="D266" s="39" t="s">
        <v>885</v>
      </c>
      <c r="E266" s="39" t="s">
        <v>883</v>
      </c>
      <c r="F266" s="39"/>
      <c r="G266" s="58" t="n">
        <v>1441</v>
      </c>
      <c r="H266" s="34" t="n">
        <f aca="false">G266*2</f>
        <v>2882</v>
      </c>
      <c r="I266" s="39" t="str">
        <f aca="false">A266&amp;"|"&amp;B266&amp;"|"&amp;D266&amp;"|"&amp;E266&amp;F266</f>
        <v>auto|Tulsa|scenario B (age 21)|male</v>
      </c>
      <c r="J266" s="34" t="n">
        <f aca="false" t="array" ref="J266:J266">MEDIAN(IF($I$4:$I$1803=I266,$H$4:$H$1803))</f>
        <v>3712</v>
      </c>
      <c r="K266" s="59" t="n">
        <f aca="false">H266/J266</f>
        <v>0.776400862068966</v>
      </c>
    </row>
    <row r="267" customFormat="false" ht="15" hidden="false" customHeight="false" outlineLevel="0" collapsed="false">
      <c r="A267" s="39" t="s">
        <v>879</v>
      </c>
      <c r="B267" s="39" t="s">
        <v>908</v>
      </c>
      <c r="C267" s="39" t="s">
        <v>894</v>
      </c>
      <c r="D267" s="39" t="s">
        <v>885</v>
      </c>
      <c r="E267" s="39" t="s">
        <v>884</v>
      </c>
      <c r="F267" s="39"/>
      <c r="G267" s="58" t="n">
        <v>1392</v>
      </c>
      <c r="H267" s="34" t="n">
        <f aca="false">G267*2</f>
        <v>2784</v>
      </c>
      <c r="I267" s="39" t="str">
        <f aca="false">A267&amp;"|"&amp;B267&amp;"|"&amp;D267&amp;"|"&amp;E267&amp;F267</f>
        <v>auto|Tulsa|scenario B (age 21)|female</v>
      </c>
      <c r="J267" s="34" t="n">
        <f aca="false" t="array" ref="J267:J267">MEDIAN(IF($I$4:$I$1803=I267,$H$4:$H$1803))</f>
        <v>3230</v>
      </c>
      <c r="K267" s="59" t="n">
        <f aca="false">H267/J267</f>
        <v>0.861919504643963</v>
      </c>
    </row>
    <row r="268" customFormat="false" ht="15" hidden="false" customHeight="false" outlineLevel="0" collapsed="false">
      <c r="A268" s="39" t="s">
        <v>879</v>
      </c>
      <c r="B268" s="39" t="s">
        <v>908</v>
      </c>
      <c r="C268" s="39" t="s">
        <v>894</v>
      </c>
      <c r="D268" s="39" t="s">
        <v>886</v>
      </c>
      <c r="E268" s="39" t="s">
        <v>883</v>
      </c>
      <c r="F268" s="39"/>
      <c r="G268" s="58" t="n">
        <v>801</v>
      </c>
      <c r="H268" s="34" t="n">
        <f aca="false">G268*2</f>
        <v>1602</v>
      </c>
      <c r="I268" s="39" t="str">
        <f aca="false">A268&amp;"|"&amp;B268&amp;"|"&amp;D268&amp;"|"&amp;E268&amp;F268</f>
        <v>auto|Tulsa|scenario C (age 36)|male</v>
      </c>
      <c r="J268" s="34" t="n">
        <f aca="false" t="array" ref="J268:J268">MEDIAN(IF($I$4:$I$1803=I268,$H$4:$H$1803))</f>
        <v>2040</v>
      </c>
      <c r="K268" s="59" t="n">
        <f aca="false">H268/J268</f>
        <v>0.785294117647059</v>
      </c>
    </row>
    <row r="269" customFormat="false" ht="15" hidden="false" customHeight="false" outlineLevel="0" collapsed="false">
      <c r="A269" s="39" t="s">
        <v>879</v>
      </c>
      <c r="B269" s="39" t="s">
        <v>908</v>
      </c>
      <c r="C269" s="39" t="s">
        <v>894</v>
      </c>
      <c r="D269" s="39" t="s">
        <v>886</v>
      </c>
      <c r="E269" s="39" t="s">
        <v>884</v>
      </c>
      <c r="F269" s="39"/>
      <c r="G269" s="58" t="n">
        <v>784</v>
      </c>
      <c r="H269" s="34" t="n">
        <f aca="false">G269*2</f>
        <v>1568</v>
      </c>
      <c r="I269" s="39" t="str">
        <f aca="false">A269&amp;"|"&amp;B269&amp;"|"&amp;D269&amp;"|"&amp;E269&amp;F269</f>
        <v>auto|Tulsa|scenario C (age 36)|female</v>
      </c>
      <c r="J269" s="34" t="n">
        <f aca="false" t="array" ref="J269:J269">MEDIAN(IF($I$4:$I$1803=I269,$H$4:$H$1803))</f>
        <v>1976</v>
      </c>
      <c r="K269" s="59" t="n">
        <f aca="false">H269/J269</f>
        <v>0.793522267206478</v>
      </c>
    </row>
    <row r="270" customFormat="false" ht="15" hidden="false" customHeight="false" outlineLevel="0" collapsed="false">
      <c r="A270" s="39" t="s">
        <v>879</v>
      </c>
      <c r="B270" s="39" t="s">
        <v>908</v>
      </c>
      <c r="C270" s="39" t="s">
        <v>894</v>
      </c>
      <c r="D270" s="39" t="s">
        <v>887</v>
      </c>
      <c r="E270" s="39" t="s">
        <v>883</v>
      </c>
      <c r="F270" s="39"/>
      <c r="G270" s="58" t="n">
        <v>710</v>
      </c>
      <c r="H270" s="34" t="n">
        <f aca="false">G270*2</f>
        <v>1420</v>
      </c>
      <c r="I270" s="39" t="str">
        <f aca="false">A270&amp;"|"&amp;B270&amp;"|"&amp;D270&amp;"|"&amp;E270&amp;F270</f>
        <v>auto|Tulsa|scenario D (age 55)|male</v>
      </c>
      <c r="J270" s="34" t="n">
        <f aca="false" t="array" ref="J270:J270">MEDIAN(IF($I$4:$I$1803=I270,$H$4:$H$1803))</f>
        <v>1765</v>
      </c>
      <c r="K270" s="59" t="n">
        <f aca="false">H270/J270</f>
        <v>0.804532577903683</v>
      </c>
    </row>
    <row r="271" customFormat="false" ht="15" hidden="false" customHeight="false" outlineLevel="0" collapsed="false">
      <c r="A271" s="39" t="s">
        <v>879</v>
      </c>
      <c r="B271" s="39" t="s">
        <v>908</v>
      </c>
      <c r="C271" s="39" t="s">
        <v>894</v>
      </c>
      <c r="D271" s="39" t="s">
        <v>887</v>
      </c>
      <c r="E271" s="39" t="s">
        <v>884</v>
      </c>
      <c r="F271" s="39"/>
      <c r="G271" s="58" t="n">
        <v>708</v>
      </c>
      <c r="H271" s="34" t="n">
        <f aca="false">G271*2</f>
        <v>1416</v>
      </c>
      <c r="I271" s="39" t="str">
        <f aca="false">A271&amp;"|"&amp;B271&amp;"|"&amp;D271&amp;"|"&amp;E271&amp;F271</f>
        <v>auto|Tulsa|scenario D (age 55)|female</v>
      </c>
      <c r="J271" s="34" t="n">
        <f aca="false" t="array" ref="J271:J271">MEDIAN(IF($I$4:$I$1803=I271,$H$4:$H$1803))</f>
        <v>1781</v>
      </c>
      <c r="K271" s="59" t="n">
        <f aca="false">H271/J271</f>
        <v>0.795058955642897</v>
      </c>
    </row>
    <row r="272" customFormat="false" ht="15" hidden="false" customHeight="false" outlineLevel="0" collapsed="false">
      <c r="A272" s="39" t="s">
        <v>879</v>
      </c>
      <c r="B272" s="39" t="s">
        <v>908</v>
      </c>
      <c r="C272" s="39" t="s">
        <v>894</v>
      </c>
      <c r="D272" s="39" t="s">
        <v>888</v>
      </c>
      <c r="E272" s="39" t="s">
        <v>883</v>
      </c>
      <c r="F272" s="39"/>
      <c r="G272" s="58" t="n">
        <v>731</v>
      </c>
      <c r="H272" s="34" t="n">
        <f aca="false">G272*2</f>
        <v>1462</v>
      </c>
      <c r="I272" s="39" t="str">
        <f aca="false">A272&amp;"|"&amp;B272&amp;"|"&amp;D272&amp;"|"&amp;E272&amp;F272</f>
        <v>auto|Tulsa|scenario E (age 70)|male</v>
      </c>
      <c r="J272" s="34" t="n">
        <f aca="false" t="array" ref="J272:J272">MEDIAN(IF($I$4:$I$1803=I272,$H$4:$H$1803))</f>
        <v>1676</v>
      </c>
      <c r="K272" s="59" t="n">
        <f aca="false">H272/J272</f>
        <v>0.872315035799523</v>
      </c>
    </row>
    <row r="273" customFormat="false" ht="15" hidden="false" customHeight="false" outlineLevel="0" collapsed="false">
      <c r="A273" s="39" t="s">
        <v>879</v>
      </c>
      <c r="B273" s="39" t="s">
        <v>908</v>
      </c>
      <c r="C273" s="39" t="s">
        <v>894</v>
      </c>
      <c r="D273" s="39" t="s">
        <v>888</v>
      </c>
      <c r="E273" s="39" t="s">
        <v>884</v>
      </c>
      <c r="F273" s="39"/>
      <c r="G273" s="58" t="n">
        <v>736</v>
      </c>
      <c r="H273" s="34" t="n">
        <f aca="false">G273*2</f>
        <v>1472</v>
      </c>
      <c r="I273" s="39" t="str">
        <f aca="false">A273&amp;"|"&amp;B273&amp;"|"&amp;D273&amp;"|"&amp;E273&amp;F273</f>
        <v>auto|Tulsa|scenario E (age 70)|female</v>
      </c>
      <c r="J273" s="34" t="n">
        <f aca="false" t="array" ref="J273:J273">MEDIAN(IF($I$4:$I$1803=I273,$H$4:$H$1803))</f>
        <v>1677</v>
      </c>
      <c r="K273" s="59" t="n">
        <f aca="false">H273/J273</f>
        <v>0.877757901013715</v>
      </c>
    </row>
    <row r="274" customFormat="false" ht="15" hidden="false" customHeight="false" outlineLevel="0" collapsed="false">
      <c r="A274" s="39" t="s">
        <v>879</v>
      </c>
      <c r="B274" s="39" t="s">
        <v>908</v>
      </c>
      <c r="C274" s="39" t="s">
        <v>895</v>
      </c>
      <c r="D274" s="39" t="s">
        <v>882</v>
      </c>
      <c r="E274" s="39" t="s">
        <v>883</v>
      </c>
      <c r="F274" s="39"/>
      <c r="G274" s="58" t="n">
        <v>2033</v>
      </c>
      <c r="H274" s="34" t="n">
        <f aca="false">G274*2</f>
        <v>4066</v>
      </c>
      <c r="I274" s="39" t="str">
        <f aca="false">A274&amp;"|"&amp;B274&amp;"|"&amp;D274&amp;"|"&amp;E274&amp;F274</f>
        <v>auto|Tulsa|scenario A (age 16)|male</v>
      </c>
      <c r="J274" s="34" t="n">
        <f aca="false" t="array" ref="J274:J274">MEDIAN(IF($I$4:$I$1803=I274,$H$4:$H$1803))</f>
        <v>8754</v>
      </c>
      <c r="K274" s="59" t="n">
        <f aca="false">H274/J274</f>
        <v>0.46447338359607</v>
      </c>
    </row>
    <row r="275" customFormat="false" ht="15" hidden="false" customHeight="false" outlineLevel="0" collapsed="false">
      <c r="A275" s="39" t="s">
        <v>879</v>
      </c>
      <c r="B275" s="39" t="s">
        <v>908</v>
      </c>
      <c r="C275" s="39" t="s">
        <v>895</v>
      </c>
      <c r="D275" s="39" t="s">
        <v>882</v>
      </c>
      <c r="E275" s="39" t="s">
        <v>884</v>
      </c>
      <c r="F275" s="39"/>
      <c r="G275" s="58" t="n">
        <v>2067</v>
      </c>
      <c r="H275" s="34" t="n">
        <f aca="false">G275*2</f>
        <v>4134</v>
      </c>
      <c r="I275" s="39" t="str">
        <f aca="false">A275&amp;"|"&amp;B275&amp;"|"&amp;D275&amp;"|"&amp;E275&amp;F275</f>
        <v>auto|Tulsa|scenario A (age 16)|female</v>
      </c>
      <c r="J275" s="34" t="n">
        <f aca="false" t="array" ref="J275:J275">MEDIAN(IF($I$4:$I$1803=I275,$H$4:$H$1803))</f>
        <v>7301</v>
      </c>
      <c r="K275" s="59" t="n">
        <f aca="false">H275/J275</f>
        <v>0.566223804958225</v>
      </c>
    </row>
    <row r="276" customFormat="false" ht="15" hidden="false" customHeight="false" outlineLevel="0" collapsed="false">
      <c r="A276" s="39" t="s">
        <v>879</v>
      </c>
      <c r="B276" s="39" t="s">
        <v>908</v>
      </c>
      <c r="C276" s="39" t="s">
        <v>895</v>
      </c>
      <c r="D276" s="39" t="s">
        <v>885</v>
      </c>
      <c r="E276" s="39" t="s">
        <v>883</v>
      </c>
      <c r="F276" s="39"/>
      <c r="G276" s="58" t="n">
        <v>642</v>
      </c>
      <c r="H276" s="34" t="n">
        <f aca="false">G276*2</f>
        <v>1284</v>
      </c>
      <c r="I276" s="39" t="str">
        <f aca="false">A276&amp;"|"&amp;B276&amp;"|"&amp;D276&amp;"|"&amp;E276&amp;F276</f>
        <v>auto|Tulsa|scenario B (age 21)|male</v>
      </c>
      <c r="J276" s="34" t="n">
        <f aca="false" t="array" ref="J276:J276">MEDIAN(IF($I$4:$I$1803=I276,$H$4:$H$1803))</f>
        <v>3712</v>
      </c>
      <c r="K276" s="59" t="n">
        <f aca="false">H276/J276</f>
        <v>0.345905172413793</v>
      </c>
    </row>
    <row r="277" customFormat="false" ht="15" hidden="false" customHeight="false" outlineLevel="0" collapsed="false">
      <c r="A277" s="39" t="s">
        <v>879</v>
      </c>
      <c r="B277" s="39" t="s">
        <v>908</v>
      </c>
      <c r="C277" s="39" t="s">
        <v>895</v>
      </c>
      <c r="D277" s="39" t="s">
        <v>885</v>
      </c>
      <c r="E277" s="39" t="s">
        <v>884</v>
      </c>
      <c r="F277" s="39"/>
      <c r="G277" s="58" t="n">
        <v>652</v>
      </c>
      <c r="H277" s="34" t="n">
        <f aca="false">G277*2</f>
        <v>1304</v>
      </c>
      <c r="I277" s="39" t="str">
        <f aca="false">A277&amp;"|"&amp;B277&amp;"|"&amp;D277&amp;"|"&amp;E277&amp;F277</f>
        <v>auto|Tulsa|scenario B (age 21)|female</v>
      </c>
      <c r="J277" s="34" t="n">
        <f aca="false" t="array" ref="J277:J277">MEDIAN(IF($I$4:$I$1803=I277,$H$4:$H$1803))</f>
        <v>3230</v>
      </c>
      <c r="K277" s="59" t="n">
        <f aca="false">H277/J277</f>
        <v>0.403715170278638</v>
      </c>
    </row>
    <row r="278" customFormat="false" ht="15" hidden="false" customHeight="false" outlineLevel="0" collapsed="false">
      <c r="A278" s="39" t="s">
        <v>879</v>
      </c>
      <c r="B278" s="39" t="s">
        <v>908</v>
      </c>
      <c r="C278" s="39" t="s">
        <v>895</v>
      </c>
      <c r="D278" s="39" t="s">
        <v>886</v>
      </c>
      <c r="E278" s="39" t="s">
        <v>883</v>
      </c>
      <c r="F278" s="39"/>
      <c r="G278" s="58" t="n">
        <v>388</v>
      </c>
      <c r="H278" s="34" t="n">
        <f aca="false">G278*2</f>
        <v>776</v>
      </c>
      <c r="I278" s="39" t="str">
        <f aca="false">A278&amp;"|"&amp;B278&amp;"|"&amp;D278&amp;"|"&amp;E278&amp;F278</f>
        <v>auto|Tulsa|scenario C (age 36)|male</v>
      </c>
      <c r="J278" s="34" t="n">
        <f aca="false" t="array" ref="J278:J278">MEDIAN(IF($I$4:$I$1803=I278,$H$4:$H$1803))</f>
        <v>2040</v>
      </c>
      <c r="K278" s="59" t="n">
        <f aca="false">H278/J278</f>
        <v>0.380392156862745</v>
      </c>
    </row>
    <row r="279" customFormat="false" ht="15" hidden="false" customHeight="false" outlineLevel="0" collapsed="false">
      <c r="A279" s="39" t="s">
        <v>879</v>
      </c>
      <c r="B279" s="39" t="s">
        <v>908</v>
      </c>
      <c r="C279" s="39" t="s">
        <v>895</v>
      </c>
      <c r="D279" s="39" t="s">
        <v>886</v>
      </c>
      <c r="E279" s="39" t="s">
        <v>884</v>
      </c>
      <c r="F279" s="39"/>
      <c r="G279" s="58" t="n">
        <v>388</v>
      </c>
      <c r="H279" s="34" t="n">
        <f aca="false">G279*2</f>
        <v>776</v>
      </c>
      <c r="I279" s="39" t="str">
        <f aca="false">A279&amp;"|"&amp;B279&amp;"|"&amp;D279&amp;"|"&amp;E279&amp;F279</f>
        <v>auto|Tulsa|scenario C (age 36)|female</v>
      </c>
      <c r="J279" s="34" t="n">
        <f aca="false" t="array" ref="J279:J279">MEDIAN(IF($I$4:$I$1803=I279,$H$4:$H$1803))</f>
        <v>1976</v>
      </c>
      <c r="K279" s="59" t="n">
        <f aca="false">H279/J279</f>
        <v>0.392712550607287</v>
      </c>
    </row>
    <row r="280" customFormat="false" ht="15" hidden="false" customHeight="false" outlineLevel="0" collapsed="false">
      <c r="A280" s="39" t="s">
        <v>879</v>
      </c>
      <c r="B280" s="39" t="s">
        <v>908</v>
      </c>
      <c r="C280" s="39" t="s">
        <v>895</v>
      </c>
      <c r="D280" s="39" t="s">
        <v>887</v>
      </c>
      <c r="E280" s="39" t="s">
        <v>883</v>
      </c>
      <c r="F280" s="39"/>
      <c r="G280" s="58" t="n">
        <v>367</v>
      </c>
      <c r="H280" s="34" t="n">
        <f aca="false">G280*2</f>
        <v>734</v>
      </c>
      <c r="I280" s="39" t="str">
        <f aca="false">A280&amp;"|"&amp;B280&amp;"|"&amp;D280&amp;"|"&amp;E280&amp;F280</f>
        <v>auto|Tulsa|scenario D (age 55)|male</v>
      </c>
      <c r="J280" s="34" t="n">
        <f aca="false" t="array" ref="J280:J280">MEDIAN(IF($I$4:$I$1803=I280,$H$4:$H$1803))</f>
        <v>1765</v>
      </c>
      <c r="K280" s="59" t="n">
        <f aca="false">H280/J280</f>
        <v>0.41586402266289</v>
      </c>
    </row>
    <row r="281" customFormat="false" ht="15" hidden="false" customHeight="false" outlineLevel="0" collapsed="false">
      <c r="A281" s="39" t="s">
        <v>879</v>
      </c>
      <c r="B281" s="39" t="s">
        <v>908</v>
      </c>
      <c r="C281" s="39" t="s">
        <v>895</v>
      </c>
      <c r="D281" s="39" t="s">
        <v>887</v>
      </c>
      <c r="E281" s="39" t="s">
        <v>884</v>
      </c>
      <c r="F281" s="39"/>
      <c r="G281" s="58" t="n">
        <v>367</v>
      </c>
      <c r="H281" s="34" t="n">
        <f aca="false">G281*2</f>
        <v>734</v>
      </c>
      <c r="I281" s="39" t="str">
        <f aca="false">A281&amp;"|"&amp;B281&amp;"|"&amp;D281&amp;"|"&amp;E281&amp;F281</f>
        <v>auto|Tulsa|scenario D (age 55)|female</v>
      </c>
      <c r="J281" s="34" t="n">
        <f aca="false" t="array" ref="J281:J281">MEDIAN(IF($I$4:$I$1803=I281,$H$4:$H$1803))</f>
        <v>1781</v>
      </c>
      <c r="K281" s="59" t="n">
        <f aca="false">H281/J281</f>
        <v>0.412128017967434</v>
      </c>
    </row>
    <row r="282" customFormat="false" ht="15" hidden="false" customHeight="false" outlineLevel="0" collapsed="false">
      <c r="A282" s="39" t="s">
        <v>879</v>
      </c>
      <c r="B282" s="39" t="s">
        <v>908</v>
      </c>
      <c r="C282" s="39" t="s">
        <v>895</v>
      </c>
      <c r="D282" s="39" t="s">
        <v>888</v>
      </c>
      <c r="E282" s="39" t="s">
        <v>883</v>
      </c>
      <c r="F282" s="39"/>
      <c r="G282" s="58" t="n">
        <v>387</v>
      </c>
      <c r="H282" s="34" t="n">
        <f aca="false">G282*2</f>
        <v>774</v>
      </c>
      <c r="I282" s="39" t="str">
        <f aca="false">A282&amp;"|"&amp;B282&amp;"|"&amp;D282&amp;"|"&amp;E282&amp;F282</f>
        <v>auto|Tulsa|scenario E (age 70)|male</v>
      </c>
      <c r="J282" s="34" t="n">
        <f aca="false" t="array" ref="J282:J282">MEDIAN(IF($I$4:$I$1803=I282,$H$4:$H$1803))</f>
        <v>1676</v>
      </c>
      <c r="K282" s="59" t="n">
        <f aca="false">H282/J282</f>
        <v>0.4618138424821</v>
      </c>
    </row>
    <row r="283" customFormat="false" ht="15" hidden="false" customHeight="false" outlineLevel="0" collapsed="false">
      <c r="A283" s="39" t="s">
        <v>879</v>
      </c>
      <c r="B283" s="39" t="s">
        <v>908</v>
      </c>
      <c r="C283" s="39" t="s">
        <v>895</v>
      </c>
      <c r="D283" s="39" t="s">
        <v>888</v>
      </c>
      <c r="E283" s="39" t="s">
        <v>884</v>
      </c>
      <c r="F283" s="39"/>
      <c r="G283" s="58" t="n">
        <v>387</v>
      </c>
      <c r="H283" s="34" t="n">
        <f aca="false">G283*2</f>
        <v>774</v>
      </c>
      <c r="I283" s="39" t="str">
        <f aca="false">A283&amp;"|"&amp;B283&amp;"|"&amp;D283&amp;"|"&amp;E283&amp;F283</f>
        <v>auto|Tulsa|scenario E (age 70)|female</v>
      </c>
      <c r="J283" s="34" t="n">
        <f aca="false" t="array" ref="J283:J283">MEDIAN(IF($I$4:$I$1803=I283,$H$4:$H$1803))</f>
        <v>1677</v>
      </c>
      <c r="K283" s="59" t="n">
        <f aca="false">H283/J283</f>
        <v>0.461538461538462</v>
      </c>
    </row>
    <row r="284" customFormat="false" ht="15" hidden="false" customHeight="false" outlineLevel="0" collapsed="false">
      <c r="A284" s="39" t="s">
        <v>879</v>
      </c>
      <c r="B284" s="39" t="s">
        <v>908</v>
      </c>
      <c r="C284" s="39" t="s">
        <v>896</v>
      </c>
      <c r="D284" s="39" t="s">
        <v>882</v>
      </c>
      <c r="E284" s="39" t="s">
        <v>883</v>
      </c>
      <c r="F284" s="39"/>
      <c r="G284" s="58" t="n">
        <v>4231</v>
      </c>
      <c r="H284" s="34" t="n">
        <f aca="false">G284*2</f>
        <v>8462</v>
      </c>
      <c r="I284" s="39" t="str">
        <f aca="false">A284&amp;"|"&amp;B284&amp;"|"&amp;D284&amp;"|"&amp;E284&amp;F284</f>
        <v>auto|Tulsa|scenario A (age 16)|male</v>
      </c>
      <c r="J284" s="34" t="n">
        <f aca="false" t="array" ref="J284:J284">MEDIAN(IF($I$4:$I$1803=I284,$H$4:$H$1803))</f>
        <v>8754</v>
      </c>
      <c r="K284" s="59" t="n">
        <f aca="false">H284/J284</f>
        <v>0.966643819968015</v>
      </c>
    </row>
    <row r="285" customFormat="false" ht="15" hidden="false" customHeight="false" outlineLevel="0" collapsed="false">
      <c r="A285" s="39" t="s">
        <v>879</v>
      </c>
      <c r="B285" s="39" t="s">
        <v>908</v>
      </c>
      <c r="C285" s="39" t="s">
        <v>896</v>
      </c>
      <c r="D285" s="39" t="s">
        <v>882</v>
      </c>
      <c r="E285" s="39" t="s">
        <v>884</v>
      </c>
      <c r="F285" s="39"/>
      <c r="G285" s="58" t="n">
        <v>2637</v>
      </c>
      <c r="H285" s="34" t="n">
        <f aca="false">G285*2</f>
        <v>5274</v>
      </c>
      <c r="I285" s="39" t="str">
        <f aca="false">A285&amp;"|"&amp;B285&amp;"|"&amp;D285&amp;"|"&amp;E285&amp;F285</f>
        <v>auto|Tulsa|scenario A (age 16)|female</v>
      </c>
      <c r="J285" s="34" t="n">
        <f aca="false" t="array" ref="J285:J285">MEDIAN(IF($I$4:$I$1803=I285,$H$4:$H$1803))</f>
        <v>7301</v>
      </c>
      <c r="K285" s="59" t="n">
        <f aca="false">H285/J285</f>
        <v>0.722366799068621</v>
      </c>
    </row>
    <row r="286" customFormat="false" ht="15" hidden="false" customHeight="false" outlineLevel="0" collapsed="false">
      <c r="A286" s="39" t="s">
        <v>879</v>
      </c>
      <c r="B286" s="39" t="s">
        <v>908</v>
      </c>
      <c r="C286" s="39" t="s">
        <v>896</v>
      </c>
      <c r="D286" s="39" t="s">
        <v>885</v>
      </c>
      <c r="E286" s="39" t="s">
        <v>883</v>
      </c>
      <c r="F286" s="39"/>
      <c r="G286" s="58" t="n">
        <v>2423</v>
      </c>
      <c r="H286" s="34" t="n">
        <f aca="false">G286*2</f>
        <v>4846</v>
      </c>
      <c r="I286" s="39" t="str">
        <f aca="false">A286&amp;"|"&amp;B286&amp;"|"&amp;D286&amp;"|"&amp;E286&amp;F286</f>
        <v>auto|Tulsa|scenario B (age 21)|male</v>
      </c>
      <c r="J286" s="34" t="n">
        <f aca="false" t="array" ref="J286:J286">MEDIAN(IF($I$4:$I$1803=I286,$H$4:$H$1803))</f>
        <v>3712</v>
      </c>
      <c r="K286" s="59" t="n">
        <f aca="false">H286/J286</f>
        <v>1.30549568965517</v>
      </c>
    </row>
    <row r="287" customFormat="false" ht="15" hidden="false" customHeight="false" outlineLevel="0" collapsed="false">
      <c r="A287" s="39" t="s">
        <v>879</v>
      </c>
      <c r="B287" s="39" t="s">
        <v>908</v>
      </c>
      <c r="C287" s="39" t="s">
        <v>896</v>
      </c>
      <c r="D287" s="39" t="s">
        <v>885</v>
      </c>
      <c r="E287" s="39" t="s">
        <v>884</v>
      </c>
      <c r="F287" s="39"/>
      <c r="G287" s="58" t="n">
        <v>1789</v>
      </c>
      <c r="H287" s="34" t="n">
        <f aca="false">G287*2</f>
        <v>3578</v>
      </c>
      <c r="I287" s="39" t="str">
        <f aca="false">A287&amp;"|"&amp;B287&amp;"|"&amp;D287&amp;"|"&amp;E287&amp;F287</f>
        <v>auto|Tulsa|scenario B (age 21)|female</v>
      </c>
      <c r="J287" s="34" t="n">
        <f aca="false" t="array" ref="J287:J287">MEDIAN(IF($I$4:$I$1803=I287,$H$4:$H$1803))</f>
        <v>3230</v>
      </c>
      <c r="K287" s="59" t="n">
        <f aca="false">H287/J287</f>
        <v>1.1077399380805</v>
      </c>
    </row>
    <row r="288" customFormat="false" ht="15" hidden="false" customHeight="false" outlineLevel="0" collapsed="false">
      <c r="A288" s="39" t="s">
        <v>879</v>
      </c>
      <c r="B288" s="39" t="s">
        <v>908</v>
      </c>
      <c r="C288" s="39" t="s">
        <v>896</v>
      </c>
      <c r="D288" s="39" t="s">
        <v>886</v>
      </c>
      <c r="E288" s="39" t="s">
        <v>883</v>
      </c>
      <c r="F288" s="39"/>
      <c r="G288" s="58" t="n">
        <v>1061</v>
      </c>
      <c r="H288" s="34" t="n">
        <f aca="false">G288*2</f>
        <v>2122</v>
      </c>
      <c r="I288" s="39" t="str">
        <f aca="false">A288&amp;"|"&amp;B288&amp;"|"&amp;D288&amp;"|"&amp;E288&amp;F288</f>
        <v>auto|Tulsa|scenario C (age 36)|male</v>
      </c>
      <c r="J288" s="34" t="n">
        <f aca="false" t="array" ref="J288:J288">MEDIAN(IF($I$4:$I$1803=I288,$H$4:$H$1803))</f>
        <v>2040</v>
      </c>
      <c r="K288" s="59" t="n">
        <f aca="false">H288/J288</f>
        <v>1.04019607843137</v>
      </c>
    </row>
    <row r="289" customFormat="false" ht="15" hidden="false" customHeight="false" outlineLevel="0" collapsed="false">
      <c r="A289" s="39" t="s">
        <v>879</v>
      </c>
      <c r="B289" s="39" t="s">
        <v>908</v>
      </c>
      <c r="C289" s="39" t="s">
        <v>896</v>
      </c>
      <c r="D289" s="39" t="s">
        <v>886</v>
      </c>
      <c r="E289" s="39" t="s">
        <v>884</v>
      </c>
      <c r="F289" s="39"/>
      <c r="G289" s="58" t="n">
        <v>1061</v>
      </c>
      <c r="H289" s="34" t="n">
        <f aca="false">G289*2</f>
        <v>2122</v>
      </c>
      <c r="I289" s="39" t="str">
        <f aca="false">A289&amp;"|"&amp;B289&amp;"|"&amp;D289&amp;"|"&amp;E289&amp;F289</f>
        <v>auto|Tulsa|scenario C (age 36)|female</v>
      </c>
      <c r="J289" s="34" t="n">
        <f aca="false" t="array" ref="J289:J289">MEDIAN(IF($I$4:$I$1803=I289,$H$4:$H$1803))</f>
        <v>1976</v>
      </c>
      <c r="K289" s="59" t="n">
        <f aca="false">H289/J289</f>
        <v>1.07388663967611</v>
      </c>
    </row>
    <row r="290" customFormat="false" ht="15" hidden="false" customHeight="false" outlineLevel="0" collapsed="false">
      <c r="A290" s="39" t="s">
        <v>879</v>
      </c>
      <c r="B290" s="39" t="s">
        <v>908</v>
      </c>
      <c r="C290" s="39" t="s">
        <v>896</v>
      </c>
      <c r="D290" s="39" t="s">
        <v>887</v>
      </c>
      <c r="E290" s="39" t="s">
        <v>883</v>
      </c>
      <c r="F290" s="39"/>
      <c r="G290" s="58" t="n">
        <v>954</v>
      </c>
      <c r="H290" s="34" t="n">
        <f aca="false">G290*2</f>
        <v>1908</v>
      </c>
      <c r="I290" s="39" t="str">
        <f aca="false">A290&amp;"|"&amp;B290&amp;"|"&amp;D290&amp;"|"&amp;E290&amp;F290</f>
        <v>auto|Tulsa|scenario D (age 55)|male</v>
      </c>
      <c r="J290" s="34" t="n">
        <f aca="false" t="array" ref="J290:J290">MEDIAN(IF($I$4:$I$1803=I290,$H$4:$H$1803))</f>
        <v>1765</v>
      </c>
      <c r="K290" s="59" t="n">
        <f aca="false">H290/J290</f>
        <v>1.08101983002833</v>
      </c>
    </row>
    <row r="291" customFormat="false" ht="15" hidden="false" customHeight="false" outlineLevel="0" collapsed="false">
      <c r="A291" s="39" t="s">
        <v>879</v>
      </c>
      <c r="B291" s="39" t="s">
        <v>908</v>
      </c>
      <c r="C291" s="39" t="s">
        <v>896</v>
      </c>
      <c r="D291" s="39" t="s">
        <v>887</v>
      </c>
      <c r="E291" s="39" t="s">
        <v>884</v>
      </c>
      <c r="F291" s="39"/>
      <c r="G291" s="58" t="n">
        <v>954</v>
      </c>
      <c r="H291" s="34" t="n">
        <f aca="false">G291*2</f>
        <v>1908</v>
      </c>
      <c r="I291" s="39" t="str">
        <f aca="false">A291&amp;"|"&amp;B291&amp;"|"&amp;D291&amp;"|"&amp;E291&amp;F291</f>
        <v>auto|Tulsa|scenario D (age 55)|female</v>
      </c>
      <c r="J291" s="34" t="n">
        <f aca="false" t="array" ref="J291:J291">MEDIAN(IF($I$4:$I$1803=I291,$H$4:$H$1803))</f>
        <v>1781</v>
      </c>
      <c r="K291" s="59" t="n">
        <f aca="false">H291/J291</f>
        <v>1.07130825379001</v>
      </c>
    </row>
    <row r="292" customFormat="false" ht="15" hidden="false" customHeight="false" outlineLevel="0" collapsed="false">
      <c r="A292" s="39" t="s">
        <v>879</v>
      </c>
      <c r="B292" s="39" t="s">
        <v>908</v>
      </c>
      <c r="C292" s="39" t="s">
        <v>896</v>
      </c>
      <c r="D292" s="39" t="s">
        <v>888</v>
      </c>
      <c r="E292" s="39" t="s">
        <v>883</v>
      </c>
      <c r="F292" s="39"/>
      <c r="G292" s="58" t="n">
        <v>880</v>
      </c>
      <c r="H292" s="34" t="n">
        <f aca="false">G292*2</f>
        <v>1760</v>
      </c>
      <c r="I292" s="39" t="str">
        <f aca="false">A292&amp;"|"&amp;B292&amp;"|"&amp;D292&amp;"|"&amp;E292&amp;F292</f>
        <v>auto|Tulsa|scenario E (age 70)|male</v>
      </c>
      <c r="J292" s="34" t="n">
        <f aca="false" t="array" ref="J292:J292">MEDIAN(IF($I$4:$I$1803=I292,$H$4:$H$1803))</f>
        <v>1676</v>
      </c>
      <c r="K292" s="59" t="n">
        <f aca="false">H292/J292</f>
        <v>1.05011933174224</v>
      </c>
    </row>
    <row r="293" customFormat="false" ht="15" hidden="false" customHeight="false" outlineLevel="0" collapsed="false">
      <c r="A293" s="39" t="s">
        <v>879</v>
      </c>
      <c r="B293" s="39" t="s">
        <v>908</v>
      </c>
      <c r="C293" s="39" t="s">
        <v>896</v>
      </c>
      <c r="D293" s="39" t="s">
        <v>888</v>
      </c>
      <c r="E293" s="39" t="s">
        <v>884</v>
      </c>
      <c r="F293" s="39"/>
      <c r="G293" s="58" t="n">
        <v>880</v>
      </c>
      <c r="H293" s="34" t="n">
        <f aca="false">G293*2</f>
        <v>1760</v>
      </c>
      <c r="I293" s="39" t="str">
        <f aca="false">A293&amp;"|"&amp;B293&amp;"|"&amp;D293&amp;"|"&amp;E293&amp;F293</f>
        <v>auto|Tulsa|scenario E (age 70)|female</v>
      </c>
      <c r="J293" s="34" t="n">
        <f aca="false" t="array" ref="J293:J293">MEDIAN(IF($I$4:$I$1803=I293,$H$4:$H$1803))</f>
        <v>1677</v>
      </c>
      <c r="K293" s="59" t="n">
        <f aca="false">H293/J293</f>
        <v>1.0494931425164</v>
      </c>
    </row>
    <row r="294" customFormat="false" ht="15" hidden="false" customHeight="false" outlineLevel="0" collapsed="false">
      <c r="A294" s="39" t="s">
        <v>879</v>
      </c>
      <c r="B294" s="39" t="s">
        <v>908</v>
      </c>
      <c r="C294" s="39" t="s">
        <v>897</v>
      </c>
      <c r="D294" s="39" t="s">
        <v>882</v>
      </c>
      <c r="E294" s="39" t="s">
        <v>883</v>
      </c>
      <c r="F294" s="39"/>
      <c r="G294" s="58" t="n">
        <v>4727</v>
      </c>
      <c r="H294" s="34" t="n">
        <f aca="false">G294*2</f>
        <v>9454</v>
      </c>
      <c r="I294" s="39" t="str">
        <f aca="false">A294&amp;"|"&amp;B294&amp;"|"&amp;D294&amp;"|"&amp;E294&amp;F294</f>
        <v>auto|Tulsa|scenario A (age 16)|male</v>
      </c>
      <c r="J294" s="34" t="n">
        <f aca="false" t="array" ref="J294:J294">MEDIAN(IF($I$4:$I$1803=I294,$H$4:$H$1803))</f>
        <v>8754</v>
      </c>
      <c r="K294" s="59" t="n">
        <f aca="false">H294/J294</f>
        <v>1.07996344528216</v>
      </c>
    </row>
    <row r="295" customFormat="false" ht="15" hidden="false" customHeight="false" outlineLevel="0" collapsed="false">
      <c r="A295" s="39" t="s">
        <v>879</v>
      </c>
      <c r="B295" s="39" t="s">
        <v>908</v>
      </c>
      <c r="C295" s="39" t="s">
        <v>897</v>
      </c>
      <c r="D295" s="39" t="s">
        <v>882</v>
      </c>
      <c r="E295" s="39" t="s">
        <v>884</v>
      </c>
      <c r="F295" s="39"/>
      <c r="G295" s="58" t="n">
        <v>4197</v>
      </c>
      <c r="H295" s="34" t="n">
        <f aca="false">G295*2</f>
        <v>8394</v>
      </c>
      <c r="I295" s="39" t="str">
        <f aca="false">A295&amp;"|"&amp;B295&amp;"|"&amp;D295&amp;"|"&amp;E295&amp;F295</f>
        <v>auto|Tulsa|scenario A (age 16)|female</v>
      </c>
      <c r="J295" s="34" t="n">
        <f aca="false" t="array" ref="J295:J295">MEDIAN(IF($I$4:$I$1803=I295,$H$4:$H$1803))</f>
        <v>7301</v>
      </c>
      <c r="K295" s="59" t="n">
        <f aca="false">H295/J295</f>
        <v>1.14970551979181</v>
      </c>
    </row>
    <row r="296" customFormat="false" ht="15" hidden="false" customHeight="false" outlineLevel="0" collapsed="false">
      <c r="A296" s="39" t="s">
        <v>879</v>
      </c>
      <c r="B296" s="39" t="s">
        <v>908</v>
      </c>
      <c r="C296" s="39" t="s">
        <v>897</v>
      </c>
      <c r="D296" s="39" t="s">
        <v>885</v>
      </c>
      <c r="E296" s="39" t="s">
        <v>883</v>
      </c>
      <c r="F296" s="39"/>
      <c r="G296" s="58" t="n">
        <v>1752</v>
      </c>
      <c r="H296" s="34" t="n">
        <f aca="false">G296*2</f>
        <v>3504</v>
      </c>
      <c r="I296" s="39" t="str">
        <f aca="false">A296&amp;"|"&amp;B296&amp;"|"&amp;D296&amp;"|"&amp;E296&amp;F296</f>
        <v>auto|Tulsa|scenario B (age 21)|male</v>
      </c>
      <c r="J296" s="34" t="n">
        <f aca="false" t="array" ref="J296:J296">MEDIAN(IF($I$4:$I$1803=I296,$H$4:$H$1803))</f>
        <v>3712</v>
      </c>
      <c r="K296" s="59" t="n">
        <f aca="false">H296/J296</f>
        <v>0.943965517241379</v>
      </c>
    </row>
    <row r="297" customFormat="false" ht="15" hidden="false" customHeight="false" outlineLevel="0" collapsed="false">
      <c r="A297" s="39" t="s">
        <v>879</v>
      </c>
      <c r="B297" s="39" t="s">
        <v>908</v>
      </c>
      <c r="C297" s="39" t="s">
        <v>897</v>
      </c>
      <c r="D297" s="39" t="s">
        <v>885</v>
      </c>
      <c r="E297" s="39" t="s">
        <v>884</v>
      </c>
      <c r="F297" s="39"/>
      <c r="G297" s="58" t="n">
        <v>1509</v>
      </c>
      <c r="H297" s="34" t="n">
        <f aca="false">G297*2</f>
        <v>3018</v>
      </c>
      <c r="I297" s="39" t="str">
        <f aca="false">A297&amp;"|"&amp;B297&amp;"|"&amp;D297&amp;"|"&amp;E297&amp;F297</f>
        <v>auto|Tulsa|scenario B (age 21)|female</v>
      </c>
      <c r="J297" s="34" t="n">
        <f aca="false" t="array" ref="J297:J297">MEDIAN(IF($I$4:$I$1803=I297,$H$4:$H$1803))</f>
        <v>3230</v>
      </c>
      <c r="K297" s="59" t="n">
        <f aca="false">H297/J297</f>
        <v>0.934365325077399</v>
      </c>
    </row>
    <row r="298" customFormat="false" ht="15" hidden="false" customHeight="false" outlineLevel="0" collapsed="false">
      <c r="A298" s="39" t="s">
        <v>879</v>
      </c>
      <c r="B298" s="39" t="s">
        <v>908</v>
      </c>
      <c r="C298" s="39" t="s">
        <v>897</v>
      </c>
      <c r="D298" s="39" t="s">
        <v>886</v>
      </c>
      <c r="E298" s="39" t="s">
        <v>883</v>
      </c>
      <c r="F298" s="39"/>
      <c r="G298" s="58" t="n">
        <v>962</v>
      </c>
      <c r="H298" s="34" t="n">
        <f aca="false">G298*2</f>
        <v>1924</v>
      </c>
      <c r="I298" s="39" t="str">
        <f aca="false">A298&amp;"|"&amp;B298&amp;"|"&amp;D298&amp;"|"&amp;E298&amp;F298</f>
        <v>auto|Tulsa|scenario C (age 36)|male</v>
      </c>
      <c r="J298" s="34" t="n">
        <f aca="false" t="array" ref="J298:J298">MEDIAN(IF($I$4:$I$1803=I298,$H$4:$H$1803))</f>
        <v>2040</v>
      </c>
      <c r="K298" s="59" t="n">
        <f aca="false">H298/J298</f>
        <v>0.943137254901961</v>
      </c>
    </row>
    <row r="299" customFormat="false" ht="15" hidden="false" customHeight="false" outlineLevel="0" collapsed="false">
      <c r="A299" s="39" t="s">
        <v>879</v>
      </c>
      <c r="B299" s="39" t="s">
        <v>908</v>
      </c>
      <c r="C299" s="39" t="s">
        <v>897</v>
      </c>
      <c r="D299" s="39" t="s">
        <v>886</v>
      </c>
      <c r="E299" s="39" t="s">
        <v>884</v>
      </c>
      <c r="F299" s="39"/>
      <c r="G299" s="58" t="n">
        <v>939</v>
      </c>
      <c r="H299" s="34" t="n">
        <f aca="false">G299*2</f>
        <v>1878</v>
      </c>
      <c r="I299" s="39" t="str">
        <f aca="false">A299&amp;"|"&amp;B299&amp;"|"&amp;D299&amp;"|"&amp;E299&amp;F299</f>
        <v>auto|Tulsa|scenario C (age 36)|female</v>
      </c>
      <c r="J299" s="34" t="n">
        <f aca="false" t="array" ref="J299:J299">MEDIAN(IF($I$4:$I$1803=I299,$H$4:$H$1803))</f>
        <v>1976</v>
      </c>
      <c r="K299" s="59" t="n">
        <f aca="false">H299/J299</f>
        <v>0.950404858299595</v>
      </c>
    </row>
    <row r="300" customFormat="false" ht="15" hidden="false" customHeight="false" outlineLevel="0" collapsed="false">
      <c r="A300" s="39" t="s">
        <v>879</v>
      </c>
      <c r="B300" s="39" t="s">
        <v>908</v>
      </c>
      <c r="C300" s="39" t="s">
        <v>897</v>
      </c>
      <c r="D300" s="39" t="s">
        <v>887</v>
      </c>
      <c r="E300" s="39" t="s">
        <v>883</v>
      </c>
      <c r="F300" s="39"/>
      <c r="G300" s="58" t="n">
        <v>814</v>
      </c>
      <c r="H300" s="34" t="n">
        <f aca="false">G300*2</f>
        <v>1628</v>
      </c>
      <c r="I300" s="39" t="str">
        <f aca="false">A300&amp;"|"&amp;B300&amp;"|"&amp;D300&amp;"|"&amp;E300&amp;F300</f>
        <v>auto|Tulsa|scenario D (age 55)|male</v>
      </c>
      <c r="J300" s="34" t="n">
        <f aca="false" t="array" ref="J300:J300">MEDIAN(IF($I$4:$I$1803=I300,$H$4:$H$1803))</f>
        <v>1765</v>
      </c>
      <c r="K300" s="59" t="n">
        <f aca="false">H300/J300</f>
        <v>0.922379603399434</v>
      </c>
    </row>
    <row r="301" customFormat="false" ht="15" hidden="false" customHeight="false" outlineLevel="0" collapsed="false">
      <c r="A301" s="39" t="s">
        <v>879</v>
      </c>
      <c r="B301" s="39" t="s">
        <v>908</v>
      </c>
      <c r="C301" s="39" t="s">
        <v>897</v>
      </c>
      <c r="D301" s="39" t="s">
        <v>887</v>
      </c>
      <c r="E301" s="39" t="s">
        <v>884</v>
      </c>
      <c r="F301" s="39"/>
      <c r="G301" s="58" t="n">
        <v>752</v>
      </c>
      <c r="H301" s="34" t="n">
        <f aca="false">G301*2</f>
        <v>1504</v>
      </c>
      <c r="I301" s="39" t="str">
        <f aca="false">A301&amp;"|"&amp;B301&amp;"|"&amp;D301&amp;"|"&amp;E301&amp;F301</f>
        <v>auto|Tulsa|scenario D (age 55)|female</v>
      </c>
      <c r="J301" s="34" t="n">
        <f aca="false" t="array" ref="J301:J301">MEDIAN(IF($I$4:$I$1803=I301,$H$4:$H$1803))</f>
        <v>1781</v>
      </c>
      <c r="K301" s="59" t="n">
        <f aca="false">H301/J301</f>
        <v>0.844469399213925</v>
      </c>
    </row>
    <row r="302" customFormat="false" ht="15" hidden="false" customHeight="false" outlineLevel="0" collapsed="false">
      <c r="A302" s="39" t="s">
        <v>879</v>
      </c>
      <c r="B302" s="39" t="s">
        <v>908</v>
      </c>
      <c r="C302" s="39" t="s">
        <v>897</v>
      </c>
      <c r="D302" s="39" t="s">
        <v>888</v>
      </c>
      <c r="E302" s="39" t="s">
        <v>883</v>
      </c>
      <c r="F302" s="39"/>
      <c r="G302" s="58" t="n">
        <v>820</v>
      </c>
      <c r="H302" s="34" t="n">
        <f aca="false">G302*2</f>
        <v>1640</v>
      </c>
      <c r="I302" s="39" t="str">
        <f aca="false">A302&amp;"|"&amp;B302&amp;"|"&amp;D302&amp;"|"&amp;E302&amp;F302</f>
        <v>auto|Tulsa|scenario E (age 70)|male</v>
      </c>
      <c r="J302" s="34" t="n">
        <f aca="false" t="array" ref="J302:J302">MEDIAN(IF($I$4:$I$1803=I302,$H$4:$H$1803))</f>
        <v>1676</v>
      </c>
      <c r="K302" s="59" t="n">
        <f aca="false">H302/J302</f>
        <v>0.978520286396181</v>
      </c>
    </row>
    <row r="303" customFormat="false" ht="15" hidden="false" customHeight="false" outlineLevel="0" collapsed="false">
      <c r="A303" s="39" t="s">
        <v>879</v>
      </c>
      <c r="B303" s="39" t="s">
        <v>908</v>
      </c>
      <c r="C303" s="39" t="s">
        <v>897</v>
      </c>
      <c r="D303" s="39" t="s">
        <v>888</v>
      </c>
      <c r="E303" s="39" t="s">
        <v>884</v>
      </c>
      <c r="F303" s="39"/>
      <c r="G303" s="58" t="n">
        <v>777</v>
      </c>
      <c r="H303" s="34" t="n">
        <f aca="false">G303*2</f>
        <v>1554</v>
      </c>
      <c r="I303" s="39" t="str">
        <f aca="false">A303&amp;"|"&amp;B303&amp;"|"&amp;D303&amp;"|"&amp;E303&amp;F303</f>
        <v>auto|Tulsa|scenario E (age 70)|female</v>
      </c>
      <c r="J303" s="34" t="n">
        <f aca="false" t="array" ref="J303:J303">MEDIAN(IF($I$4:$I$1803=I303,$H$4:$H$1803))</f>
        <v>1677</v>
      </c>
      <c r="K303" s="59" t="n">
        <f aca="false">H303/J303</f>
        <v>0.926654740608229</v>
      </c>
    </row>
    <row r="304" customFormat="false" ht="15" hidden="false" customHeight="false" outlineLevel="0" collapsed="false">
      <c r="A304" s="39" t="s">
        <v>879</v>
      </c>
      <c r="B304" s="39" t="s">
        <v>908</v>
      </c>
      <c r="C304" s="39" t="s">
        <v>898</v>
      </c>
      <c r="D304" s="39" t="s">
        <v>882</v>
      </c>
      <c r="E304" s="39" t="s">
        <v>883</v>
      </c>
      <c r="F304" s="39"/>
      <c r="G304" s="58" t="n">
        <v>5078</v>
      </c>
      <c r="H304" s="34" t="n">
        <f aca="false">G304*2</f>
        <v>10156</v>
      </c>
      <c r="I304" s="39" t="str">
        <f aca="false">A304&amp;"|"&amp;B304&amp;"|"&amp;D304&amp;"|"&amp;E304&amp;F304</f>
        <v>auto|Tulsa|scenario A (age 16)|male</v>
      </c>
      <c r="J304" s="34" t="n">
        <f aca="false" t="array" ref="J304:J304">MEDIAN(IF($I$4:$I$1803=I304,$H$4:$H$1803))</f>
        <v>8754</v>
      </c>
      <c r="K304" s="59" t="n">
        <f aca="false">H304/J304</f>
        <v>1.16015535755083</v>
      </c>
    </row>
    <row r="305" customFormat="false" ht="15" hidden="false" customHeight="false" outlineLevel="0" collapsed="false">
      <c r="A305" s="39" t="s">
        <v>879</v>
      </c>
      <c r="B305" s="39" t="s">
        <v>908</v>
      </c>
      <c r="C305" s="39" t="s">
        <v>898</v>
      </c>
      <c r="D305" s="39" t="s">
        <v>882</v>
      </c>
      <c r="E305" s="39" t="s">
        <v>884</v>
      </c>
      <c r="F305" s="39"/>
      <c r="G305" s="58" t="n">
        <v>4431</v>
      </c>
      <c r="H305" s="34" t="n">
        <f aca="false">G305*2</f>
        <v>8862</v>
      </c>
      <c r="I305" s="39" t="str">
        <f aca="false">A305&amp;"|"&amp;B305&amp;"|"&amp;D305&amp;"|"&amp;E305&amp;F305</f>
        <v>auto|Tulsa|scenario A (age 16)|female</v>
      </c>
      <c r="J305" s="34" t="n">
        <f aca="false" t="array" ref="J305:J305">MEDIAN(IF($I$4:$I$1803=I305,$H$4:$H$1803))</f>
        <v>7301</v>
      </c>
      <c r="K305" s="59" t="n">
        <f aca="false">H305/J305</f>
        <v>1.21380632790029</v>
      </c>
    </row>
    <row r="306" customFormat="false" ht="15" hidden="false" customHeight="false" outlineLevel="0" collapsed="false">
      <c r="A306" s="39" t="s">
        <v>879</v>
      </c>
      <c r="B306" s="39" t="s">
        <v>908</v>
      </c>
      <c r="C306" s="39" t="s">
        <v>898</v>
      </c>
      <c r="D306" s="39" t="s">
        <v>885</v>
      </c>
      <c r="E306" s="39" t="s">
        <v>883</v>
      </c>
      <c r="F306" s="39"/>
      <c r="G306" s="58" t="n">
        <v>1777</v>
      </c>
      <c r="H306" s="34" t="n">
        <f aca="false">G306*2</f>
        <v>3554</v>
      </c>
      <c r="I306" s="39" t="str">
        <f aca="false">A306&amp;"|"&amp;B306&amp;"|"&amp;D306&amp;"|"&amp;E306&amp;F306</f>
        <v>auto|Tulsa|scenario B (age 21)|male</v>
      </c>
      <c r="J306" s="34" t="n">
        <f aca="false" t="array" ref="J306:J306">MEDIAN(IF($I$4:$I$1803=I306,$H$4:$H$1803))</f>
        <v>3712</v>
      </c>
      <c r="K306" s="59" t="n">
        <f aca="false">H306/J306</f>
        <v>0.957435344827586</v>
      </c>
    </row>
    <row r="307" customFormat="false" ht="15" hidden="false" customHeight="false" outlineLevel="0" collapsed="false">
      <c r="A307" s="39" t="s">
        <v>879</v>
      </c>
      <c r="B307" s="39" t="s">
        <v>908</v>
      </c>
      <c r="C307" s="39" t="s">
        <v>898</v>
      </c>
      <c r="D307" s="39" t="s">
        <v>885</v>
      </c>
      <c r="E307" s="39" t="s">
        <v>884</v>
      </c>
      <c r="F307" s="39"/>
      <c r="G307" s="58" t="n">
        <v>1429</v>
      </c>
      <c r="H307" s="34" t="n">
        <f aca="false">G307*2</f>
        <v>2858</v>
      </c>
      <c r="I307" s="39" t="str">
        <f aca="false">A307&amp;"|"&amp;B307&amp;"|"&amp;D307&amp;"|"&amp;E307&amp;F307</f>
        <v>auto|Tulsa|scenario B (age 21)|female</v>
      </c>
      <c r="J307" s="34" t="n">
        <f aca="false" t="array" ref="J307:J307">MEDIAN(IF($I$4:$I$1803=I307,$H$4:$H$1803))</f>
        <v>3230</v>
      </c>
      <c r="K307" s="59" t="n">
        <f aca="false">H307/J307</f>
        <v>0.884829721362229</v>
      </c>
    </row>
    <row r="308" customFormat="false" ht="15" hidden="false" customHeight="false" outlineLevel="0" collapsed="false">
      <c r="A308" s="39" t="s">
        <v>879</v>
      </c>
      <c r="B308" s="39" t="s">
        <v>908</v>
      </c>
      <c r="C308" s="39" t="s">
        <v>898</v>
      </c>
      <c r="D308" s="39" t="s">
        <v>886</v>
      </c>
      <c r="E308" s="39" t="s">
        <v>883</v>
      </c>
      <c r="F308" s="39"/>
      <c r="G308" s="58" t="n">
        <v>1020</v>
      </c>
      <c r="H308" s="34" t="n">
        <f aca="false">G308*2</f>
        <v>2040</v>
      </c>
      <c r="I308" s="39" t="str">
        <f aca="false">A308&amp;"|"&amp;B308&amp;"|"&amp;D308&amp;"|"&amp;E308&amp;F308</f>
        <v>auto|Tulsa|scenario C (age 36)|male</v>
      </c>
      <c r="J308" s="34" t="n">
        <f aca="false" t="array" ref="J308:J308">MEDIAN(IF($I$4:$I$1803=I308,$H$4:$H$1803))</f>
        <v>2040</v>
      </c>
      <c r="K308" s="59" t="n">
        <f aca="false">H308/J308</f>
        <v>1</v>
      </c>
    </row>
    <row r="309" customFormat="false" ht="15" hidden="false" customHeight="false" outlineLevel="0" collapsed="false">
      <c r="A309" s="39" t="s">
        <v>879</v>
      </c>
      <c r="B309" s="39" t="s">
        <v>908</v>
      </c>
      <c r="C309" s="39" t="s">
        <v>898</v>
      </c>
      <c r="D309" s="39" t="s">
        <v>886</v>
      </c>
      <c r="E309" s="39" t="s">
        <v>884</v>
      </c>
      <c r="F309" s="39"/>
      <c r="G309" s="58" t="n">
        <v>921</v>
      </c>
      <c r="H309" s="34" t="n">
        <f aca="false">G309*2</f>
        <v>1842</v>
      </c>
      <c r="I309" s="39" t="str">
        <f aca="false">A309&amp;"|"&amp;B309&amp;"|"&amp;D309&amp;"|"&amp;E309&amp;F309</f>
        <v>auto|Tulsa|scenario C (age 36)|female</v>
      </c>
      <c r="J309" s="34" t="n">
        <f aca="false" t="array" ref="J309:J309">MEDIAN(IF($I$4:$I$1803=I309,$H$4:$H$1803))</f>
        <v>1976</v>
      </c>
      <c r="K309" s="59" t="n">
        <f aca="false">H309/J309</f>
        <v>0.932186234817814</v>
      </c>
    </row>
    <row r="310" customFormat="false" ht="15" hidden="false" customHeight="false" outlineLevel="0" collapsed="false">
      <c r="A310" s="39" t="s">
        <v>879</v>
      </c>
      <c r="B310" s="39" t="s">
        <v>908</v>
      </c>
      <c r="C310" s="39" t="s">
        <v>898</v>
      </c>
      <c r="D310" s="39" t="s">
        <v>887</v>
      </c>
      <c r="E310" s="39" t="s">
        <v>883</v>
      </c>
      <c r="F310" s="39"/>
      <c r="G310" s="58" t="n">
        <v>749</v>
      </c>
      <c r="H310" s="34" t="n">
        <f aca="false">G310*2</f>
        <v>1498</v>
      </c>
      <c r="I310" s="39" t="str">
        <f aca="false">A310&amp;"|"&amp;B310&amp;"|"&amp;D310&amp;"|"&amp;E310&amp;F310</f>
        <v>auto|Tulsa|scenario D (age 55)|male</v>
      </c>
      <c r="J310" s="34" t="n">
        <f aca="false" t="array" ref="J310:J310">MEDIAN(IF($I$4:$I$1803=I310,$H$4:$H$1803))</f>
        <v>1765</v>
      </c>
      <c r="K310" s="59" t="n">
        <f aca="false">H310/J310</f>
        <v>0.848725212464589</v>
      </c>
    </row>
    <row r="311" customFormat="false" ht="15" hidden="false" customHeight="false" outlineLevel="0" collapsed="false">
      <c r="A311" s="39" t="s">
        <v>879</v>
      </c>
      <c r="B311" s="39" t="s">
        <v>908</v>
      </c>
      <c r="C311" s="39" t="s">
        <v>898</v>
      </c>
      <c r="D311" s="39" t="s">
        <v>887</v>
      </c>
      <c r="E311" s="39" t="s">
        <v>884</v>
      </c>
      <c r="F311" s="39"/>
      <c r="G311" s="58" t="n">
        <v>679</v>
      </c>
      <c r="H311" s="34" t="n">
        <f aca="false">G311*2</f>
        <v>1358</v>
      </c>
      <c r="I311" s="39" t="str">
        <f aca="false">A311&amp;"|"&amp;B311&amp;"|"&amp;D311&amp;"|"&amp;E311&amp;F311</f>
        <v>auto|Tulsa|scenario D (age 55)|female</v>
      </c>
      <c r="J311" s="34" t="n">
        <f aca="false" t="array" ref="J311:J311">MEDIAN(IF($I$4:$I$1803=I311,$H$4:$H$1803))</f>
        <v>1781</v>
      </c>
      <c r="K311" s="59" t="n">
        <f aca="false">H311/J311</f>
        <v>0.762492981471084</v>
      </c>
    </row>
    <row r="312" customFormat="false" ht="15" hidden="false" customHeight="false" outlineLevel="0" collapsed="false">
      <c r="A312" s="39" t="s">
        <v>879</v>
      </c>
      <c r="B312" s="39" t="s">
        <v>908</v>
      </c>
      <c r="C312" s="39" t="s">
        <v>898</v>
      </c>
      <c r="D312" s="39" t="s">
        <v>888</v>
      </c>
      <c r="E312" s="39" t="s">
        <v>883</v>
      </c>
      <c r="F312" s="39"/>
      <c r="G312" s="58" t="n">
        <v>743</v>
      </c>
      <c r="H312" s="34" t="n">
        <f aca="false">G312*2</f>
        <v>1486</v>
      </c>
      <c r="I312" s="39" t="str">
        <f aca="false">A312&amp;"|"&amp;B312&amp;"|"&amp;D312&amp;"|"&amp;E312&amp;F312</f>
        <v>auto|Tulsa|scenario E (age 70)|male</v>
      </c>
      <c r="J312" s="34" t="n">
        <f aca="false" t="array" ref="J312:J312">MEDIAN(IF($I$4:$I$1803=I312,$H$4:$H$1803))</f>
        <v>1676</v>
      </c>
      <c r="K312" s="59" t="n">
        <f aca="false">H312/J312</f>
        <v>0.886634844868735</v>
      </c>
    </row>
    <row r="313" customFormat="false" ht="15" hidden="false" customHeight="false" outlineLevel="0" collapsed="false">
      <c r="A313" s="39" t="s">
        <v>879</v>
      </c>
      <c r="B313" s="39" t="s">
        <v>908</v>
      </c>
      <c r="C313" s="39" t="s">
        <v>898</v>
      </c>
      <c r="D313" s="39" t="s">
        <v>888</v>
      </c>
      <c r="E313" s="39" t="s">
        <v>884</v>
      </c>
      <c r="F313" s="39"/>
      <c r="G313" s="58" t="n">
        <v>671</v>
      </c>
      <c r="H313" s="34" t="n">
        <f aca="false">G313*2</f>
        <v>1342</v>
      </c>
      <c r="I313" s="39" t="str">
        <f aca="false">A313&amp;"|"&amp;B313&amp;"|"&amp;D313&amp;"|"&amp;E313&amp;F313</f>
        <v>auto|Tulsa|scenario E (age 70)|female</v>
      </c>
      <c r="J313" s="34" t="n">
        <f aca="false" t="array" ref="J313:J313">MEDIAN(IF($I$4:$I$1803=I313,$H$4:$H$1803))</f>
        <v>1677</v>
      </c>
      <c r="K313" s="59" t="n">
        <f aca="false">H313/J313</f>
        <v>0.800238521168754</v>
      </c>
    </row>
    <row r="314" customFormat="false" ht="15" hidden="false" customHeight="false" outlineLevel="0" collapsed="false">
      <c r="A314" s="39" t="s">
        <v>879</v>
      </c>
      <c r="B314" s="39" t="s">
        <v>908</v>
      </c>
      <c r="C314" s="39" t="s">
        <v>899</v>
      </c>
      <c r="D314" s="39" t="s">
        <v>882</v>
      </c>
      <c r="E314" s="39" t="s">
        <v>883</v>
      </c>
      <c r="F314" s="39"/>
      <c r="G314" s="58" t="n">
        <v>2195</v>
      </c>
      <c r="H314" s="34" t="n">
        <f aca="false">G314*2</f>
        <v>4390</v>
      </c>
      <c r="I314" s="39" t="str">
        <f aca="false">A314&amp;"|"&amp;B314&amp;"|"&amp;D314&amp;"|"&amp;E314&amp;F314</f>
        <v>auto|Tulsa|scenario A (age 16)|male</v>
      </c>
      <c r="J314" s="34" t="n">
        <f aca="false" t="array" ref="J314:J314">MEDIAN(IF($I$4:$I$1803=I314,$H$4:$H$1803))</f>
        <v>8754</v>
      </c>
      <c r="K314" s="59" t="n">
        <f aca="false">H314/J314</f>
        <v>0.501485035412383</v>
      </c>
    </row>
    <row r="315" customFormat="false" ht="15" hidden="false" customHeight="false" outlineLevel="0" collapsed="false">
      <c r="A315" s="39" t="s">
        <v>879</v>
      </c>
      <c r="B315" s="39" t="s">
        <v>908</v>
      </c>
      <c r="C315" s="39" t="s">
        <v>899</v>
      </c>
      <c r="D315" s="39" t="s">
        <v>882</v>
      </c>
      <c r="E315" s="39" t="s">
        <v>884</v>
      </c>
      <c r="F315" s="39"/>
      <c r="G315" s="58" t="n">
        <v>2012</v>
      </c>
      <c r="H315" s="34" t="n">
        <f aca="false">G315*2</f>
        <v>4024</v>
      </c>
      <c r="I315" s="39" t="str">
        <f aca="false">A315&amp;"|"&amp;B315&amp;"|"&amp;D315&amp;"|"&amp;E315&amp;F315</f>
        <v>auto|Tulsa|scenario A (age 16)|female</v>
      </c>
      <c r="J315" s="34" t="n">
        <f aca="false" t="array" ref="J315:J315">MEDIAN(IF($I$4:$I$1803=I315,$H$4:$H$1803))</f>
        <v>7301</v>
      </c>
      <c r="K315" s="59" t="n">
        <f aca="false">H315/J315</f>
        <v>0.551157375701959</v>
      </c>
    </row>
    <row r="316" customFormat="false" ht="15" hidden="false" customHeight="false" outlineLevel="0" collapsed="false">
      <c r="A316" s="39" t="s">
        <v>879</v>
      </c>
      <c r="B316" s="39" t="s">
        <v>908</v>
      </c>
      <c r="C316" s="39" t="s">
        <v>899</v>
      </c>
      <c r="D316" s="39" t="s">
        <v>885</v>
      </c>
      <c r="E316" s="39" t="s">
        <v>883</v>
      </c>
      <c r="F316" s="39"/>
      <c r="G316" s="58" t="n">
        <v>963</v>
      </c>
      <c r="H316" s="34" t="n">
        <f aca="false">G316*2</f>
        <v>1926</v>
      </c>
      <c r="I316" s="39" t="str">
        <f aca="false">A316&amp;"|"&amp;B316&amp;"|"&amp;D316&amp;"|"&amp;E316&amp;F316</f>
        <v>auto|Tulsa|scenario B (age 21)|male</v>
      </c>
      <c r="J316" s="34" t="n">
        <f aca="false" t="array" ref="J316:J316">MEDIAN(IF($I$4:$I$1803=I316,$H$4:$H$1803))</f>
        <v>3712</v>
      </c>
      <c r="K316" s="59" t="n">
        <f aca="false">H316/J316</f>
        <v>0.51885775862069</v>
      </c>
    </row>
    <row r="317" customFormat="false" ht="15" hidden="false" customHeight="false" outlineLevel="0" collapsed="false">
      <c r="A317" s="39" t="s">
        <v>879</v>
      </c>
      <c r="B317" s="39" t="s">
        <v>908</v>
      </c>
      <c r="C317" s="39" t="s">
        <v>899</v>
      </c>
      <c r="D317" s="39" t="s">
        <v>885</v>
      </c>
      <c r="E317" s="39" t="s">
        <v>884</v>
      </c>
      <c r="F317" s="39"/>
      <c r="G317" s="58" t="n">
        <v>908</v>
      </c>
      <c r="H317" s="34" t="n">
        <f aca="false">G317*2</f>
        <v>1816</v>
      </c>
      <c r="I317" s="39" t="str">
        <f aca="false">A317&amp;"|"&amp;B317&amp;"|"&amp;D317&amp;"|"&amp;E317&amp;F317</f>
        <v>auto|Tulsa|scenario B (age 21)|female</v>
      </c>
      <c r="J317" s="34" t="n">
        <f aca="false" t="array" ref="J317:J317">MEDIAN(IF($I$4:$I$1803=I317,$H$4:$H$1803))</f>
        <v>3230</v>
      </c>
      <c r="K317" s="59" t="n">
        <f aca="false">H317/J317</f>
        <v>0.562229102167183</v>
      </c>
    </row>
    <row r="318" customFormat="false" ht="15" hidden="false" customHeight="false" outlineLevel="0" collapsed="false">
      <c r="A318" s="39" t="s">
        <v>879</v>
      </c>
      <c r="B318" s="39" t="s">
        <v>908</v>
      </c>
      <c r="C318" s="39" t="s">
        <v>899</v>
      </c>
      <c r="D318" s="39" t="s">
        <v>886</v>
      </c>
      <c r="E318" s="39" t="s">
        <v>883</v>
      </c>
      <c r="F318" s="39"/>
      <c r="G318" s="58" t="n">
        <v>527</v>
      </c>
      <c r="H318" s="34" t="n">
        <f aca="false">G318*2</f>
        <v>1054</v>
      </c>
      <c r="I318" s="39" t="str">
        <f aca="false">A318&amp;"|"&amp;B318&amp;"|"&amp;D318&amp;"|"&amp;E318&amp;F318</f>
        <v>auto|Tulsa|scenario C (age 36)|male</v>
      </c>
      <c r="J318" s="34" t="n">
        <f aca="false" t="array" ref="J318:J318">MEDIAN(IF($I$4:$I$1803=I318,$H$4:$H$1803))</f>
        <v>2040</v>
      </c>
      <c r="K318" s="59" t="n">
        <f aca="false">H318/J318</f>
        <v>0.516666666666667</v>
      </c>
    </row>
    <row r="319" customFormat="false" ht="15" hidden="false" customHeight="false" outlineLevel="0" collapsed="false">
      <c r="A319" s="39" t="s">
        <v>879</v>
      </c>
      <c r="B319" s="39" t="s">
        <v>908</v>
      </c>
      <c r="C319" s="39" t="s">
        <v>899</v>
      </c>
      <c r="D319" s="39" t="s">
        <v>886</v>
      </c>
      <c r="E319" s="39" t="s">
        <v>884</v>
      </c>
      <c r="F319" s="39"/>
      <c r="G319" s="58" t="n">
        <v>495</v>
      </c>
      <c r="H319" s="34" t="n">
        <f aca="false">G319*2</f>
        <v>990</v>
      </c>
      <c r="I319" s="39" t="str">
        <f aca="false">A319&amp;"|"&amp;B319&amp;"|"&amp;D319&amp;"|"&amp;E319&amp;F319</f>
        <v>auto|Tulsa|scenario C (age 36)|female</v>
      </c>
      <c r="J319" s="34" t="n">
        <f aca="false" t="array" ref="J319:J319">MEDIAN(IF($I$4:$I$1803=I319,$H$4:$H$1803))</f>
        <v>1976</v>
      </c>
      <c r="K319" s="59" t="n">
        <f aca="false">H319/J319</f>
        <v>0.501012145748988</v>
      </c>
    </row>
    <row r="320" customFormat="false" ht="15" hidden="false" customHeight="false" outlineLevel="0" collapsed="false">
      <c r="A320" s="39" t="s">
        <v>879</v>
      </c>
      <c r="B320" s="39" t="s">
        <v>908</v>
      </c>
      <c r="C320" s="39" t="s">
        <v>899</v>
      </c>
      <c r="D320" s="39" t="s">
        <v>887</v>
      </c>
      <c r="E320" s="39" t="s">
        <v>883</v>
      </c>
      <c r="F320" s="39"/>
      <c r="G320" s="58" t="n">
        <v>539</v>
      </c>
      <c r="H320" s="34" t="n">
        <f aca="false">G320*2</f>
        <v>1078</v>
      </c>
      <c r="I320" s="39" t="str">
        <f aca="false">A320&amp;"|"&amp;B320&amp;"|"&amp;D320&amp;"|"&amp;E320&amp;F320</f>
        <v>auto|Tulsa|scenario D (age 55)|male</v>
      </c>
      <c r="J320" s="34" t="n">
        <f aca="false" t="array" ref="J320:J320">MEDIAN(IF($I$4:$I$1803=I320,$H$4:$H$1803))</f>
        <v>1765</v>
      </c>
      <c r="K320" s="59" t="n">
        <f aca="false">H320/J320</f>
        <v>0.610764872521246</v>
      </c>
    </row>
    <row r="321" customFormat="false" ht="15" hidden="false" customHeight="false" outlineLevel="0" collapsed="false">
      <c r="A321" s="39" t="s">
        <v>879</v>
      </c>
      <c r="B321" s="39" t="s">
        <v>908</v>
      </c>
      <c r="C321" s="39" t="s">
        <v>899</v>
      </c>
      <c r="D321" s="39" t="s">
        <v>887</v>
      </c>
      <c r="E321" s="39" t="s">
        <v>884</v>
      </c>
      <c r="F321" s="39"/>
      <c r="G321" s="58" t="n">
        <v>504</v>
      </c>
      <c r="H321" s="34" t="n">
        <f aca="false">G321*2</f>
        <v>1008</v>
      </c>
      <c r="I321" s="39" t="str">
        <f aca="false">A321&amp;"|"&amp;B321&amp;"|"&amp;D321&amp;"|"&amp;E321&amp;F321</f>
        <v>auto|Tulsa|scenario D (age 55)|female</v>
      </c>
      <c r="J321" s="34" t="n">
        <f aca="false" t="array" ref="J321:J321">MEDIAN(IF($I$4:$I$1803=I321,$H$4:$H$1803))</f>
        <v>1781</v>
      </c>
      <c r="K321" s="59" t="n">
        <f aca="false">H321/J321</f>
        <v>0.565974171813588</v>
      </c>
    </row>
    <row r="322" customFormat="false" ht="15" hidden="false" customHeight="false" outlineLevel="0" collapsed="false">
      <c r="A322" s="39" t="s">
        <v>879</v>
      </c>
      <c r="B322" s="39" t="s">
        <v>908</v>
      </c>
      <c r="C322" s="39" t="s">
        <v>899</v>
      </c>
      <c r="D322" s="39" t="s">
        <v>888</v>
      </c>
      <c r="E322" s="39" t="s">
        <v>883</v>
      </c>
      <c r="F322" s="39"/>
      <c r="G322" s="58" t="n">
        <v>549</v>
      </c>
      <c r="H322" s="34" t="n">
        <f aca="false">G322*2</f>
        <v>1098</v>
      </c>
      <c r="I322" s="39" t="str">
        <f aca="false">A322&amp;"|"&amp;B322&amp;"|"&amp;D322&amp;"|"&amp;E322&amp;F322</f>
        <v>auto|Tulsa|scenario E (age 70)|male</v>
      </c>
      <c r="J322" s="34" t="n">
        <f aca="false" t="array" ref="J322:J322">MEDIAN(IF($I$4:$I$1803=I322,$H$4:$H$1803))</f>
        <v>1676</v>
      </c>
      <c r="K322" s="59" t="n">
        <f aca="false">H322/J322</f>
        <v>0.655131264916468</v>
      </c>
    </row>
    <row r="323" customFormat="false" ht="15" hidden="false" customHeight="false" outlineLevel="0" collapsed="false">
      <c r="A323" s="39" t="s">
        <v>879</v>
      </c>
      <c r="B323" s="39" t="s">
        <v>908</v>
      </c>
      <c r="C323" s="39" t="s">
        <v>899</v>
      </c>
      <c r="D323" s="39" t="s">
        <v>888</v>
      </c>
      <c r="E323" s="39" t="s">
        <v>884</v>
      </c>
      <c r="F323" s="39"/>
      <c r="G323" s="58" t="n">
        <v>493</v>
      </c>
      <c r="H323" s="34" t="n">
        <f aca="false">G323*2</f>
        <v>986</v>
      </c>
      <c r="I323" s="39" t="str">
        <f aca="false">A323&amp;"|"&amp;B323&amp;"|"&amp;D323&amp;"|"&amp;E323&amp;F323</f>
        <v>auto|Tulsa|scenario E (age 70)|female</v>
      </c>
      <c r="J323" s="34" t="n">
        <f aca="false" t="array" ref="J323:J323">MEDIAN(IF($I$4:$I$1803=I323,$H$4:$H$1803))</f>
        <v>1677</v>
      </c>
      <c r="K323" s="59" t="n">
        <f aca="false">H323/J323</f>
        <v>0.587954680977937</v>
      </c>
    </row>
    <row r="324" customFormat="false" ht="15" hidden="false" customHeight="false" outlineLevel="0" collapsed="false">
      <c r="A324" s="39" t="s">
        <v>879</v>
      </c>
      <c r="B324" s="39" t="s">
        <v>908</v>
      </c>
      <c r="C324" s="39" t="s">
        <v>900</v>
      </c>
      <c r="D324" s="39" t="s">
        <v>882</v>
      </c>
      <c r="E324" s="39" t="s">
        <v>883</v>
      </c>
      <c r="F324" s="39"/>
      <c r="G324" s="58" t="n">
        <v>2474</v>
      </c>
      <c r="H324" s="34" t="n">
        <f aca="false">G324*2</f>
        <v>4948</v>
      </c>
      <c r="I324" s="39" t="str">
        <f aca="false">A324&amp;"|"&amp;B324&amp;"|"&amp;D324&amp;"|"&amp;E324&amp;F324</f>
        <v>auto|Tulsa|scenario A (age 16)|male</v>
      </c>
      <c r="J324" s="34" t="n">
        <f aca="false" t="array" ref="J324:J324">MEDIAN(IF($I$4:$I$1803=I324,$H$4:$H$1803))</f>
        <v>8754</v>
      </c>
      <c r="K324" s="59" t="n">
        <f aca="false">H324/J324</f>
        <v>0.565227324651588</v>
      </c>
    </row>
    <row r="325" customFormat="false" ht="15" hidden="false" customHeight="false" outlineLevel="0" collapsed="false">
      <c r="A325" s="39" t="s">
        <v>879</v>
      </c>
      <c r="B325" s="39" t="s">
        <v>908</v>
      </c>
      <c r="C325" s="39" t="s">
        <v>900</v>
      </c>
      <c r="D325" s="39" t="s">
        <v>882</v>
      </c>
      <c r="E325" s="39" t="s">
        <v>884</v>
      </c>
      <c r="F325" s="39"/>
      <c r="G325" s="58" t="n">
        <v>1812</v>
      </c>
      <c r="H325" s="34" t="n">
        <f aca="false">G325*2</f>
        <v>3624</v>
      </c>
      <c r="I325" s="39" t="str">
        <f aca="false">A325&amp;"|"&amp;B325&amp;"|"&amp;D325&amp;"|"&amp;E325&amp;F325</f>
        <v>auto|Tulsa|scenario A (age 16)|female</v>
      </c>
      <c r="J325" s="34" t="n">
        <f aca="false" t="array" ref="J325:J325">MEDIAN(IF($I$4:$I$1803=I325,$H$4:$H$1803))</f>
        <v>7301</v>
      </c>
      <c r="K325" s="59" t="n">
        <f aca="false">H325/J325</f>
        <v>0.496370360224627</v>
      </c>
    </row>
    <row r="326" customFormat="false" ht="15" hidden="false" customHeight="false" outlineLevel="0" collapsed="false">
      <c r="A326" s="39" t="s">
        <v>879</v>
      </c>
      <c r="B326" s="39" t="s">
        <v>908</v>
      </c>
      <c r="C326" s="39" t="s">
        <v>900</v>
      </c>
      <c r="D326" s="39" t="s">
        <v>885</v>
      </c>
      <c r="E326" s="39" t="s">
        <v>883</v>
      </c>
      <c r="F326" s="39"/>
      <c r="G326" s="58" t="n">
        <v>1620</v>
      </c>
      <c r="H326" s="34" t="n">
        <f aca="false">G326*2</f>
        <v>3240</v>
      </c>
      <c r="I326" s="39" t="str">
        <f aca="false">A326&amp;"|"&amp;B326&amp;"|"&amp;D326&amp;"|"&amp;E326&amp;F326</f>
        <v>auto|Tulsa|scenario B (age 21)|male</v>
      </c>
      <c r="J326" s="34" t="n">
        <f aca="false" t="array" ref="J326:J326">MEDIAN(IF($I$4:$I$1803=I326,$H$4:$H$1803))</f>
        <v>3712</v>
      </c>
      <c r="K326" s="59" t="n">
        <f aca="false">H326/J326</f>
        <v>0.872844827586207</v>
      </c>
    </row>
    <row r="327" customFormat="false" ht="15" hidden="false" customHeight="false" outlineLevel="0" collapsed="false">
      <c r="A327" s="39" t="s">
        <v>879</v>
      </c>
      <c r="B327" s="39" t="s">
        <v>908</v>
      </c>
      <c r="C327" s="39" t="s">
        <v>900</v>
      </c>
      <c r="D327" s="39" t="s">
        <v>885</v>
      </c>
      <c r="E327" s="39" t="s">
        <v>884</v>
      </c>
      <c r="F327" s="39"/>
      <c r="G327" s="58" t="n">
        <v>1326</v>
      </c>
      <c r="H327" s="34" t="n">
        <f aca="false">G327*2</f>
        <v>2652</v>
      </c>
      <c r="I327" s="39" t="str">
        <f aca="false">A327&amp;"|"&amp;B327&amp;"|"&amp;D327&amp;"|"&amp;E327&amp;F327</f>
        <v>auto|Tulsa|scenario B (age 21)|female</v>
      </c>
      <c r="J327" s="34" t="n">
        <f aca="false" t="array" ref="J327:J327">MEDIAN(IF($I$4:$I$1803=I327,$H$4:$H$1803))</f>
        <v>3230</v>
      </c>
      <c r="K327" s="59" t="n">
        <f aca="false">H327/J327</f>
        <v>0.821052631578947</v>
      </c>
    </row>
    <row r="328" customFormat="false" ht="15" hidden="false" customHeight="false" outlineLevel="0" collapsed="false">
      <c r="A328" s="39" t="s">
        <v>879</v>
      </c>
      <c r="B328" s="39" t="s">
        <v>908</v>
      </c>
      <c r="C328" s="39" t="s">
        <v>900</v>
      </c>
      <c r="D328" s="39" t="s">
        <v>886</v>
      </c>
      <c r="E328" s="39" t="s">
        <v>883</v>
      </c>
      <c r="F328" s="39"/>
      <c r="G328" s="58" t="n">
        <v>788</v>
      </c>
      <c r="H328" s="34" t="n">
        <f aca="false">G328*2</f>
        <v>1576</v>
      </c>
      <c r="I328" s="39" t="str">
        <f aca="false">A328&amp;"|"&amp;B328&amp;"|"&amp;D328&amp;"|"&amp;E328&amp;F328</f>
        <v>auto|Tulsa|scenario C (age 36)|male</v>
      </c>
      <c r="J328" s="34" t="n">
        <f aca="false" t="array" ref="J328:J328">MEDIAN(IF($I$4:$I$1803=I328,$H$4:$H$1803))</f>
        <v>2040</v>
      </c>
      <c r="K328" s="59" t="n">
        <f aca="false">H328/J328</f>
        <v>0.772549019607843</v>
      </c>
    </row>
    <row r="329" customFormat="false" ht="15" hidden="false" customHeight="false" outlineLevel="0" collapsed="false">
      <c r="A329" s="39" t="s">
        <v>879</v>
      </c>
      <c r="B329" s="39" t="s">
        <v>908</v>
      </c>
      <c r="C329" s="39" t="s">
        <v>900</v>
      </c>
      <c r="D329" s="39" t="s">
        <v>886</v>
      </c>
      <c r="E329" s="39" t="s">
        <v>884</v>
      </c>
      <c r="F329" s="39"/>
      <c r="G329" s="58" t="n">
        <v>783</v>
      </c>
      <c r="H329" s="34" t="n">
        <f aca="false">G329*2</f>
        <v>1566</v>
      </c>
      <c r="I329" s="39" t="str">
        <f aca="false">A329&amp;"|"&amp;B329&amp;"|"&amp;D329&amp;"|"&amp;E329&amp;F329</f>
        <v>auto|Tulsa|scenario C (age 36)|female</v>
      </c>
      <c r="J329" s="34" t="n">
        <f aca="false" t="array" ref="J329:J329">MEDIAN(IF($I$4:$I$1803=I329,$H$4:$H$1803))</f>
        <v>1976</v>
      </c>
      <c r="K329" s="59" t="n">
        <f aca="false">H329/J329</f>
        <v>0.79251012145749</v>
      </c>
    </row>
    <row r="330" customFormat="false" ht="15" hidden="false" customHeight="false" outlineLevel="0" collapsed="false">
      <c r="A330" s="39" t="s">
        <v>879</v>
      </c>
      <c r="B330" s="39" t="s">
        <v>908</v>
      </c>
      <c r="C330" s="39" t="s">
        <v>900</v>
      </c>
      <c r="D330" s="39" t="s">
        <v>887</v>
      </c>
      <c r="E330" s="39" t="s">
        <v>883</v>
      </c>
      <c r="F330" s="39"/>
      <c r="G330" s="58" t="n">
        <v>648</v>
      </c>
      <c r="H330" s="34" t="n">
        <f aca="false">G330*2</f>
        <v>1296</v>
      </c>
      <c r="I330" s="39" t="str">
        <f aca="false">A330&amp;"|"&amp;B330&amp;"|"&amp;D330&amp;"|"&amp;E330&amp;F330</f>
        <v>auto|Tulsa|scenario D (age 55)|male</v>
      </c>
      <c r="J330" s="34" t="n">
        <f aca="false" t="array" ref="J330:J330">MEDIAN(IF($I$4:$I$1803=I330,$H$4:$H$1803))</f>
        <v>1765</v>
      </c>
      <c r="K330" s="59" t="n">
        <f aca="false">H330/J330</f>
        <v>0.734277620396601</v>
      </c>
    </row>
    <row r="331" customFormat="false" ht="15" hidden="false" customHeight="false" outlineLevel="0" collapsed="false">
      <c r="A331" s="39" t="s">
        <v>879</v>
      </c>
      <c r="B331" s="39" t="s">
        <v>908</v>
      </c>
      <c r="C331" s="39" t="s">
        <v>900</v>
      </c>
      <c r="D331" s="39" t="s">
        <v>887</v>
      </c>
      <c r="E331" s="39" t="s">
        <v>884</v>
      </c>
      <c r="F331" s="39"/>
      <c r="G331" s="58" t="n">
        <v>613</v>
      </c>
      <c r="H331" s="34" t="n">
        <f aca="false">G331*2</f>
        <v>1226</v>
      </c>
      <c r="I331" s="39" t="str">
        <f aca="false">A331&amp;"|"&amp;B331&amp;"|"&amp;D331&amp;"|"&amp;E331&amp;F331</f>
        <v>auto|Tulsa|scenario D (age 55)|female</v>
      </c>
      <c r="J331" s="34" t="n">
        <f aca="false" t="array" ref="J331:J331">MEDIAN(IF($I$4:$I$1803=I331,$H$4:$H$1803))</f>
        <v>1781</v>
      </c>
      <c r="K331" s="59" t="n">
        <f aca="false">H331/J331</f>
        <v>0.688377316114542</v>
      </c>
    </row>
    <row r="332" customFormat="false" ht="15" hidden="false" customHeight="false" outlineLevel="0" collapsed="false">
      <c r="A332" s="39" t="s">
        <v>879</v>
      </c>
      <c r="B332" s="39" t="s">
        <v>908</v>
      </c>
      <c r="C332" s="39" t="s">
        <v>900</v>
      </c>
      <c r="D332" s="39" t="s">
        <v>888</v>
      </c>
      <c r="E332" s="39" t="s">
        <v>883</v>
      </c>
      <c r="F332" s="39"/>
      <c r="G332" s="58" t="n">
        <v>630</v>
      </c>
      <c r="H332" s="34" t="n">
        <f aca="false">G332*2</f>
        <v>1260</v>
      </c>
      <c r="I332" s="39" t="str">
        <f aca="false">A332&amp;"|"&amp;B332&amp;"|"&amp;D332&amp;"|"&amp;E332&amp;F332</f>
        <v>auto|Tulsa|scenario E (age 70)|male</v>
      </c>
      <c r="J332" s="34" t="n">
        <f aca="false" t="array" ref="J332:J332">MEDIAN(IF($I$4:$I$1803=I332,$H$4:$H$1803))</f>
        <v>1676</v>
      </c>
      <c r="K332" s="59" t="n">
        <f aca="false">H332/J332</f>
        <v>0.751789976133652</v>
      </c>
    </row>
    <row r="333" customFormat="false" ht="15" hidden="false" customHeight="false" outlineLevel="0" collapsed="false">
      <c r="A333" s="39" t="s">
        <v>879</v>
      </c>
      <c r="B333" s="39" t="s">
        <v>908</v>
      </c>
      <c r="C333" s="39" t="s">
        <v>900</v>
      </c>
      <c r="D333" s="39" t="s">
        <v>888</v>
      </c>
      <c r="E333" s="39" t="s">
        <v>884</v>
      </c>
      <c r="F333" s="39"/>
      <c r="G333" s="58" t="n">
        <v>603</v>
      </c>
      <c r="H333" s="34" t="n">
        <f aca="false">G333*2</f>
        <v>1206</v>
      </c>
      <c r="I333" s="39" t="str">
        <f aca="false">A333&amp;"|"&amp;B333&amp;"|"&amp;D333&amp;"|"&amp;E333&amp;F333</f>
        <v>auto|Tulsa|scenario E (age 70)|female</v>
      </c>
      <c r="J333" s="34" t="n">
        <f aca="false" t="array" ref="J333:J333">MEDIAN(IF($I$4:$I$1803=I333,$H$4:$H$1803))</f>
        <v>1677</v>
      </c>
      <c r="K333" s="59" t="n">
        <f aca="false">H333/J333</f>
        <v>0.719141323792487</v>
      </c>
    </row>
    <row r="334" customFormat="false" ht="15" hidden="false" customHeight="false" outlineLevel="0" collapsed="false">
      <c r="A334" s="39" t="s">
        <v>879</v>
      </c>
      <c r="B334" s="39" t="s">
        <v>908</v>
      </c>
      <c r="C334" s="39" t="s">
        <v>901</v>
      </c>
      <c r="D334" s="39" t="s">
        <v>882</v>
      </c>
      <c r="E334" s="39" t="s">
        <v>883</v>
      </c>
      <c r="F334" s="39"/>
      <c r="G334" s="58" t="n">
        <v>4919</v>
      </c>
      <c r="H334" s="34" t="n">
        <f aca="false">G334*2</f>
        <v>9838</v>
      </c>
      <c r="I334" s="39" t="str">
        <f aca="false">A334&amp;"|"&amp;B334&amp;"|"&amp;D334&amp;"|"&amp;E334&amp;F334</f>
        <v>auto|Tulsa|scenario A (age 16)|male</v>
      </c>
      <c r="J334" s="34" t="n">
        <f aca="false" t="array" ref="J334:J334">MEDIAN(IF($I$4:$I$1803=I334,$H$4:$H$1803))</f>
        <v>8754</v>
      </c>
      <c r="K334" s="59" t="n">
        <f aca="false">H334/J334</f>
        <v>1.12382910669408</v>
      </c>
    </row>
    <row r="335" customFormat="false" ht="15" hidden="false" customHeight="false" outlineLevel="0" collapsed="false">
      <c r="A335" s="39" t="s">
        <v>879</v>
      </c>
      <c r="B335" s="39" t="s">
        <v>908</v>
      </c>
      <c r="C335" s="39" t="s">
        <v>901</v>
      </c>
      <c r="D335" s="39" t="s">
        <v>882</v>
      </c>
      <c r="E335" s="39" t="s">
        <v>884</v>
      </c>
      <c r="F335" s="39"/>
      <c r="G335" s="58" t="n">
        <v>3841</v>
      </c>
      <c r="H335" s="34" t="n">
        <f aca="false">G335*2</f>
        <v>7682</v>
      </c>
      <c r="I335" s="39" t="str">
        <f aca="false">A335&amp;"|"&amp;B335&amp;"|"&amp;D335&amp;"|"&amp;E335&amp;F335</f>
        <v>auto|Tulsa|scenario A (age 16)|female</v>
      </c>
      <c r="J335" s="34" t="n">
        <f aca="false" t="array" ref="J335:J335">MEDIAN(IF($I$4:$I$1803=I335,$H$4:$H$1803))</f>
        <v>7301</v>
      </c>
      <c r="K335" s="59" t="n">
        <f aca="false">H335/J335</f>
        <v>1.05218463224216</v>
      </c>
    </row>
    <row r="336" customFormat="false" ht="15" hidden="false" customHeight="false" outlineLevel="0" collapsed="false">
      <c r="A336" s="39" t="s">
        <v>879</v>
      </c>
      <c r="B336" s="39" t="s">
        <v>908</v>
      </c>
      <c r="C336" s="39" t="s">
        <v>901</v>
      </c>
      <c r="D336" s="39" t="s">
        <v>885</v>
      </c>
      <c r="E336" s="39" t="s">
        <v>883</v>
      </c>
      <c r="F336" s="39"/>
      <c r="G336" s="58" t="n">
        <v>2123</v>
      </c>
      <c r="H336" s="34" t="n">
        <f aca="false">G336*2</f>
        <v>4246</v>
      </c>
      <c r="I336" s="39" t="str">
        <f aca="false">A336&amp;"|"&amp;B336&amp;"|"&amp;D336&amp;"|"&amp;E336&amp;F336</f>
        <v>auto|Tulsa|scenario B (age 21)|male</v>
      </c>
      <c r="J336" s="34" t="n">
        <f aca="false" t="array" ref="J336:J336">MEDIAN(IF($I$4:$I$1803=I336,$H$4:$H$1803))</f>
        <v>3712</v>
      </c>
      <c r="K336" s="59" t="n">
        <f aca="false">H336/J336</f>
        <v>1.14385775862069</v>
      </c>
    </row>
    <row r="337" customFormat="false" ht="15" hidden="false" customHeight="false" outlineLevel="0" collapsed="false">
      <c r="A337" s="39" t="s">
        <v>879</v>
      </c>
      <c r="B337" s="39" t="s">
        <v>908</v>
      </c>
      <c r="C337" s="39" t="s">
        <v>901</v>
      </c>
      <c r="D337" s="39" t="s">
        <v>885</v>
      </c>
      <c r="E337" s="39" t="s">
        <v>884</v>
      </c>
      <c r="F337" s="39"/>
      <c r="G337" s="58" t="n">
        <v>1794</v>
      </c>
      <c r="H337" s="34" t="n">
        <f aca="false">G337*2</f>
        <v>3588</v>
      </c>
      <c r="I337" s="39" t="str">
        <f aca="false">A337&amp;"|"&amp;B337&amp;"|"&amp;D337&amp;"|"&amp;E337&amp;F337</f>
        <v>auto|Tulsa|scenario B (age 21)|female</v>
      </c>
      <c r="J337" s="34" t="n">
        <f aca="false" t="array" ref="J337:J337">MEDIAN(IF($I$4:$I$1803=I337,$H$4:$H$1803))</f>
        <v>3230</v>
      </c>
      <c r="K337" s="59" t="n">
        <f aca="false">H337/J337</f>
        <v>1.11083591331269</v>
      </c>
    </row>
    <row r="338" customFormat="false" ht="15" hidden="false" customHeight="false" outlineLevel="0" collapsed="false">
      <c r="A338" s="39" t="s">
        <v>879</v>
      </c>
      <c r="B338" s="39" t="s">
        <v>908</v>
      </c>
      <c r="C338" s="39" t="s">
        <v>901</v>
      </c>
      <c r="D338" s="39" t="s">
        <v>886</v>
      </c>
      <c r="E338" s="39" t="s">
        <v>883</v>
      </c>
      <c r="F338" s="39"/>
      <c r="G338" s="58" t="n">
        <v>1356</v>
      </c>
      <c r="H338" s="34" t="n">
        <f aca="false">G338*2</f>
        <v>2712</v>
      </c>
      <c r="I338" s="39" t="str">
        <f aca="false">A338&amp;"|"&amp;B338&amp;"|"&amp;D338&amp;"|"&amp;E338&amp;F338</f>
        <v>auto|Tulsa|scenario C (age 36)|male</v>
      </c>
      <c r="J338" s="34" t="n">
        <f aca="false" t="array" ref="J338:J338">MEDIAN(IF($I$4:$I$1803=I338,$H$4:$H$1803))</f>
        <v>2040</v>
      </c>
      <c r="K338" s="59" t="n">
        <f aca="false">H338/J338</f>
        <v>1.32941176470588</v>
      </c>
    </row>
    <row r="339" customFormat="false" ht="15" hidden="false" customHeight="false" outlineLevel="0" collapsed="false">
      <c r="A339" s="39" t="s">
        <v>879</v>
      </c>
      <c r="B339" s="39" t="s">
        <v>908</v>
      </c>
      <c r="C339" s="39" t="s">
        <v>901</v>
      </c>
      <c r="D339" s="39" t="s">
        <v>886</v>
      </c>
      <c r="E339" s="39" t="s">
        <v>884</v>
      </c>
      <c r="F339" s="39"/>
      <c r="G339" s="58" t="n">
        <v>1287</v>
      </c>
      <c r="H339" s="34" t="n">
        <f aca="false">G339*2</f>
        <v>2574</v>
      </c>
      <c r="I339" s="39" t="str">
        <f aca="false">A339&amp;"|"&amp;B339&amp;"|"&amp;D339&amp;"|"&amp;E339&amp;F339</f>
        <v>auto|Tulsa|scenario C (age 36)|female</v>
      </c>
      <c r="J339" s="34" t="n">
        <f aca="false" t="array" ref="J339:J339">MEDIAN(IF($I$4:$I$1803=I339,$H$4:$H$1803))</f>
        <v>1976</v>
      </c>
      <c r="K339" s="59" t="n">
        <f aca="false">H339/J339</f>
        <v>1.30263157894737</v>
      </c>
    </row>
    <row r="340" customFormat="false" ht="15" hidden="false" customHeight="false" outlineLevel="0" collapsed="false">
      <c r="A340" s="39" t="s">
        <v>879</v>
      </c>
      <c r="B340" s="39" t="s">
        <v>908</v>
      </c>
      <c r="C340" s="39" t="s">
        <v>901</v>
      </c>
      <c r="D340" s="39" t="s">
        <v>887</v>
      </c>
      <c r="E340" s="39" t="s">
        <v>883</v>
      </c>
      <c r="F340" s="39"/>
      <c r="G340" s="58" t="n">
        <v>1069</v>
      </c>
      <c r="H340" s="34" t="n">
        <f aca="false">G340*2</f>
        <v>2138</v>
      </c>
      <c r="I340" s="39" t="str">
        <f aca="false">A340&amp;"|"&amp;B340&amp;"|"&amp;D340&amp;"|"&amp;E340&amp;F340</f>
        <v>auto|Tulsa|scenario D (age 55)|male</v>
      </c>
      <c r="J340" s="34" t="n">
        <f aca="false" t="array" ref="J340:J340">MEDIAN(IF($I$4:$I$1803=I340,$H$4:$H$1803))</f>
        <v>1765</v>
      </c>
      <c r="K340" s="59" t="n">
        <f aca="false">H340/J340</f>
        <v>1.21133144475921</v>
      </c>
    </row>
    <row r="341" customFormat="false" ht="15" hidden="false" customHeight="false" outlineLevel="0" collapsed="false">
      <c r="A341" s="39" t="s">
        <v>879</v>
      </c>
      <c r="B341" s="39" t="s">
        <v>908</v>
      </c>
      <c r="C341" s="39" t="s">
        <v>901</v>
      </c>
      <c r="D341" s="39" t="s">
        <v>887</v>
      </c>
      <c r="E341" s="39" t="s">
        <v>884</v>
      </c>
      <c r="F341" s="39"/>
      <c r="G341" s="58" t="n">
        <v>1007</v>
      </c>
      <c r="H341" s="34" t="n">
        <f aca="false">G341*2</f>
        <v>2014</v>
      </c>
      <c r="I341" s="39" t="str">
        <f aca="false">A341&amp;"|"&amp;B341&amp;"|"&amp;D341&amp;"|"&amp;E341&amp;F341</f>
        <v>auto|Tulsa|scenario D (age 55)|female</v>
      </c>
      <c r="J341" s="34" t="n">
        <f aca="false" t="array" ref="J341:J341">MEDIAN(IF($I$4:$I$1803=I341,$H$4:$H$1803))</f>
        <v>1781</v>
      </c>
      <c r="K341" s="59" t="n">
        <f aca="false">H341/J341</f>
        <v>1.13082537900056</v>
      </c>
    </row>
    <row r="342" customFormat="false" ht="15" hidden="false" customHeight="false" outlineLevel="0" collapsed="false">
      <c r="A342" s="39" t="s">
        <v>879</v>
      </c>
      <c r="B342" s="39" t="s">
        <v>908</v>
      </c>
      <c r="C342" s="39" t="s">
        <v>901</v>
      </c>
      <c r="D342" s="39" t="s">
        <v>888</v>
      </c>
      <c r="E342" s="39" t="s">
        <v>883</v>
      </c>
      <c r="F342" s="39"/>
      <c r="G342" s="58" t="n">
        <v>1197</v>
      </c>
      <c r="H342" s="34" t="n">
        <f aca="false">G342*2</f>
        <v>2394</v>
      </c>
      <c r="I342" s="39" t="str">
        <f aca="false">A342&amp;"|"&amp;B342&amp;"|"&amp;D342&amp;"|"&amp;E342&amp;F342</f>
        <v>auto|Tulsa|scenario E (age 70)|male</v>
      </c>
      <c r="J342" s="34" t="n">
        <f aca="false" t="array" ref="J342:J342">MEDIAN(IF($I$4:$I$1803=I342,$H$4:$H$1803))</f>
        <v>1676</v>
      </c>
      <c r="K342" s="59" t="n">
        <f aca="false">H342/J342</f>
        <v>1.42840095465394</v>
      </c>
    </row>
    <row r="343" customFormat="false" ht="15" hidden="false" customHeight="false" outlineLevel="0" collapsed="false">
      <c r="A343" s="39" t="s">
        <v>879</v>
      </c>
      <c r="B343" s="39" t="s">
        <v>908</v>
      </c>
      <c r="C343" s="39" t="s">
        <v>901</v>
      </c>
      <c r="D343" s="39" t="s">
        <v>888</v>
      </c>
      <c r="E343" s="39" t="s">
        <v>884</v>
      </c>
      <c r="F343" s="39"/>
      <c r="G343" s="58" t="n">
        <v>1090</v>
      </c>
      <c r="H343" s="34" t="n">
        <f aca="false">G343*2</f>
        <v>2180</v>
      </c>
      <c r="I343" s="39" t="str">
        <f aca="false">A343&amp;"|"&amp;B343&amp;"|"&amp;D343&amp;"|"&amp;E343&amp;F343</f>
        <v>auto|Tulsa|scenario E (age 70)|female</v>
      </c>
      <c r="J343" s="34" t="n">
        <f aca="false" t="array" ref="J343:J343">MEDIAN(IF($I$4:$I$1803=I343,$H$4:$H$1803))</f>
        <v>1677</v>
      </c>
      <c r="K343" s="59" t="n">
        <f aca="false">H343/J343</f>
        <v>1.29994036970781</v>
      </c>
    </row>
    <row r="344" customFormat="false" ht="15" hidden="false" customHeight="false" outlineLevel="0" collapsed="false">
      <c r="A344" s="39" t="s">
        <v>879</v>
      </c>
      <c r="B344" s="39" t="s">
        <v>908</v>
      </c>
      <c r="C344" s="39" t="s">
        <v>902</v>
      </c>
      <c r="D344" s="39" t="s">
        <v>882</v>
      </c>
      <c r="E344" s="39" t="s">
        <v>883</v>
      </c>
      <c r="F344" s="39"/>
      <c r="G344" s="58" t="n">
        <v>1536</v>
      </c>
      <c r="H344" s="34" t="n">
        <f aca="false">G344*2</f>
        <v>3072</v>
      </c>
      <c r="I344" s="39" t="str">
        <f aca="false">A344&amp;"|"&amp;B344&amp;"|"&amp;D344&amp;"|"&amp;E344&amp;F344</f>
        <v>auto|Tulsa|scenario A (age 16)|male</v>
      </c>
      <c r="J344" s="34" t="n">
        <f aca="false" t="array" ref="J344:J344">MEDIAN(IF($I$4:$I$1803=I344,$H$4:$H$1803))</f>
        <v>8754</v>
      </c>
      <c r="K344" s="59" t="n">
        <f aca="false">H344/J344</f>
        <v>0.350925291295408</v>
      </c>
    </row>
    <row r="345" customFormat="false" ht="15" hidden="false" customHeight="false" outlineLevel="0" collapsed="false">
      <c r="A345" s="39" t="s">
        <v>879</v>
      </c>
      <c r="B345" s="39" t="s">
        <v>908</v>
      </c>
      <c r="C345" s="39" t="s">
        <v>902</v>
      </c>
      <c r="D345" s="39" t="s">
        <v>882</v>
      </c>
      <c r="E345" s="39" t="s">
        <v>884</v>
      </c>
      <c r="F345" s="39"/>
      <c r="G345" s="58" t="n">
        <v>1540</v>
      </c>
      <c r="H345" s="34" t="n">
        <f aca="false">G345*2</f>
        <v>3080</v>
      </c>
      <c r="I345" s="39" t="str">
        <f aca="false">A345&amp;"|"&amp;B345&amp;"|"&amp;D345&amp;"|"&amp;E345&amp;F345</f>
        <v>auto|Tulsa|scenario A (age 16)|female</v>
      </c>
      <c r="J345" s="34" t="n">
        <f aca="false" t="array" ref="J345:J345">MEDIAN(IF($I$4:$I$1803=I345,$H$4:$H$1803))</f>
        <v>7301</v>
      </c>
      <c r="K345" s="59" t="n">
        <f aca="false">H345/J345</f>
        <v>0.421860019175455</v>
      </c>
    </row>
    <row r="346" customFormat="false" ht="15" hidden="false" customHeight="false" outlineLevel="0" collapsed="false">
      <c r="A346" s="39" t="s">
        <v>879</v>
      </c>
      <c r="B346" s="39" t="s">
        <v>908</v>
      </c>
      <c r="C346" s="39" t="s">
        <v>902</v>
      </c>
      <c r="D346" s="39" t="s">
        <v>885</v>
      </c>
      <c r="E346" s="39" t="s">
        <v>883</v>
      </c>
      <c r="F346" s="39"/>
      <c r="G346" s="58" t="n">
        <v>2859</v>
      </c>
      <c r="H346" s="34" t="n">
        <f aca="false">G346*2</f>
        <v>5718</v>
      </c>
      <c r="I346" s="39" t="str">
        <f aca="false">A346&amp;"|"&amp;B346&amp;"|"&amp;D346&amp;"|"&amp;E346&amp;F346</f>
        <v>auto|Tulsa|scenario B (age 21)|male</v>
      </c>
      <c r="J346" s="34" t="n">
        <f aca="false" t="array" ref="J346:J346">MEDIAN(IF($I$4:$I$1803=I346,$H$4:$H$1803))</f>
        <v>3712</v>
      </c>
      <c r="K346" s="59" t="n">
        <f aca="false">H346/J346</f>
        <v>1.54040948275862</v>
      </c>
    </row>
    <row r="347" customFormat="false" ht="15" hidden="false" customHeight="false" outlineLevel="0" collapsed="false">
      <c r="A347" s="39" t="s">
        <v>879</v>
      </c>
      <c r="B347" s="39" t="s">
        <v>908</v>
      </c>
      <c r="C347" s="39" t="s">
        <v>902</v>
      </c>
      <c r="D347" s="39" t="s">
        <v>885</v>
      </c>
      <c r="E347" s="39" t="s">
        <v>884</v>
      </c>
      <c r="F347" s="39"/>
      <c r="G347" s="58" t="n">
        <v>2890</v>
      </c>
      <c r="H347" s="34" t="n">
        <f aca="false">G347*2</f>
        <v>5780</v>
      </c>
      <c r="I347" s="39" t="str">
        <f aca="false">A347&amp;"|"&amp;B347&amp;"|"&amp;D347&amp;"|"&amp;E347&amp;F347</f>
        <v>auto|Tulsa|scenario B (age 21)|female</v>
      </c>
      <c r="J347" s="34" t="n">
        <f aca="false" t="array" ref="J347:J347">MEDIAN(IF($I$4:$I$1803=I347,$H$4:$H$1803))</f>
        <v>3230</v>
      </c>
      <c r="K347" s="59" t="n">
        <f aca="false">H347/J347</f>
        <v>1.78947368421053</v>
      </c>
    </row>
    <row r="348" customFormat="false" ht="15" hidden="false" customHeight="false" outlineLevel="0" collapsed="false">
      <c r="A348" s="39" t="s">
        <v>879</v>
      </c>
      <c r="B348" s="39" t="s">
        <v>908</v>
      </c>
      <c r="C348" s="39" t="s">
        <v>902</v>
      </c>
      <c r="D348" s="39" t="s">
        <v>886</v>
      </c>
      <c r="E348" s="39" t="s">
        <v>883</v>
      </c>
      <c r="F348" s="39"/>
      <c r="G348" s="58" t="n">
        <v>2421</v>
      </c>
      <c r="H348" s="34" t="n">
        <f aca="false">G348*2</f>
        <v>4842</v>
      </c>
      <c r="I348" s="39" t="str">
        <f aca="false">A348&amp;"|"&amp;B348&amp;"|"&amp;D348&amp;"|"&amp;E348&amp;F348</f>
        <v>auto|Tulsa|scenario C (age 36)|male</v>
      </c>
      <c r="J348" s="34" t="n">
        <f aca="false" t="array" ref="J348:J348">MEDIAN(IF($I$4:$I$1803=I348,$H$4:$H$1803))</f>
        <v>2040</v>
      </c>
      <c r="K348" s="59" t="n">
        <f aca="false">H348/J348</f>
        <v>2.37352941176471</v>
      </c>
    </row>
    <row r="349" customFormat="false" ht="15" hidden="false" customHeight="false" outlineLevel="0" collapsed="false">
      <c r="A349" s="39" t="s">
        <v>879</v>
      </c>
      <c r="B349" s="39" t="s">
        <v>908</v>
      </c>
      <c r="C349" s="39" t="s">
        <v>902</v>
      </c>
      <c r="D349" s="39" t="s">
        <v>886</v>
      </c>
      <c r="E349" s="39" t="s">
        <v>884</v>
      </c>
      <c r="F349" s="39"/>
      <c r="G349" s="58" t="n">
        <v>2445</v>
      </c>
      <c r="H349" s="34" t="n">
        <f aca="false">G349*2</f>
        <v>4890</v>
      </c>
      <c r="I349" s="39" t="str">
        <f aca="false">A349&amp;"|"&amp;B349&amp;"|"&amp;D349&amp;"|"&amp;E349&amp;F349</f>
        <v>auto|Tulsa|scenario C (age 36)|female</v>
      </c>
      <c r="J349" s="34" t="n">
        <f aca="false" t="array" ref="J349:J349">MEDIAN(IF($I$4:$I$1803=I349,$H$4:$H$1803))</f>
        <v>1976</v>
      </c>
      <c r="K349" s="59" t="n">
        <f aca="false">H349/J349</f>
        <v>2.4746963562753</v>
      </c>
    </row>
    <row r="350" customFormat="false" ht="15" hidden="false" customHeight="false" outlineLevel="0" collapsed="false">
      <c r="A350" s="39" t="s">
        <v>879</v>
      </c>
      <c r="B350" s="39" t="s">
        <v>908</v>
      </c>
      <c r="C350" s="39" t="s">
        <v>902</v>
      </c>
      <c r="D350" s="39" t="s">
        <v>887</v>
      </c>
      <c r="E350" s="39" t="s">
        <v>883</v>
      </c>
      <c r="F350" s="39"/>
      <c r="G350" s="58" t="n">
        <v>2287</v>
      </c>
      <c r="H350" s="34" t="n">
        <f aca="false">G350*2</f>
        <v>4574</v>
      </c>
      <c r="I350" s="39" t="str">
        <f aca="false">A350&amp;"|"&amp;B350&amp;"|"&amp;D350&amp;"|"&amp;E350&amp;F350</f>
        <v>auto|Tulsa|scenario D (age 55)|male</v>
      </c>
      <c r="J350" s="34" t="n">
        <f aca="false" t="array" ref="J350:J350">MEDIAN(IF($I$4:$I$1803=I350,$H$4:$H$1803))</f>
        <v>1765</v>
      </c>
      <c r="K350" s="59" t="n">
        <f aca="false">H350/J350</f>
        <v>2.5915014164306</v>
      </c>
    </row>
    <row r="351" customFormat="false" ht="15" hidden="false" customHeight="false" outlineLevel="0" collapsed="false">
      <c r="A351" s="39" t="s">
        <v>879</v>
      </c>
      <c r="B351" s="39" t="s">
        <v>908</v>
      </c>
      <c r="C351" s="39" t="s">
        <v>902</v>
      </c>
      <c r="D351" s="39" t="s">
        <v>887</v>
      </c>
      <c r="E351" s="39" t="s">
        <v>884</v>
      </c>
      <c r="F351" s="39"/>
      <c r="G351" s="58" t="n">
        <v>2289</v>
      </c>
      <c r="H351" s="34" t="n">
        <f aca="false">G351*2</f>
        <v>4578</v>
      </c>
      <c r="I351" s="39" t="str">
        <f aca="false">A351&amp;"|"&amp;B351&amp;"|"&amp;D351&amp;"|"&amp;E351&amp;F351</f>
        <v>auto|Tulsa|scenario D (age 55)|female</v>
      </c>
      <c r="J351" s="34" t="n">
        <f aca="false" t="array" ref="J351:J351">MEDIAN(IF($I$4:$I$1803=I351,$H$4:$H$1803))</f>
        <v>1781</v>
      </c>
      <c r="K351" s="59" t="n">
        <f aca="false">H351/J351</f>
        <v>2.57046603032005</v>
      </c>
    </row>
    <row r="352" customFormat="false" ht="15" hidden="false" customHeight="false" outlineLevel="0" collapsed="false">
      <c r="A352" s="39" t="s">
        <v>879</v>
      </c>
      <c r="B352" s="39" t="s">
        <v>908</v>
      </c>
      <c r="C352" s="39" t="s">
        <v>902</v>
      </c>
      <c r="D352" s="39" t="s">
        <v>888</v>
      </c>
      <c r="E352" s="39" t="s">
        <v>883</v>
      </c>
      <c r="F352" s="39"/>
      <c r="G352" s="58" t="n">
        <v>1053</v>
      </c>
      <c r="H352" s="34" t="n">
        <f aca="false">G352*2</f>
        <v>2106</v>
      </c>
      <c r="I352" s="39" t="str">
        <f aca="false">A352&amp;"|"&amp;B352&amp;"|"&amp;D352&amp;"|"&amp;E352&amp;F352</f>
        <v>auto|Tulsa|scenario E (age 70)|male</v>
      </c>
      <c r="J352" s="34" t="n">
        <f aca="false" t="array" ref="J352:J352">MEDIAN(IF($I$4:$I$1803=I352,$H$4:$H$1803))</f>
        <v>1676</v>
      </c>
      <c r="K352" s="59" t="n">
        <f aca="false">H352/J352</f>
        <v>1.25656324582339</v>
      </c>
    </row>
    <row r="353" customFormat="false" ht="15" hidden="false" customHeight="false" outlineLevel="0" collapsed="false">
      <c r="A353" s="39" t="s">
        <v>879</v>
      </c>
      <c r="B353" s="39" t="s">
        <v>908</v>
      </c>
      <c r="C353" s="39" t="s">
        <v>902</v>
      </c>
      <c r="D353" s="39" t="s">
        <v>888</v>
      </c>
      <c r="E353" s="39" t="s">
        <v>884</v>
      </c>
      <c r="F353" s="39"/>
      <c r="G353" s="58" t="n">
        <v>1108</v>
      </c>
      <c r="H353" s="34" t="n">
        <f aca="false">G353*2</f>
        <v>2216</v>
      </c>
      <c r="I353" s="39" t="str">
        <f aca="false">A353&amp;"|"&amp;B353&amp;"|"&amp;D353&amp;"|"&amp;E353&amp;F353</f>
        <v>auto|Tulsa|scenario E (age 70)|female</v>
      </c>
      <c r="J353" s="34" t="n">
        <f aca="false" t="array" ref="J353:J353">MEDIAN(IF($I$4:$I$1803=I353,$H$4:$H$1803))</f>
        <v>1677</v>
      </c>
      <c r="K353" s="59" t="n">
        <f aca="false">H353/J353</f>
        <v>1.32140727489565</v>
      </c>
    </row>
    <row r="354" customFormat="false" ht="15" hidden="false" customHeight="false" outlineLevel="0" collapsed="false">
      <c r="A354" s="39" t="s">
        <v>879</v>
      </c>
      <c r="B354" s="39" t="s">
        <v>908</v>
      </c>
      <c r="C354" s="39" t="s">
        <v>903</v>
      </c>
      <c r="D354" s="39" t="s">
        <v>882</v>
      </c>
      <c r="E354" s="39" t="s">
        <v>883</v>
      </c>
      <c r="F354" s="39"/>
      <c r="G354" s="58" t="n">
        <v>1128</v>
      </c>
      <c r="H354" s="34" t="n">
        <f aca="false">G354*2</f>
        <v>2256</v>
      </c>
      <c r="I354" s="39" t="str">
        <f aca="false">A354&amp;"|"&amp;B354&amp;"|"&amp;D354&amp;"|"&amp;E354&amp;F354</f>
        <v>auto|Tulsa|scenario A (age 16)|male</v>
      </c>
      <c r="J354" s="34" t="n">
        <f aca="false" t="array" ref="J354:J354">MEDIAN(IF($I$4:$I$1803=I354,$H$4:$H$1803))</f>
        <v>8754</v>
      </c>
      <c r="K354" s="59" t="n">
        <f aca="false">H354/J354</f>
        <v>0.257710760795065</v>
      </c>
    </row>
    <row r="355" customFormat="false" ht="15" hidden="false" customHeight="false" outlineLevel="0" collapsed="false">
      <c r="A355" s="39" t="s">
        <v>879</v>
      </c>
      <c r="B355" s="39" t="s">
        <v>908</v>
      </c>
      <c r="C355" s="39" t="s">
        <v>903</v>
      </c>
      <c r="D355" s="39" t="s">
        <v>882</v>
      </c>
      <c r="E355" s="39" t="s">
        <v>884</v>
      </c>
      <c r="F355" s="39"/>
      <c r="G355" s="58" t="n">
        <v>1131</v>
      </c>
      <c r="H355" s="34" t="n">
        <f aca="false">G355*2</f>
        <v>2262</v>
      </c>
      <c r="I355" s="39" t="str">
        <f aca="false">A355&amp;"|"&amp;B355&amp;"|"&amp;D355&amp;"|"&amp;E355&amp;F355</f>
        <v>auto|Tulsa|scenario A (age 16)|female</v>
      </c>
      <c r="J355" s="34" t="n">
        <f aca="false" t="array" ref="J355:J355">MEDIAN(IF($I$4:$I$1803=I355,$H$4:$H$1803))</f>
        <v>7301</v>
      </c>
      <c r="K355" s="59" t="n">
        <f aca="false">H355/J355</f>
        <v>0.309820572524312</v>
      </c>
    </row>
    <row r="356" customFormat="false" ht="15" hidden="false" customHeight="false" outlineLevel="0" collapsed="false">
      <c r="A356" s="39" t="s">
        <v>879</v>
      </c>
      <c r="B356" s="39" t="s">
        <v>908</v>
      </c>
      <c r="C356" s="39" t="s">
        <v>903</v>
      </c>
      <c r="D356" s="39" t="s">
        <v>885</v>
      </c>
      <c r="E356" s="39" t="s">
        <v>883</v>
      </c>
      <c r="F356" s="39"/>
      <c r="G356" s="58" t="n">
        <v>2100</v>
      </c>
      <c r="H356" s="34" t="n">
        <f aca="false">G356*2</f>
        <v>4200</v>
      </c>
      <c r="I356" s="39" t="str">
        <f aca="false">A356&amp;"|"&amp;B356&amp;"|"&amp;D356&amp;"|"&amp;E356&amp;F356</f>
        <v>auto|Tulsa|scenario B (age 21)|male</v>
      </c>
      <c r="J356" s="34" t="n">
        <f aca="false" t="array" ref="J356:J356">MEDIAN(IF($I$4:$I$1803=I356,$H$4:$H$1803))</f>
        <v>3712</v>
      </c>
      <c r="K356" s="59" t="n">
        <f aca="false">H356/J356</f>
        <v>1.13146551724138</v>
      </c>
    </row>
    <row r="357" customFormat="false" ht="15" hidden="false" customHeight="false" outlineLevel="0" collapsed="false">
      <c r="A357" s="39" t="s">
        <v>879</v>
      </c>
      <c r="B357" s="39" t="s">
        <v>908</v>
      </c>
      <c r="C357" s="39" t="s">
        <v>903</v>
      </c>
      <c r="D357" s="39" t="s">
        <v>885</v>
      </c>
      <c r="E357" s="39" t="s">
        <v>884</v>
      </c>
      <c r="F357" s="39"/>
      <c r="G357" s="58" t="n">
        <v>2122</v>
      </c>
      <c r="H357" s="34" t="n">
        <f aca="false">G357*2</f>
        <v>4244</v>
      </c>
      <c r="I357" s="39" t="str">
        <f aca="false">A357&amp;"|"&amp;B357&amp;"|"&amp;D357&amp;"|"&amp;E357&amp;F357</f>
        <v>auto|Tulsa|scenario B (age 21)|female</v>
      </c>
      <c r="J357" s="34" t="n">
        <f aca="false" t="array" ref="J357:J357">MEDIAN(IF($I$4:$I$1803=I357,$H$4:$H$1803))</f>
        <v>3230</v>
      </c>
      <c r="K357" s="59" t="n">
        <f aca="false">H357/J357</f>
        <v>1.31393188854489</v>
      </c>
    </row>
    <row r="358" customFormat="false" ht="15" hidden="false" customHeight="false" outlineLevel="0" collapsed="false">
      <c r="A358" s="39" t="s">
        <v>879</v>
      </c>
      <c r="B358" s="39" t="s">
        <v>908</v>
      </c>
      <c r="C358" s="39" t="s">
        <v>903</v>
      </c>
      <c r="D358" s="39" t="s">
        <v>886</v>
      </c>
      <c r="E358" s="39" t="s">
        <v>883</v>
      </c>
      <c r="F358" s="39"/>
      <c r="G358" s="58" t="n">
        <v>1778</v>
      </c>
      <c r="H358" s="34" t="n">
        <f aca="false">G358*2</f>
        <v>3556</v>
      </c>
      <c r="I358" s="39" t="str">
        <f aca="false">A358&amp;"|"&amp;B358&amp;"|"&amp;D358&amp;"|"&amp;E358&amp;F358</f>
        <v>auto|Tulsa|scenario C (age 36)|male</v>
      </c>
      <c r="J358" s="34" t="n">
        <f aca="false" t="array" ref="J358:J358">MEDIAN(IF($I$4:$I$1803=I358,$H$4:$H$1803))</f>
        <v>2040</v>
      </c>
      <c r="K358" s="59" t="n">
        <f aca="false">H358/J358</f>
        <v>1.74313725490196</v>
      </c>
    </row>
    <row r="359" customFormat="false" ht="15" hidden="false" customHeight="false" outlineLevel="0" collapsed="false">
      <c r="A359" s="39" t="s">
        <v>879</v>
      </c>
      <c r="B359" s="39" t="s">
        <v>908</v>
      </c>
      <c r="C359" s="39" t="s">
        <v>903</v>
      </c>
      <c r="D359" s="39" t="s">
        <v>886</v>
      </c>
      <c r="E359" s="39" t="s">
        <v>884</v>
      </c>
      <c r="F359" s="39"/>
      <c r="G359" s="58" t="n">
        <v>1795</v>
      </c>
      <c r="H359" s="34" t="n">
        <f aca="false">G359*2</f>
        <v>3590</v>
      </c>
      <c r="I359" s="39" t="str">
        <f aca="false">A359&amp;"|"&amp;B359&amp;"|"&amp;D359&amp;"|"&amp;E359&amp;F359</f>
        <v>auto|Tulsa|scenario C (age 36)|female</v>
      </c>
      <c r="J359" s="34" t="n">
        <f aca="false" t="array" ref="J359:J359">MEDIAN(IF($I$4:$I$1803=I359,$H$4:$H$1803))</f>
        <v>1976</v>
      </c>
      <c r="K359" s="59" t="n">
        <f aca="false">H359/J359</f>
        <v>1.8168016194332</v>
      </c>
    </row>
    <row r="360" customFormat="false" ht="15" hidden="false" customHeight="false" outlineLevel="0" collapsed="false">
      <c r="A360" s="39" t="s">
        <v>879</v>
      </c>
      <c r="B360" s="39" t="s">
        <v>908</v>
      </c>
      <c r="C360" s="39" t="s">
        <v>903</v>
      </c>
      <c r="D360" s="39" t="s">
        <v>887</v>
      </c>
      <c r="E360" s="39" t="s">
        <v>883</v>
      </c>
      <c r="F360" s="39"/>
      <c r="G360" s="58" t="n">
        <v>1680</v>
      </c>
      <c r="H360" s="34" t="n">
        <f aca="false">G360*2</f>
        <v>3360</v>
      </c>
      <c r="I360" s="39" t="str">
        <f aca="false">A360&amp;"|"&amp;B360&amp;"|"&amp;D360&amp;"|"&amp;E360&amp;F360</f>
        <v>auto|Tulsa|scenario D (age 55)|male</v>
      </c>
      <c r="J360" s="34" t="n">
        <f aca="false" t="array" ref="J360:J360">MEDIAN(IF($I$4:$I$1803=I360,$H$4:$H$1803))</f>
        <v>1765</v>
      </c>
      <c r="K360" s="59" t="n">
        <f aca="false">H360/J360</f>
        <v>1.90368271954674</v>
      </c>
    </row>
    <row r="361" customFormat="false" ht="15" hidden="false" customHeight="false" outlineLevel="0" collapsed="false">
      <c r="A361" s="39" t="s">
        <v>879</v>
      </c>
      <c r="B361" s="39" t="s">
        <v>908</v>
      </c>
      <c r="C361" s="39" t="s">
        <v>903</v>
      </c>
      <c r="D361" s="39" t="s">
        <v>887</v>
      </c>
      <c r="E361" s="39" t="s">
        <v>884</v>
      </c>
      <c r="F361" s="39"/>
      <c r="G361" s="58" t="n">
        <v>1681</v>
      </c>
      <c r="H361" s="34" t="n">
        <f aca="false">G361*2</f>
        <v>3362</v>
      </c>
      <c r="I361" s="39" t="str">
        <f aca="false">A361&amp;"|"&amp;B361&amp;"|"&amp;D361&amp;"|"&amp;E361&amp;F361</f>
        <v>auto|Tulsa|scenario D (age 55)|female</v>
      </c>
      <c r="J361" s="34" t="n">
        <f aca="false" t="array" ref="J361:J361">MEDIAN(IF($I$4:$I$1803=I361,$H$4:$H$1803))</f>
        <v>1781</v>
      </c>
      <c r="K361" s="59" t="n">
        <f aca="false">H361/J361</f>
        <v>1.88770353733857</v>
      </c>
    </row>
    <row r="362" customFormat="false" ht="15" hidden="false" customHeight="false" outlineLevel="0" collapsed="false">
      <c r="A362" s="39" t="s">
        <v>879</v>
      </c>
      <c r="B362" s="39" t="s">
        <v>908</v>
      </c>
      <c r="C362" s="39" t="s">
        <v>903</v>
      </c>
      <c r="D362" s="39" t="s">
        <v>888</v>
      </c>
      <c r="E362" s="39" t="s">
        <v>883</v>
      </c>
      <c r="F362" s="39"/>
      <c r="G362" s="58" t="n">
        <v>774</v>
      </c>
      <c r="H362" s="34" t="n">
        <f aca="false">G362*2</f>
        <v>1548</v>
      </c>
      <c r="I362" s="39" t="str">
        <f aca="false">A362&amp;"|"&amp;B362&amp;"|"&amp;D362&amp;"|"&amp;E362&amp;F362</f>
        <v>auto|Tulsa|scenario E (age 70)|male</v>
      </c>
      <c r="J362" s="34" t="n">
        <f aca="false" t="array" ref="J362:J362">MEDIAN(IF($I$4:$I$1803=I362,$H$4:$H$1803))</f>
        <v>1676</v>
      </c>
      <c r="K362" s="59" t="n">
        <f aca="false">H362/J362</f>
        <v>0.9236276849642</v>
      </c>
    </row>
    <row r="363" customFormat="false" ht="15" hidden="false" customHeight="false" outlineLevel="0" collapsed="false">
      <c r="A363" s="39" t="s">
        <v>879</v>
      </c>
      <c r="B363" s="39" t="s">
        <v>908</v>
      </c>
      <c r="C363" s="39" t="s">
        <v>903</v>
      </c>
      <c r="D363" s="39" t="s">
        <v>888</v>
      </c>
      <c r="E363" s="39" t="s">
        <v>884</v>
      </c>
      <c r="F363" s="39"/>
      <c r="G363" s="58" t="n">
        <v>814</v>
      </c>
      <c r="H363" s="34" t="n">
        <f aca="false">G363*2</f>
        <v>1628</v>
      </c>
      <c r="I363" s="39" t="str">
        <f aca="false">A363&amp;"|"&amp;B363&amp;"|"&amp;D363&amp;"|"&amp;E363&amp;F363</f>
        <v>auto|Tulsa|scenario E (age 70)|female</v>
      </c>
      <c r="J363" s="34" t="n">
        <f aca="false" t="array" ref="J363:J363">MEDIAN(IF($I$4:$I$1803=I363,$H$4:$H$1803))</f>
        <v>1677</v>
      </c>
      <c r="K363" s="59" t="n">
        <f aca="false">H363/J363</f>
        <v>0.970781156827668</v>
      </c>
    </row>
    <row r="364" customFormat="false" ht="15" hidden="false" customHeight="false" outlineLevel="0" collapsed="false">
      <c r="A364" s="39" t="s">
        <v>879</v>
      </c>
      <c r="B364" s="39" t="s">
        <v>908</v>
      </c>
      <c r="C364" s="39" t="s">
        <v>904</v>
      </c>
      <c r="D364" s="39" t="s">
        <v>882</v>
      </c>
      <c r="E364" s="39" t="s">
        <v>883</v>
      </c>
      <c r="F364" s="39"/>
      <c r="G364" s="58" t="n">
        <v>5270</v>
      </c>
      <c r="H364" s="34" t="n">
        <f aca="false">G364*2</f>
        <v>10540</v>
      </c>
      <c r="I364" s="39" t="str">
        <f aca="false">A364&amp;"|"&amp;B364&amp;"|"&amp;D364&amp;"|"&amp;E364&amp;F364</f>
        <v>auto|Tulsa|scenario A (age 16)|male</v>
      </c>
      <c r="J364" s="34" t="n">
        <f aca="false" t="array" ref="J364:J364">MEDIAN(IF($I$4:$I$1803=I364,$H$4:$H$1803))</f>
        <v>8754</v>
      </c>
      <c r="K364" s="59" t="n">
        <f aca="false">H364/J364</f>
        <v>1.20402101896276</v>
      </c>
    </row>
    <row r="365" customFormat="false" ht="15" hidden="false" customHeight="false" outlineLevel="0" collapsed="false">
      <c r="A365" s="39" t="s">
        <v>879</v>
      </c>
      <c r="B365" s="39" t="s">
        <v>908</v>
      </c>
      <c r="C365" s="39" t="s">
        <v>904</v>
      </c>
      <c r="D365" s="39" t="s">
        <v>882</v>
      </c>
      <c r="E365" s="39" t="s">
        <v>884</v>
      </c>
      <c r="F365" s="39"/>
      <c r="G365" s="58" t="n">
        <v>4111</v>
      </c>
      <c r="H365" s="34" t="n">
        <f aca="false">G365*2</f>
        <v>8222</v>
      </c>
      <c r="I365" s="39" t="str">
        <f aca="false">A365&amp;"|"&amp;B365&amp;"|"&amp;D365&amp;"|"&amp;E365&amp;F365</f>
        <v>auto|Tulsa|scenario A (age 16)|female</v>
      </c>
      <c r="J365" s="34" t="n">
        <f aca="false" t="array" ref="J365:J365">MEDIAN(IF($I$4:$I$1803=I365,$H$4:$H$1803))</f>
        <v>7301</v>
      </c>
      <c r="K365" s="59" t="n">
        <f aca="false">H365/J365</f>
        <v>1.12614710313656</v>
      </c>
    </row>
    <row r="366" customFormat="false" ht="15" hidden="false" customHeight="false" outlineLevel="0" collapsed="false">
      <c r="A366" s="39" t="s">
        <v>879</v>
      </c>
      <c r="B366" s="39" t="s">
        <v>908</v>
      </c>
      <c r="C366" s="39" t="s">
        <v>904</v>
      </c>
      <c r="D366" s="39" t="s">
        <v>885</v>
      </c>
      <c r="E366" s="39" t="s">
        <v>883</v>
      </c>
      <c r="F366" s="39"/>
      <c r="G366" s="58" t="n">
        <v>3460</v>
      </c>
      <c r="H366" s="34" t="n">
        <f aca="false">G366*2</f>
        <v>6920</v>
      </c>
      <c r="I366" s="39" t="str">
        <f aca="false">A366&amp;"|"&amp;B366&amp;"|"&amp;D366&amp;"|"&amp;E366&amp;F366</f>
        <v>auto|Tulsa|scenario B (age 21)|male</v>
      </c>
      <c r="J366" s="34" t="n">
        <f aca="false" t="array" ref="J366:J366">MEDIAN(IF($I$4:$I$1803=I366,$H$4:$H$1803))</f>
        <v>3712</v>
      </c>
      <c r="K366" s="59" t="n">
        <f aca="false">H366/J366</f>
        <v>1.86422413793103</v>
      </c>
    </row>
    <row r="367" customFormat="false" ht="15" hidden="false" customHeight="false" outlineLevel="0" collapsed="false">
      <c r="A367" s="39" t="s">
        <v>879</v>
      </c>
      <c r="B367" s="39" t="s">
        <v>908</v>
      </c>
      <c r="C367" s="39" t="s">
        <v>904</v>
      </c>
      <c r="D367" s="39" t="s">
        <v>885</v>
      </c>
      <c r="E367" s="39" t="s">
        <v>884</v>
      </c>
      <c r="F367" s="39"/>
      <c r="G367" s="58" t="n">
        <v>2675</v>
      </c>
      <c r="H367" s="34" t="n">
        <f aca="false">G367*2</f>
        <v>5350</v>
      </c>
      <c r="I367" s="39" t="str">
        <f aca="false">A367&amp;"|"&amp;B367&amp;"|"&amp;D367&amp;"|"&amp;E367&amp;F367</f>
        <v>auto|Tulsa|scenario B (age 21)|female</v>
      </c>
      <c r="J367" s="34" t="n">
        <f aca="false" t="array" ref="J367:J367">MEDIAN(IF($I$4:$I$1803=I367,$H$4:$H$1803))</f>
        <v>3230</v>
      </c>
      <c r="K367" s="59" t="n">
        <f aca="false">H367/J367</f>
        <v>1.65634674922601</v>
      </c>
    </row>
    <row r="368" customFormat="false" ht="15" hidden="false" customHeight="false" outlineLevel="0" collapsed="false">
      <c r="A368" s="39" t="s">
        <v>879</v>
      </c>
      <c r="B368" s="39" t="s">
        <v>908</v>
      </c>
      <c r="C368" s="39" t="s">
        <v>904</v>
      </c>
      <c r="D368" s="39" t="s">
        <v>886</v>
      </c>
      <c r="E368" s="39" t="s">
        <v>883</v>
      </c>
      <c r="F368" s="39"/>
      <c r="G368" s="58" t="n">
        <v>1192</v>
      </c>
      <c r="H368" s="34" t="n">
        <f aca="false">G368*2</f>
        <v>2384</v>
      </c>
      <c r="I368" s="39" t="str">
        <f aca="false">A368&amp;"|"&amp;B368&amp;"|"&amp;D368&amp;"|"&amp;E368&amp;F368</f>
        <v>auto|Tulsa|scenario C (age 36)|male</v>
      </c>
      <c r="J368" s="34" t="n">
        <f aca="false" t="array" ref="J368:J368">MEDIAN(IF($I$4:$I$1803=I368,$H$4:$H$1803))</f>
        <v>2040</v>
      </c>
      <c r="K368" s="59" t="n">
        <f aca="false">H368/J368</f>
        <v>1.16862745098039</v>
      </c>
    </row>
    <row r="369" customFormat="false" ht="15" hidden="false" customHeight="false" outlineLevel="0" collapsed="false">
      <c r="A369" s="39" t="s">
        <v>879</v>
      </c>
      <c r="B369" s="39" t="s">
        <v>908</v>
      </c>
      <c r="C369" s="39" t="s">
        <v>904</v>
      </c>
      <c r="D369" s="39" t="s">
        <v>886</v>
      </c>
      <c r="E369" s="39" t="s">
        <v>884</v>
      </c>
      <c r="F369" s="39"/>
      <c r="G369" s="58" t="n">
        <v>1178</v>
      </c>
      <c r="H369" s="34" t="n">
        <f aca="false">G369*2</f>
        <v>2356</v>
      </c>
      <c r="I369" s="39" t="str">
        <f aca="false">A369&amp;"|"&amp;B369&amp;"|"&amp;D369&amp;"|"&amp;E369&amp;F369</f>
        <v>auto|Tulsa|scenario C (age 36)|female</v>
      </c>
      <c r="J369" s="34" t="n">
        <f aca="false" t="array" ref="J369:J369">MEDIAN(IF($I$4:$I$1803=I369,$H$4:$H$1803))</f>
        <v>1976</v>
      </c>
      <c r="K369" s="59" t="n">
        <f aca="false">H369/J369</f>
        <v>1.19230769230769</v>
      </c>
    </row>
    <row r="370" customFormat="false" ht="15" hidden="false" customHeight="false" outlineLevel="0" collapsed="false">
      <c r="A370" s="39" t="s">
        <v>879</v>
      </c>
      <c r="B370" s="39" t="s">
        <v>908</v>
      </c>
      <c r="C370" s="39" t="s">
        <v>904</v>
      </c>
      <c r="D370" s="39" t="s">
        <v>887</v>
      </c>
      <c r="E370" s="39" t="s">
        <v>883</v>
      </c>
      <c r="F370" s="39"/>
      <c r="G370" s="58" t="n">
        <v>1176</v>
      </c>
      <c r="H370" s="34" t="n">
        <f aca="false">G370*2</f>
        <v>2352</v>
      </c>
      <c r="I370" s="39" t="str">
        <f aca="false">A370&amp;"|"&amp;B370&amp;"|"&amp;D370&amp;"|"&amp;E370&amp;F370</f>
        <v>auto|Tulsa|scenario D (age 55)|male</v>
      </c>
      <c r="J370" s="34" t="n">
        <f aca="false" t="array" ref="J370:J370">MEDIAN(IF($I$4:$I$1803=I370,$H$4:$H$1803))</f>
        <v>1765</v>
      </c>
      <c r="K370" s="59" t="n">
        <f aca="false">H370/J370</f>
        <v>1.33257790368272</v>
      </c>
    </row>
    <row r="371" customFormat="false" ht="15" hidden="false" customHeight="false" outlineLevel="0" collapsed="false">
      <c r="A371" s="39" t="s">
        <v>879</v>
      </c>
      <c r="B371" s="39" t="s">
        <v>908</v>
      </c>
      <c r="C371" s="39" t="s">
        <v>904</v>
      </c>
      <c r="D371" s="39" t="s">
        <v>887</v>
      </c>
      <c r="E371" s="39" t="s">
        <v>884</v>
      </c>
      <c r="F371" s="39"/>
      <c r="G371" s="58" t="n">
        <v>1131</v>
      </c>
      <c r="H371" s="34" t="n">
        <f aca="false">G371*2</f>
        <v>2262</v>
      </c>
      <c r="I371" s="39" t="str">
        <f aca="false">A371&amp;"|"&amp;B371&amp;"|"&amp;D371&amp;"|"&amp;E371&amp;F371</f>
        <v>auto|Tulsa|scenario D (age 55)|female</v>
      </c>
      <c r="J371" s="34" t="n">
        <f aca="false" t="array" ref="J371:J371">MEDIAN(IF($I$4:$I$1803=I371,$H$4:$H$1803))</f>
        <v>1781</v>
      </c>
      <c r="K371" s="59" t="n">
        <f aca="false">H371/J371</f>
        <v>1.27007299270073</v>
      </c>
    </row>
    <row r="372" customFormat="false" ht="15" hidden="false" customHeight="false" outlineLevel="0" collapsed="false">
      <c r="A372" s="39" t="s">
        <v>879</v>
      </c>
      <c r="B372" s="39" t="s">
        <v>908</v>
      </c>
      <c r="C372" s="39" t="s">
        <v>904</v>
      </c>
      <c r="D372" s="39" t="s">
        <v>888</v>
      </c>
      <c r="E372" s="39" t="s">
        <v>883</v>
      </c>
      <c r="F372" s="39"/>
      <c r="G372" s="58" t="n">
        <v>1366</v>
      </c>
      <c r="H372" s="34" t="n">
        <f aca="false">G372*2</f>
        <v>2732</v>
      </c>
      <c r="I372" s="39" t="str">
        <f aca="false">A372&amp;"|"&amp;B372&amp;"|"&amp;D372&amp;"|"&amp;E372&amp;F372</f>
        <v>auto|Tulsa|scenario E (age 70)|male</v>
      </c>
      <c r="J372" s="34" t="n">
        <f aca="false" t="array" ref="J372:J372">MEDIAN(IF($I$4:$I$1803=I372,$H$4:$H$1803))</f>
        <v>1676</v>
      </c>
      <c r="K372" s="59" t="n">
        <f aca="false">H372/J372</f>
        <v>1.63007159904535</v>
      </c>
    </row>
    <row r="373" customFormat="false" ht="15" hidden="false" customHeight="false" outlineLevel="0" collapsed="false">
      <c r="A373" s="39" t="s">
        <v>879</v>
      </c>
      <c r="B373" s="39" t="s">
        <v>908</v>
      </c>
      <c r="C373" s="39" t="s">
        <v>904</v>
      </c>
      <c r="D373" s="39" t="s">
        <v>888</v>
      </c>
      <c r="E373" s="39" t="s">
        <v>884</v>
      </c>
      <c r="F373" s="39"/>
      <c r="G373" s="58" t="n">
        <v>1330</v>
      </c>
      <c r="H373" s="34" t="n">
        <f aca="false">G373*2</f>
        <v>2660</v>
      </c>
      <c r="I373" s="39" t="str">
        <f aca="false">A373&amp;"|"&amp;B373&amp;"|"&amp;D373&amp;"|"&amp;E373&amp;F373</f>
        <v>auto|Tulsa|scenario E (age 70)|female</v>
      </c>
      <c r="J373" s="34" t="n">
        <f aca="false" t="array" ref="J373:J373">MEDIAN(IF($I$4:$I$1803=I373,$H$4:$H$1803))</f>
        <v>1677</v>
      </c>
      <c r="K373" s="59" t="n">
        <f aca="false">H373/J373</f>
        <v>1.58616577221228</v>
      </c>
    </row>
    <row r="374" customFormat="false" ht="15" hidden="false" customHeight="false" outlineLevel="0" collapsed="false">
      <c r="A374" s="39" t="s">
        <v>879</v>
      </c>
      <c r="B374" s="39" t="s">
        <v>908</v>
      </c>
      <c r="C374" s="39" t="s">
        <v>905</v>
      </c>
      <c r="D374" s="39" t="s">
        <v>882</v>
      </c>
      <c r="E374" s="39" t="s">
        <v>883</v>
      </c>
      <c r="F374" s="39"/>
      <c r="G374" s="58" t="n">
        <v>3414</v>
      </c>
      <c r="H374" s="34" t="n">
        <f aca="false">G374*2</f>
        <v>6828</v>
      </c>
      <c r="I374" s="39" t="str">
        <f aca="false">A374&amp;"|"&amp;B374&amp;"|"&amp;D374&amp;"|"&amp;E374&amp;F374</f>
        <v>auto|Tulsa|scenario A (age 16)|male</v>
      </c>
      <c r="J374" s="34" t="n">
        <f aca="false" t="array" ref="J374:J374">MEDIAN(IF($I$4:$I$1803=I374,$H$4:$H$1803))</f>
        <v>8754</v>
      </c>
      <c r="K374" s="59" t="n">
        <f aca="false">H374/J374</f>
        <v>0.779986291980809</v>
      </c>
    </row>
    <row r="375" customFormat="false" ht="15" hidden="false" customHeight="false" outlineLevel="0" collapsed="false">
      <c r="A375" s="39" t="s">
        <v>879</v>
      </c>
      <c r="B375" s="39" t="s">
        <v>908</v>
      </c>
      <c r="C375" s="39" t="s">
        <v>905</v>
      </c>
      <c r="D375" s="39" t="s">
        <v>882</v>
      </c>
      <c r="E375" s="39" t="s">
        <v>884</v>
      </c>
      <c r="F375" s="39"/>
      <c r="G375" s="58" t="n">
        <v>3256</v>
      </c>
      <c r="H375" s="34" t="n">
        <f aca="false">G375*2</f>
        <v>6512</v>
      </c>
      <c r="I375" s="39" t="str">
        <f aca="false">A375&amp;"|"&amp;B375&amp;"|"&amp;D375&amp;"|"&amp;E375&amp;F375</f>
        <v>auto|Tulsa|scenario A (age 16)|female</v>
      </c>
      <c r="J375" s="34" t="n">
        <f aca="false" t="array" ref="J375:J375">MEDIAN(IF($I$4:$I$1803=I375,$H$4:$H$1803))</f>
        <v>7301</v>
      </c>
      <c r="K375" s="59" t="n">
        <f aca="false">H375/J375</f>
        <v>0.891932611970963</v>
      </c>
    </row>
    <row r="376" customFormat="false" ht="15" hidden="false" customHeight="false" outlineLevel="0" collapsed="false">
      <c r="A376" s="39" t="s">
        <v>879</v>
      </c>
      <c r="B376" s="39" t="s">
        <v>908</v>
      </c>
      <c r="C376" s="39" t="s">
        <v>905</v>
      </c>
      <c r="D376" s="39" t="s">
        <v>885</v>
      </c>
      <c r="E376" s="39" t="s">
        <v>883</v>
      </c>
      <c r="F376" s="39"/>
      <c r="G376" s="58" t="n">
        <v>1271</v>
      </c>
      <c r="H376" s="34" t="n">
        <f aca="false">G376*2</f>
        <v>2542</v>
      </c>
      <c r="I376" s="39" t="str">
        <f aca="false">A376&amp;"|"&amp;B376&amp;"|"&amp;D376&amp;"|"&amp;E376&amp;F376</f>
        <v>auto|Tulsa|scenario B (age 21)|male</v>
      </c>
      <c r="J376" s="34" t="n">
        <f aca="false" t="array" ref="J376:J376">MEDIAN(IF($I$4:$I$1803=I376,$H$4:$H$1803))</f>
        <v>3712</v>
      </c>
      <c r="K376" s="59" t="n">
        <f aca="false">H376/J376</f>
        <v>0.684806034482759</v>
      </c>
    </row>
    <row r="377" customFormat="false" ht="15" hidden="false" customHeight="false" outlineLevel="0" collapsed="false">
      <c r="A377" s="39" t="s">
        <v>879</v>
      </c>
      <c r="B377" s="39" t="s">
        <v>908</v>
      </c>
      <c r="C377" s="39" t="s">
        <v>905</v>
      </c>
      <c r="D377" s="39" t="s">
        <v>885</v>
      </c>
      <c r="E377" s="39" t="s">
        <v>884</v>
      </c>
      <c r="F377" s="39"/>
      <c r="G377" s="58" t="n">
        <v>1198</v>
      </c>
      <c r="H377" s="34" t="n">
        <f aca="false">G377*2</f>
        <v>2396</v>
      </c>
      <c r="I377" s="39" t="str">
        <f aca="false">A377&amp;"|"&amp;B377&amp;"|"&amp;D377&amp;"|"&amp;E377&amp;F377</f>
        <v>auto|Tulsa|scenario B (age 21)|female</v>
      </c>
      <c r="J377" s="34" t="n">
        <f aca="false" t="array" ref="J377:J377">MEDIAN(IF($I$4:$I$1803=I377,$H$4:$H$1803))</f>
        <v>3230</v>
      </c>
      <c r="K377" s="59" t="n">
        <f aca="false">H377/J377</f>
        <v>0.741795665634675</v>
      </c>
    </row>
    <row r="378" customFormat="false" ht="15" hidden="false" customHeight="false" outlineLevel="0" collapsed="false">
      <c r="A378" s="39" t="s">
        <v>879</v>
      </c>
      <c r="B378" s="39" t="s">
        <v>908</v>
      </c>
      <c r="C378" s="39" t="s">
        <v>905</v>
      </c>
      <c r="D378" s="39" t="s">
        <v>886</v>
      </c>
      <c r="E378" s="39" t="s">
        <v>883</v>
      </c>
      <c r="F378" s="39"/>
      <c r="G378" s="58" t="n">
        <v>704</v>
      </c>
      <c r="H378" s="34" t="n">
        <f aca="false">G378*2</f>
        <v>1408</v>
      </c>
      <c r="I378" s="39" t="str">
        <f aca="false">A378&amp;"|"&amp;B378&amp;"|"&amp;D378&amp;"|"&amp;E378&amp;F378</f>
        <v>auto|Tulsa|scenario C (age 36)|male</v>
      </c>
      <c r="J378" s="34" t="n">
        <f aca="false" t="array" ref="J378:J378">MEDIAN(IF($I$4:$I$1803=I378,$H$4:$H$1803))</f>
        <v>2040</v>
      </c>
      <c r="K378" s="59" t="n">
        <f aca="false">H378/J378</f>
        <v>0.690196078431373</v>
      </c>
    </row>
    <row r="379" customFormat="false" ht="15" hidden="false" customHeight="false" outlineLevel="0" collapsed="false">
      <c r="A379" s="39" t="s">
        <v>879</v>
      </c>
      <c r="B379" s="39" t="s">
        <v>908</v>
      </c>
      <c r="C379" s="39" t="s">
        <v>905</v>
      </c>
      <c r="D379" s="39" t="s">
        <v>886</v>
      </c>
      <c r="E379" s="39" t="s">
        <v>884</v>
      </c>
      <c r="F379" s="39"/>
      <c r="G379" s="58" t="n">
        <v>699</v>
      </c>
      <c r="H379" s="34" t="n">
        <f aca="false">G379*2</f>
        <v>1398</v>
      </c>
      <c r="I379" s="39" t="str">
        <f aca="false">A379&amp;"|"&amp;B379&amp;"|"&amp;D379&amp;"|"&amp;E379&amp;F379</f>
        <v>auto|Tulsa|scenario C (age 36)|female</v>
      </c>
      <c r="J379" s="34" t="n">
        <f aca="false" t="array" ref="J379:J379">MEDIAN(IF($I$4:$I$1803=I379,$H$4:$H$1803))</f>
        <v>1976</v>
      </c>
      <c r="K379" s="59" t="n">
        <f aca="false">H379/J379</f>
        <v>0.70748987854251</v>
      </c>
    </row>
    <row r="380" customFormat="false" ht="15" hidden="false" customHeight="false" outlineLevel="0" collapsed="false">
      <c r="A380" s="39" t="s">
        <v>879</v>
      </c>
      <c r="B380" s="39" t="s">
        <v>908</v>
      </c>
      <c r="C380" s="39" t="s">
        <v>905</v>
      </c>
      <c r="D380" s="39" t="s">
        <v>887</v>
      </c>
      <c r="E380" s="39" t="s">
        <v>883</v>
      </c>
      <c r="F380" s="39"/>
      <c r="G380" s="58" t="n">
        <v>644</v>
      </c>
      <c r="H380" s="34" t="n">
        <f aca="false">G380*2</f>
        <v>1288</v>
      </c>
      <c r="I380" s="39" t="str">
        <f aca="false">A380&amp;"|"&amp;B380&amp;"|"&amp;D380&amp;"|"&amp;E380&amp;F380</f>
        <v>auto|Tulsa|scenario D (age 55)|male</v>
      </c>
      <c r="J380" s="34" t="n">
        <f aca="false" t="array" ref="J380:J380">MEDIAN(IF($I$4:$I$1803=I380,$H$4:$H$1803))</f>
        <v>1765</v>
      </c>
      <c r="K380" s="59" t="n">
        <f aca="false">H380/J380</f>
        <v>0.729745042492918</v>
      </c>
    </row>
    <row r="381" customFormat="false" ht="15" hidden="false" customHeight="false" outlineLevel="0" collapsed="false">
      <c r="A381" s="39" t="s">
        <v>879</v>
      </c>
      <c r="B381" s="39" t="s">
        <v>908</v>
      </c>
      <c r="C381" s="39" t="s">
        <v>905</v>
      </c>
      <c r="D381" s="39" t="s">
        <v>887</v>
      </c>
      <c r="E381" s="39" t="s">
        <v>884</v>
      </c>
      <c r="F381" s="39"/>
      <c r="G381" s="58" t="n">
        <v>641</v>
      </c>
      <c r="H381" s="34" t="n">
        <f aca="false">G381*2</f>
        <v>1282</v>
      </c>
      <c r="I381" s="39" t="str">
        <f aca="false">A381&amp;"|"&amp;B381&amp;"|"&amp;D381&amp;"|"&amp;E381&amp;F381</f>
        <v>auto|Tulsa|scenario D (age 55)|female</v>
      </c>
      <c r="J381" s="34" t="n">
        <f aca="false" t="array" ref="J381:J381">MEDIAN(IF($I$4:$I$1803=I381,$H$4:$H$1803))</f>
        <v>1781</v>
      </c>
      <c r="K381" s="59" t="n">
        <f aca="false">H381/J381</f>
        <v>0.719820325659742</v>
      </c>
    </row>
    <row r="382" customFormat="false" ht="15" hidden="false" customHeight="false" outlineLevel="0" collapsed="false">
      <c r="A382" s="39" t="s">
        <v>879</v>
      </c>
      <c r="B382" s="39" t="s">
        <v>908</v>
      </c>
      <c r="C382" s="39" t="s">
        <v>905</v>
      </c>
      <c r="D382" s="39" t="s">
        <v>888</v>
      </c>
      <c r="E382" s="39" t="s">
        <v>883</v>
      </c>
      <c r="F382" s="39"/>
      <c r="G382" s="58" t="n">
        <v>660</v>
      </c>
      <c r="H382" s="34" t="n">
        <f aca="false">G382*2</f>
        <v>1320</v>
      </c>
      <c r="I382" s="39" t="str">
        <f aca="false">A382&amp;"|"&amp;B382&amp;"|"&amp;D382&amp;"|"&amp;E382&amp;F382</f>
        <v>auto|Tulsa|scenario E (age 70)|male</v>
      </c>
      <c r="J382" s="34" t="n">
        <f aca="false" t="array" ref="J382:J382">MEDIAN(IF($I$4:$I$1803=I382,$H$4:$H$1803))</f>
        <v>1676</v>
      </c>
      <c r="K382" s="59" t="n">
        <f aca="false">H382/J382</f>
        <v>0.787589498806683</v>
      </c>
    </row>
    <row r="383" customFormat="false" ht="15" hidden="false" customHeight="false" outlineLevel="0" collapsed="false">
      <c r="A383" s="39" t="s">
        <v>879</v>
      </c>
      <c r="B383" s="39" t="s">
        <v>908</v>
      </c>
      <c r="C383" s="39" t="s">
        <v>905</v>
      </c>
      <c r="D383" s="39" t="s">
        <v>888</v>
      </c>
      <c r="E383" s="39" t="s">
        <v>884</v>
      </c>
      <c r="F383" s="39"/>
      <c r="G383" s="58" t="n">
        <v>669</v>
      </c>
      <c r="H383" s="34" t="n">
        <f aca="false">G383*2</f>
        <v>1338</v>
      </c>
      <c r="I383" s="39" t="str">
        <f aca="false">A383&amp;"|"&amp;B383&amp;"|"&amp;D383&amp;"|"&amp;E383&amp;F383</f>
        <v>auto|Tulsa|scenario E (age 70)|female</v>
      </c>
      <c r="J383" s="34" t="n">
        <f aca="false" t="array" ref="J383:J383">MEDIAN(IF($I$4:$I$1803=I383,$H$4:$H$1803))</f>
        <v>1677</v>
      </c>
      <c r="K383" s="59" t="n">
        <f aca="false">H383/J383</f>
        <v>0.797853309481217</v>
      </c>
    </row>
    <row r="384" customFormat="false" ht="15" hidden="false" customHeight="false" outlineLevel="0" collapsed="false">
      <c r="A384" s="39" t="s">
        <v>879</v>
      </c>
      <c r="B384" s="39" t="s">
        <v>908</v>
      </c>
      <c r="C384" s="39" t="s">
        <v>906</v>
      </c>
      <c r="D384" s="39" t="s">
        <v>882</v>
      </c>
      <c r="E384" s="39" t="s">
        <v>883</v>
      </c>
      <c r="F384" s="39"/>
      <c r="G384" s="58" t="n">
        <v>3526</v>
      </c>
      <c r="H384" s="34" t="n">
        <f aca="false">G384*2</f>
        <v>7052</v>
      </c>
      <c r="I384" s="39" t="str">
        <f aca="false">A384&amp;"|"&amp;B384&amp;"|"&amp;D384&amp;"|"&amp;E384&amp;F384</f>
        <v>auto|Tulsa|scenario A (age 16)|male</v>
      </c>
      <c r="J384" s="34" t="n">
        <f aca="false" t="array" ref="J384:J384">MEDIAN(IF($I$4:$I$1803=I384,$H$4:$H$1803))</f>
        <v>8754</v>
      </c>
      <c r="K384" s="59" t="n">
        <f aca="false">H384/J384</f>
        <v>0.805574594471099</v>
      </c>
    </row>
    <row r="385" customFormat="false" ht="15" hidden="false" customHeight="false" outlineLevel="0" collapsed="false">
      <c r="A385" s="39" t="s">
        <v>879</v>
      </c>
      <c r="B385" s="39" t="s">
        <v>908</v>
      </c>
      <c r="C385" s="39" t="s">
        <v>906</v>
      </c>
      <c r="D385" s="39" t="s">
        <v>882</v>
      </c>
      <c r="E385" s="39" t="s">
        <v>884</v>
      </c>
      <c r="F385" s="39"/>
      <c r="G385" s="58" t="n">
        <v>3412</v>
      </c>
      <c r="H385" s="34" t="n">
        <f aca="false">G385*2</f>
        <v>6824</v>
      </c>
      <c r="I385" s="39" t="str">
        <f aca="false">A385&amp;"|"&amp;B385&amp;"|"&amp;D385&amp;"|"&amp;E385&amp;F385</f>
        <v>auto|Tulsa|scenario A (age 16)|female</v>
      </c>
      <c r="J385" s="34" t="n">
        <f aca="false" t="array" ref="J385:J385">MEDIAN(IF($I$4:$I$1803=I385,$H$4:$H$1803))</f>
        <v>7301</v>
      </c>
      <c r="K385" s="59" t="n">
        <f aca="false">H385/J385</f>
        <v>0.934666484043282</v>
      </c>
    </row>
    <row r="386" customFormat="false" ht="15" hidden="false" customHeight="false" outlineLevel="0" collapsed="false">
      <c r="A386" s="39" t="s">
        <v>879</v>
      </c>
      <c r="B386" s="39" t="s">
        <v>908</v>
      </c>
      <c r="C386" s="39" t="s">
        <v>906</v>
      </c>
      <c r="D386" s="39" t="s">
        <v>885</v>
      </c>
      <c r="E386" s="39" t="s">
        <v>883</v>
      </c>
      <c r="F386" s="39"/>
      <c r="G386" s="58" t="n">
        <v>1304</v>
      </c>
      <c r="H386" s="34" t="n">
        <f aca="false">G386*2</f>
        <v>2608</v>
      </c>
      <c r="I386" s="39" t="str">
        <f aca="false">A386&amp;"|"&amp;B386&amp;"|"&amp;D386&amp;"|"&amp;E386&amp;F386</f>
        <v>auto|Tulsa|scenario B (age 21)|male</v>
      </c>
      <c r="J386" s="34" t="n">
        <f aca="false" t="array" ref="J386:J386">MEDIAN(IF($I$4:$I$1803=I386,$H$4:$H$1803))</f>
        <v>3712</v>
      </c>
      <c r="K386" s="59" t="n">
        <f aca="false">H386/J386</f>
        <v>0.702586206896552</v>
      </c>
    </row>
    <row r="387" customFormat="false" ht="15" hidden="false" customHeight="false" outlineLevel="0" collapsed="false">
      <c r="A387" s="39" t="s">
        <v>879</v>
      </c>
      <c r="B387" s="39" t="s">
        <v>908</v>
      </c>
      <c r="C387" s="39" t="s">
        <v>906</v>
      </c>
      <c r="D387" s="39" t="s">
        <v>885</v>
      </c>
      <c r="E387" s="39" t="s">
        <v>884</v>
      </c>
      <c r="F387" s="39"/>
      <c r="G387" s="58" t="n">
        <v>1259</v>
      </c>
      <c r="H387" s="34" t="n">
        <f aca="false">G387*2</f>
        <v>2518</v>
      </c>
      <c r="I387" s="39" t="str">
        <f aca="false">A387&amp;"|"&amp;B387&amp;"|"&amp;D387&amp;"|"&amp;E387&amp;F387</f>
        <v>auto|Tulsa|scenario B (age 21)|female</v>
      </c>
      <c r="J387" s="34" t="n">
        <f aca="false" t="array" ref="J387:J387">MEDIAN(IF($I$4:$I$1803=I387,$H$4:$H$1803))</f>
        <v>3230</v>
      </c>
      <c r="K387" s="59" t="n">
        <f aca="false">H387/J387</f>
        <v>0.779566563467492</v>
      </c>
    </row>
    <row r="388" customFormat="false" ht="15" hidden="false" customHeight="false" outlineLevel="0" collapsed="false">
      <c r="A388" s="39" t="s">
        <v>879</v>
      </c>
      <c r="B388" s="39" t="s">
        <v>908</v>
      </c>
      <c r="C388" s="39" t="s">
        <v>906</v>
      </c>
      <c r="D388" s="39" t="s">
        <v>886</v>
      </c>
      <c r="E388" s="39" t="s">
        <v>883</v>
      </c>
      <c r="F388" s="39"/>
      <c r="G388" s="58" t="n">
        <v>733</v>
      </c>
      <c r="H388" s="34" t="n">
        <f aca="false">G388*2</f>
        <v>1466</v>
      </c>
      <c r="I388" s="39" t="str">
        <f aca="false">A388&amp;"|"&amp;B388&amp;"|"&amp;D388&amp;"|"&amp;E388&amp;F388</f>
        <v>auto|Tulsa|scenario C (age 36)|male</v>
      </c>
      <c r="J388" s="34" t="n">
        <f aca="false" t="array" ref="J388:J388">MEDIAN(IF($I$4:$I$1803=I388,$H$4:$H$1803))</f>
        <v>2040</v>
      </c>
      <c r="K388" s="59" t="n">
        <f aca="false">H388/J388</f>
        <v>0.718627450980392</v>
      </c>
    </row>
    <row r="389" customFormat="false" ht="15" hidden="false" customHeight="false" outlineLevel="0" collapsed="false">
      <c r="A389" s="39" t="s">
        <v>879</v>
      </c>
      <c r="B389" s="39" t="s">
        <v>908</v>
      </c>
      <c r="C389" s="39" t="s">
        <v>906</v>
      </c>
      <c r="D389" s="39" t="s">
        <v>886</v>
      </c>
      <c r="E389" s="39" t="s">
        <v>884</v>
      </c>
      <c r="F389" s="39"/>
      <c r="G389" s="58" t="n">
        <v>717</v>
      </c>
      <c r="H389" s="34" t="n">
        <f aca="false">G389*2</f>
        <v>1434</v>
      </c>
      <c r="I389" s="39" t="str">
        <f aca="false">A389&amp;"|"&amp;B389&amp;"|"&amp;D389&amp;"|"&amp;E389&amp;F389</f>
        <v>auto|Tulsa|scenario C (age 36)|female</v>
      </c>
      <c r="J389" s="34" t="n">
        <f aca="false" t="array" ref="J389:J389">MEDIAN(IF($I$4:$I$1803=I389,$H$4:$H$1803))</f>
        <v>1976</v>
      </c>
      <c r="K389" s="59" t="n">
        <f aca="false">H389/J389</f>
        <v>0.725708502024292</v>
      </c>
    </row>
    <row r="390" customFormat="false" ht="15" hidden="false" customHeight="false" outlineLevel="0" collapsed="false">
      <c r="A390" s="39" t="s">
        <v>879</v>
      </c>
      <c r="B390" s="39" t="s">
        <v>908</v>
      </c>
      <c r="C390" s="39" t="s">
        <v>906</v>
      </c>
      <c r="D390" s="39" t="s">
        <v>887</v>
      </c>
      <c r="E390" s="39" t="s">
        <v>883</v>
      </c>
      <c r="F390" s="39"/>
      <c r="G390" s="58" t="n">
        <v>628</v>
      </c>
      <c r="H390" s="34" t="n">
        <f aca="false">G390*2</f>
        <v>1256</v>
      </c>
      <c r="I390" s="39" t="str">
        <f aca="false">A390&amp;"|"&amp;B390&amp;"|"&amp;D390&amp;"|"&amp;E390&amp;F390</f>
        <v>auto|Tulsa|scenario D (age 55)|male</v>
      </c>
      <c r="J390" s="34" t="n">
        <f aca="false" t="array" ref="J390:J390">MEDIAN(IF($I$4:$I$1803=I390,$H$4:$H$1803))</f>
        <v>1765</v>
      </c>
      <c r="K390" s="59" t="n">
        <f aca="false">H390/J390</f>
        <v>0.711614730878187</v>
      </c>
    </row>
    <row r="391" customFormat="false" ht="15" hidden="false" customHeight="false" outlineLevel="0" collapsed="false">
      <c r="A391" s="39" t="s">
        <v>879</v>
      </c>
      <c r="B391" s="39" t="s">
        <v>908</v>
      </c>
      <c r="C391" s="39" t="s">
        <v>906</v>
      </c>
      <c r="D391" s="39" t="s">
        <v>887</v>
      </c>
      <c r="E391" s="39" t="s">
        <v>884</v>
      </c>
      <c r="F391" s="39"/>
      <c r="G391" s="58" t="n">
        <v>628</v>
      </c>
      <c r="H391" s="34" t="n">
        <f aca="false">G391*2</f>
        <v>1256</v>
      </c>
      <c r="I391" s="39" t="str">
        <f aca="false">A391&amp;"|"&amp;B391&amp;"|"&amp;D391&amp;"|"&amp;E391&amp;F391</f>
        <v>auto|Tulsa|scenario D (age 55)|female</v>
      </c>
      <c r="J391" s="34" t="n">
        <f aca="false" t="array" ref="J391:J391">MEDIAN(IF($I$4:$I$1803=I391,$H$4:$H$1803))</f>
        <v>1781</v>
      </c>
      <c r="K391" s="59" t="n">
        <f aca="false">H391/J391</f>
        <v>0.705221785513756</v>
      </c>
    </row>
    <row r="392" customFormat="false" ht="15" hidden="false" customHeight="false" outlineLevel="0" collapsed="false">
      <c r="A392" s="39" t="s">
        <v>879</v>
      </c>
      <c r="B392" s="39" t="s">
        <v>908</v>
      </c>
      <c r="C392" s="39" t="s">
        <v>906</v>
      </c>
      <c r="D392" s="39" t="s">
        <v>888</v>
      </c>
      <c r="E392" s="39" t="s">
        <v>883</v>
      </c>
      <c r="F392" s="39"/>
      <c r="G392" s="58" t="n">
        <v>648</v>
      </c>
      <c r="H392" s="34" t="n">
        <f aca="false">G392*2</f>
        <v>1296</v>
      </c>
      <c r="I392" s="39" t="str">
        <f aca="false">A392&amp;"|"&amp;B392&amp;"|"&amp;D392&amp;"|"&amp;E392&amp;F392</f>
        <v>auto|Tulsa|scenario E (age 70)|male</v>
      </c>
      <c r="J392" s="34" t="n">
        <f aca="false" t="array" ref="J392:J392">MEDIAN(IF($I$4:$I$1803=I392,$H$4:$H$1803))</f>
        <v>1676</v>
      </c>
      <c r="K392" s="59" t="n">
        <f aca="false">H392/J392</f>
        <v>0.77326968973747</v>
      </c>
    </row>
    <row r="393" customFormat="false" ht="15" hidden="false" customHeight="false" outlineLevel="0" collapsed="false">
      <c r="A393" s="39" t="s">
        <v>879</v>
      </c>
      <c r="B393" s="39" t="s">
        <v>908</v>
      </c>
      <c r="C393" s="39" t="s">
        <v>906</v>
      </c>
      <c r="D393" s="39" t="s">
        <v>888</v>
      </c>
      <c r="E393" s="39" t="s">
        <v>884</v>
      </c>
      <c r="F393" s="39"/>
      <c r="G393" s="58" t="n">
        <v>654</v>
      </c>
      <c r="H393" s="34" t="n">
        <f aca="false">G393*2</f>
        <v>1308</v>
      </c>
      <c r="I393" s="39" t="str">
        <f aca="false">A393&amp;"|"&amp;B393&amp;"|"&amp;D393&amp;"|"&amp;E393&amp;F393</f>
        <v>auto|Tulsa|scenario E (age 70)|female</v>
      </c>
      <c r="J393" s="34" t="n">
        <f aca="false" t="array" ref="J393:J393">MEDIAN(IF($I$4:$I$1803=I393,$H$4:$H$1803))</f>
        <v>1677</v>
      </c>
      <c r="K393" s="59" t="n">
        <f aca="false">H393/J393</f>
        <v>0.779964221824687</v>
      </c>
    </row>
    <row r="394" customFormat="false" ht="15" hidden="false" customHeight="false" outlineLevel="0" collapsed="false">
      <c r="A394" s="39" t="s">
        <v>879</v>
      </c>
      <c r="B394" s="39" t="s">
        <v>908</v>
      </c>
      <c r="C394" s="39" t="s">
        <v>907</v>
      </c>
      <c r="D394" s="39" t="s">
        <v>882</v>
      </c>
      <c r="E394" s="39" t="s">
        <v>883</v>
      </c>
      <c r="F394" s="39"/>
      <c r="G394" s="58" t="n">
        <v>4888</v>
      </c>
      <c r="H394" s="34" t="n">
        <f aca="false">G394*2</f>
        <v>9776</v>
      </c>
      <c r="I394" s="39" t="str">
        <f aca="false">A394&amp;"|"&amp;B394&amp;"|"&amp;D394&amp;"|"&amp;E394&amp;F394</f>
        <v>auto|Tulsa|scenario A (age 16)|male</v>
      </c>
      <c r="J394" s="34" t="n">
        <f aca="false" t="array" ref="J394:J394">MEDIAN(IF($I$4:$I$1803=I394,$H$4:$H$1803))</f>
        <v>8754</v>
      </c>
      <c r="K394" s="59" t="n">
        <f aca="false">H394/J394</f>
        <v>1.11674663011195</v>
      </c>
    </row>
    <row r="395" customFormat="false" ht="15" hidden="false" customHeight="false" outlineLevel="0" collapsed="false">
      <c r="A395" s="39" t="s">
        <v>879</v>
      </c>
      <c r="B395" s="39" t="s">
        <v>908</v>
      </c>
      <c r="C395" s="39" t="s">
        <v>907</v>
      </c>
      <c r="D395" s="39" t="s">
        <v>882</v>
      </c>
      <c r="E395" s="39" t="s">
        <v>884</v>
      </c>
      <c r="F395" s="39"/>
      <c r="G395" s="58" t="n">
        <v>4714</v>
      </c>
      <c r="H395" s="34" t="n">
        <f aca="false">G395*2</f>
        <v>9428</v>
      </c>
      <c r="I395" s="39" t="str">
        <f aca="false">A395&amp;"|"&amp;B395&amp;"|"&amp;D395&amp;"|"&amp;E395&amp;F395</f>
        <v>auto|Tulsa|scenario A (age 16)|female</v>
      </c>
      <c r="J395" s="34" t="n">
        <f aca="false" t="array" ref="J395:J395">MEDIAN(IF($I$4:$I$1803=I395,$H$4:$H$1803))</f>
        <v>7301</v>
      </c>
      <c r="K395" s="59" t="n">
        <f aca="false">H395/J395</f>
        <v>1.29132995480071</v>
      </c>
    </row>
    <row r="396" customFormat="false" ht="15" hidden="false" customHeight="false" outlineLevel="0" collapsed="false">
      <c r="A396" s="39" t="s">
        <v>879</v>
      </c>
      <c r="B396" s="39" t="s">
        <v>908</v>
      </c>
      <c r="C396" s="39" t="s">
        <v>907</v>
      </c>
      <c r="D396" s="39" t="s">
        <v>885</v>
      </c>
      <c r="E396" s="39" t="s">
        <v>883</v>
      </c>
      <c r="F396" s="39"/>
      <c r="G396" s="58" t="n">
        <v>1704</v>
      </c>
      <c r="H396" s="34" t="n">
        <f aca="false">G396*2</f>
        <v>3408</v>
      </c>
      <c r="I396" s="39" t="str">
        <f aca="false">A396&amp;"|"&amp;B396&amp;"|"&amp;D396&amp;"|"&amp;E396&amp;F396</f>
        <v>auto|Tulsa|scenario B (age 21)|male</v>
      </c>
      <c r="J396" s="34" t="n">
        <f aca="false" t="array" ref="J396:J396">MEDIAN(IF($I$4:$I$1803=I396,$H$4:$H$1803))</f>
        <v>3712</v>
      </c>
      <c r="K396" s="59" t="n">
        <f aca="false">H396/J396</f>
        <v>0.918103448275862</v>
      </c>
    </row>
    <row r="397" customFormat="false" ht="15" hidden="false" customHeight="false" outlineLevel="0" collapsed="false">
      <c r="A397" s="39" t="s">
        <v>879</v>
      </c>
      <c r="B397" s="39" t="s">
        <v>908</v>
      </c>
      <c r="C397" s="39" t="s">
        <v>907</v>
      </c>
      <c r="D397" s="39" t="s">
        <v>885</v>
      </c>
      <c r="E397" s="39" t="s">
        <v>884</v>
      </c>
      <c r="F397" s="39"/>
      <c r="G397" s="58" t="n">
        <v>1647</v>
      </c>
      <c r="H397" s="34" t="n">
        <f aca="false">G397*2</f>
        <v>3294</v>
      </c>
      <c r="I397" s="39" t="str">
        <f aca="false">A397&amp;"|"&amp;B397&amp;"|"&amp;D397&amp;"|"&amp;E397&amp;F397</f>
        <v>auto|Tulsa|scenario B (age 21)|female</v>
      </c>
      <c r="J397" s="34" t="n">
        <f aca="false" t="array" ref="J397:J397">MEDIAN(IF($I$4:$I$1803=I397,$H$4:$H$1803))</f>
        <v>3230</v>
      </c>
      <c r="K397" s="59" t="n">
        <f aca="false">H397/J397</f>
        <v>1.01981424148607</v>
      </c>
    </row>
    <row r="398" customFormat="false" ht="15" hidden="false" customHeight="false" outlineLevel="0" collapsed="false">
      <c r="A398" s="39" t="s">
        <v>879</v>
      </c>
      <c r="B398" s="39" t="s">
        <v>908</v>
      </c>
      <c r="C398" s="39" t="s">
        <v>907</v>
      </c>
      <c r="D398" s="39" t="s">
        <v>886</v>
      </c>
      <c r="E398" s="39" t="s">
        <v>883</v>
      </c>
      <c r="F398" s="39"/>
      <c r="G398" s="58" t="n">
        <v>935</v>
      </c>
      <c r="H398" s="34" t="n">
        <f aca="false">G398*2</f>
        <v>1870</v>
      </c>
      <c r="I398" s="39" t="str">
        <f aca="false">A398&amp;"|"&amp;B398&amp;"|"&amp;D398&amp;"|"&amp;E398&amp;F398</f>
        <v>auto|Tulsa|scenario C (age 36)|male</v>
      </c>
      <c r="J398" s="34" t="n">
        <f aca="false" t="array" ref="J398:J398">MEDIAN(IF($I$4:$I$1803=I398,$H$4:$H$1803))</f>
        <v>2040</v>
      </c>
      <c r="K398" s="59" t="n">
        <f aca="false">H398/J398</f>
        <v>0.916666666666667</v>
      </c>
    </row>
    <row r="399" customFormat="false" ht="15" hidden="false" customHeight="false" outlineLevel="0" collapsed="false">
      <c r="A399" s="39" t="s">
        <v>879</v>
      </c>
      <c r="B399" s="39" t="s">
        <v>908</v>
      </c>
      <c r="C399" s="39" t="s">
        <v>907</v>
      </c>
      <c r="D399" s="39" t="s">
        <v>886</v>
      </c>
      <c r="E399" s="39" t="s">
        <v>884</v>
      </c>
      <c r="F399" s="39"/>
      <c r="G399" s="58" t="n">
        <v>915</v>
      </c>
      <c r="H399" s="34" t="n">
        <f aca="false">G399*2</f>
        <v>1830</v>
      </c>
      <c r="I399" s="39" t="str">
        <f aca="false">A399&amp;"|"&amp;B399&amp;"|"&amp;D399&amp;"|"&amp;E399&amp;F399</f>
        <v>auto|Tulsa|scenario C (age 36)|female</v>
      </c>
      <c r="J399" s="34" t="n">
        <f aca="false" t="array" ref="J399:J399">MEDIAN(IF($I$4:$I$1803=I399,$H$4:$H$1803))</f>
        <v>1976</v>
      </c>
      <c r="K399" s="59" t="n">
        <f aca="false">H399/J399</f>
        <v>0.926113360323887</v>
      </c>
    </row>
    <row r="400" customFormat="false" ht="15" hidden="false" customHeight="false" outlineLevel="0" collapsed="false">
      <c r="A400" s="39" t="s">
        <v>879</v>
      </c>
      <c r="B400" s="39" t="s">
        <v>908</v>
      </c>
      <c r="C400" s="39" t="s">
        <v>907</v>
      </c>
      <c r="D400" s="39" t="s">
        <v>887</v>
      </c>
      <c r="E400" s="39" t="s">
        <v>883</v>
      </c>
      <c r="F400" s="39"/>
      <c r="G400" s="58" t="n">
        <v>828</v>
      </c>
      <c r="H400" s="34" t="n">
        <f aca="false">G400*2</f>
        <v>1656</v>
      </c>
      <c r="I400" s="39" t="str">
        <f aca="false">A400&amp;"|"&amp;B400&amp;"|"&amp;D400&amp;"|"&amp;E400&amp;F400</f>
        <v>auto|Tulsa|scenario D (age 55)|male</v>
      </c>
      <c r="J400" s="34" t="n">
        <f aca="false" t="array" ref="J400:J400">MEDIAN(IF($I$4:$I$1803=I400,$H$4:$H$1803))</f>
        <v>1765</v>
      </c>
      <c r="K400" s="59" t="n">
        <f aca="false">H400/J400</f>
        <v>0.938243626062323</v>
      </c>
    </row>
    <row r="401" customFormat="false" ht="15" hidden="false" customHeight="false" outlineLevel="0" collapsed="false">
      <c r="A401" s="39" t="s">
        <v>879</v>
      </c>
      <c r="B401" s="39" t="s">
        <v>908</v>
      </c>
      <c r="C401" s="39" t="s">
        <v>907</v>
      </c>
      <c r="D401" s="39" t="s">
        <v>887</v>
      </c>
      <c r="E401" s="39" t="s">
        <v>884</v>
      </c>
      <c r="F401" s="39"/>
      <c r="G401" s="58" t="n">
        <v>828</v>
      </c>
      <c r="H401" s="34" t="n">
        <f aca="false">G401*2</f>
        <v>1656</v>
      </c>
      <c r="I401" s="39" t="str">
        <f aca="false">A401&amp;"|"&amp;B401&amp;"|"&amp;D401&amp;"|"&amp;E401&amp;F401</f>
        <v>auto|Tulsa|scenario D (age 55)|female</v>
      </c>
      <c r="J401" s="34" t="n">
        <f aca="false" t="array" ref="J401:J401">MEDIAN(IF($I$4:$I$1803=I401,$H$4:$H$1803))</f>
        <v>1781</v>
      </c>
      <c r="K401" s="59" t="n">
        <f aca="false">H401/J401</f>
        <v>0.929814710836609</v>
      </c>
    </row>
    <row r="402" customFormat="false" ht="15" hidden="false" customHeight="false" outlineLevel="0" collapsed="false">
      <c r="A402" s="39" t="s">
        <v>879</v>
      </c>
      <c r="B402" s="39" t="s">
        <v>908</v>
      </c>
      <c r="C402" s="39" t="s">
        <v>907</v>
      </c>
      <c r="D402" s="39" t="s">
        <v>888</v>
      </c>
      <c r="E402" s="39" t="s">
        <v>883</v>
      </c>
      <c r="F402" s="39"/>
      <c r="G402" s="58" t="n">
        <v>856</v>
      </c>
      <c r="H402" s="34" t="n">
        <f aca="false">G402*2</f>
        <v>1712</v>
      </c>
      <c r="I402" s="39" t="str">
        <f aca="false">A402&amp;"|"&amp;B402&amp;"|"&amp;D402&amp;"|"&amp;E402&amp;F402</f>
        <v>auto|Tulsa|scenario E (age 70)|male</v>
      </c>
      <c r="J402" s="34" t="n">
        <f aca="false" t="array" ref="J402:J402">MEDIAN(IF($I$4:$I$1803=I402,$H$4:$H$1803))</f>
        <v>1676</v>
      </c>
      <c r="K402" s="59" t="n">
        <f aca="false">H402/J402</f>
        <v>1.02147971360382</v>
      </c>
    </row>
    <row r="403" customFormat="false" ht="15" hidden="false" customHeight="false" outlineLevel="0" collapsed="false">
      <c r="A403" s="39" t="s">
        <v>879</v>
      </c>
      <c r="B403" s="39" t="s">
        <v>908</v>
      </c>
      <c r="C403" s="39" t="s">
        <v>907</v>
      </c>
      <c r="D403" s="39" t="s">
        <v>888</v>
      </c>
      <c r="E403" s="39" t="s">
        <v>884</v>
      </c>
      <c r="F403" s="39"/>
      <c r="G403" s="58" t="n">
        <v>863</v>
      </c>
      <c r="H403" s="34" t="n">
        <f aca="false">G403*2</f>
        <v>1726</v>
      </c>
      <c r="I403" s="39" t="str">
        <f aca="false">A403&amp;"|"&amp;B403&amp;"|"&amp;D403&amp;"|"&amp;E403&amp;F403</f>
        <v>auto|Tulsa|scenario E (age 70)|female</v>
      </c>
      <c r="J403" s="34" t="n">
        <f aca="false" t="array" ref="J403:J403">MEDIAN(IF($I$4:$I$1803=I403,$H$4:$H$1803))</f>
        <v>1677</v>
      </c>
      <c r="K403" s="59" t="n">
        <f aca="false">H403/J403</f>
        <v>1.02921884317233</v>
      </c>
    </row>
    <row r="404" customFormat="false" ht="15" hidden="false" customHeight="false" outlineLevel="0" collapsed="false">
      <c r="A404" s="39" t="s">
        <v>879</v>
      </c>
      <c r="B404" s="39" t="s">
        <v>909</v>
      </c>
      <c r="C404" s="39" t="s">
        <v>881</v>
      </c>
      <c r="D404" s="39" t="s">
        <v>882</v>
      </c>
      <c r="E404" s="39" t="s">
        <v>883</v>
      </c>
      <c r="F404" s="39"/>
      <c r="G404" s="58" t="n">
        <v>5498</v>
      </c>
      <c r="H404" s="34" t="n">
        <f aca="false">G404*2</f>
        <v>10996</v>
      </c>
      <c r="I404" s="39" t="str">
        <f aca="false">A404&amp;"|"&amp;B404&amp;"|"&amp;D404&amp;"|"&amp;E404&amp;F404</f>
        <v>auto|Lawton|scenario A (age 16)|male</v>
      </c>
      <c r="J404" s="34" t="n">
        <f aca="false" t="array" ref="J404:J404">MEDIAN(IF($I$4:$I$1803=I404,$H$4:$H$1803))</f>
        <v>7077</v>
      </c>
      <c r="K404" s="59" t="n">
        <f aca="false">H404/J404</f>
        <v>1.55376571993783</v>
      </c>
    </row>
    <row r="405" customFormat="false" ht="15" hidden="false" customHeight="false" outlineLevel="0" collapsed="false">
      <c r="A405" s="39" t="s">
        <v>879</v>
      </c>
      <c r="B405" s="39" t="s">
        <v>909</v>
      </c>
      <c r="C405" s="39" t="s">
        <v>881</v>
      </c>
      <c r="D405" s="39" t="s">
        <v>882</v>
      </c>
      <c r="E405" s="39" t="s">
        <v>884</v>
      </c>
      <c r="F405" s="39"/>
      <c r="G405" s="58" t="n">
        <v>5030</v>
      </c>
      <c r="H405" s="34" t="n">
        <f aca="false">G405*2</f>
        <v>10060</v>
      </c>
      <c r="I405" s="39" t="str">
        <f aca="false">A405&amp;"|"&amp;B405&amp;"|"&amp;D405&amp;"|"&amp;E405&amp;F405</f>
        <v>auto|Lawton|scenario A (age 16)|female</v>
      </c>
      <c r="J405" s="34" t="n">
        <f aca="false" t="array" ref="J405:J405">MEDIAN(IF($I$4:$I$1803=I405,$H$4:$H$1803))</f>
        <v>5882</v>
      </c>
      <c r="K405" s="59" t="n">
        <f aca="false">H405/J405</f>
        <v>1.71030261815709</v>
      </c>
    </row>
    <row r="406" customFormat="false" ht="15" hidden="false" customHeight="false" outlineLevel="0" collapsed="false">
      <c r="A406" s="39" t="s">
        <v>879</v>
      </c>
      <c r="B406" s="39" t="s">
        <v>909</v>
      </c>
      <c r="C406" s="39" t="s">
        <v>881</v>
      </c>
      <c r="D406" s="39" t="s">
        <v>885</v>
      </c>
      <c r="E406" s="39" t="s">
        <v>883</v>
      </c>
      <c r="F406" s="39"/>
      <c r="G406" s="58" t="n">
        <v>1725</v>
      </c>
      <c r="H406" s="34" t="n">
        <f aca="false">G406*2</f>
        <v>3450</v>
      </c>
      <c r="I406" s="39" t="str">
        <f aca="false">A406&amp;"|"&amp;B406&amp;"|"&amp;D406&amp;"|"&amp;E406&amp;F406</f>
        <v>auto|Lawton|scenario B (age 21)|male</v>
      </c>
      <c r="J406" s="34" t="n">
        <f aca="false" t="array" ref="J406:J406">MEDIAN(IF($I$4:$I$1803=I406,$H$4:$H$1803))</f>
        <v>3033</v>
      </c>
      <c r="K406" s="59" t="n">
        <f aca="false">H406/J406</f>
        <v>1.13748763600396</v>
      </c>
    </row>
    <row r="407" customFormat="false" ht="15" hidden="false" customHeight="false" outlineLevel="0" collapsed="false">
      <c r="A407" s="39" t="s">
        <v>879</v>
      </c>
      <c r="B407" s="39" t="s">
        <v>909</v>
      </c>
      <c r="C407" s="39" t="s">
        <v>881</v>
      </c>
      <c r="D407" s="39" t="s">
        <v>885</v>
      </c>
      <c r="E407" s="39" t="s">
        <v>884</v>
      </c>
      <c r="F407" s="39"/>
      <c r="G407" s="58" t="n">
        <v>1407</v>
      </c>
      <c r="H407" s="34" t="n">
        <f aca="false">G407*2</f>
        <v>2814</v>
      </c>
      <c r="I407" s="39" t="str">
        <f aca="false">A407&amp;"|"&amp;B407&amp;"|"&amp;D407&amp;"|"&amp;E407&amp;F407</f>
        <v>auto|Lawton|scenario B (age 21)|female</v>
      </c>
      <c r="J407" s="34" t="n">
        <f aca="false" t="array" ref="J407:J407">MEDIAN(IF($I$4:$I$1803=I407,$H$4:$H$1803))</f>
        <v>2769</v>
      </c>
      <c r="K407" s="59" t="n">
        <f aca="false">H407/J407</f>
        <v>1.01625135427952</v>
      </c>
    </row>
    <row r="408" customFormat="false" ht="15" hidden="false" customHeight="false" outlineLevel="0" collapsed="false">
      <c r="A408" s="39" t="s">
        <v>879</v>
      </c>
      <c r="B408" s="39" t="s">
        <v>909</v>
      </c>
      <c r="C408" s="39" t="s">
        <v>881</v>
      </c>
      <c r="D408" s="39" t="s">
        <v>886</v>
      </c>
      <c r="E408" s="39" t="s">
        <v>883</v>
      </c>
      <c r="F408" s="39"/>
      <c r="G408" s="58" t="n">
        <v>925</v>
      </c>
      <c r="H408" s="34" t="n">
        <f aca="false">G408*2</f>
        <v>1850</v>
      </c>
      <c r="I408" s="39" t="str">
        <f aca="false">A408&amp;"|"&amp;B408&amp;"|"&amp;D408&amp;"|"&amp;E408&amp;F408</f>
        <v>auto|Lawton|scenario C (age 36)|male</v>
      </c>
      <c r="J408" s="34" t="n">
        <f aca="false" t="array" ref="J408:J408">MEDIAN(IF($I$4:$I$1803=I408,$H$4:$H$1803))</f>
        <v>1878</v>
      </c>
      <c r="K408" s="59" t="n">
        <f aca="false">H408/J408</f>
        <v>0.985090521831736</v>
      </c>
    </row>
    <row r="409" customFormat="false" ht="15" hidden="false" customHeight="false" outlineLevel="0" collapsed="false">
      <c r="A409" s="39" t="s">
        <v>879</v>
      </c>
      <c r="B409" s="39" t="s">
        <v>909</v>
      </c>
      <c r="C409" s="39" t="s">
        <v>881</v>
      </c>
      <c r="D409" s="39" t="s">
        <v>886</v>
      </c>
      <c r="E409" s="39" t="s">
        <v>884</v>
      </c>
      <c r="F409" s="39"/>
      <c r="G409" s="58" t="n">
        <v>922</v>
      </c>
      <c r="H409" s="34" t="n">
        <f aca="false">G409*2</f>
        <v>1844</v>
      </c>
      <c r="I409" s="39" t="str">
        <f aca="false">A409&amp;"|"&amp;B409&amp;"|"&amp;D409&amp;"|"&amp;E409&amp;F409</f>
        <v>auto|Lawton|scenario C (age 36)|female</v>
      </c>
      <c r="J409" s="34" t="n">
        <f aca="false" t="array" ref="J409:J409">MEDIAN(IF($I$4:$I$1803=I409,$H$4:$H$1803))</f>
        <v>1834</v>
      </c>
      <c r="K409" s="59" t="n">
        <f aca="false">H409/J409</f>
        <v>1.00545256270447</v>
      </c>
    </row>
    <row r="410" customFormat="false" ht="15" hidden="false" customHeight="false" outlineLevel="0" collapsed="false">
      <c r="A410" s="39" t="s">
        <v>879</v>
      </c>
      <c r="B410" s="39" t="s">
        <v>909</v>
      </c>
      <c r="C410" s="39" t="s">
        <v>881</v>
      </c>
      <c r="D410" s="39" t="s">
        <v>887</v>
      </c>
      <c r="E410" s="39" t="s">
        <v>883</v>
      </c>
      <c r="F410" s="39"/>
      <c r="G410" s="58" t="n">
        <v>904</v>
      </c>
      <c r="H410" s="34" t="n">
        <f aca="false">G410*2</f>
        <v>1808</v>
      </c>
      <c r="I410" s="39" t="str">
        <f aca="false">A410&amp;"|"&amp;B410&amp;"|"&amp;D410&amp;"|"&amp;E410&amp;F410</f>
        <v>auto|Lawton|scenario D (age 55)|male</v>
      </c>
      <c r="J410" s="34" t="n">
        <f aca="false" t="array" ref="J410:J410">MEDIAN(IF($I$4:$I$1803=I410,$H$4:$H$1803))</f>
        <v>1582</v>
      </c>
      <c r="K410" s="59" t="n">
        <f aca="false">H410/J410</f>
        <v>1.14285714285714</v>
      </c>
    </row>
    <row r="411" customFormat="false" ht="15" hidden="false" customHeight="false" outlineLevel="0" collapsed="false">
      <c r="A411" s="39" t="s">
        <v>879</v>
      </c>
      <c r="B411" s="39" t="s">
        <v>909</v>
      </c>
      <c r="C411" s="39" t="s">
        <v>881</v>
      </c>
      <c r="D411" s="39" t="s">
        <v>887</v>
      </c>
      <c r="E411" s="39" t="s">
        <v>884</v>
      </c>
      <c r="F411" s="39"/>
      <c r="G411" s="58" t="n">
        <v>856</v>
      </c>
      <c r="H411" s="34" t="n">
        <f aca="false">G411*2</f>
        <v>1712</v>
      </c>
      <c r="I411" s="39" t="str">
        <f aca="false">A411&amp;"|"&amp;B411&amp;"|"&amp;D411&amp;"|"&amp;E411&amp;F411</f>
        <v>auto|Lawton|scenario D (age 55)|female</v>
      </c>
      <c r="J411" s="34" t="n">
        <f aca="false" t="array" ref="J411:J411">MEDIAN(IF($I$4:$I$1803=I411,$H$4:$H$1803))</f>
        <v>1515</v>
      </c>
      <c r="K411" s="59" t="n">
        <f aca="false">H411/J411</f>
        <v>1.13003300330033</v>
      </c>
    </row>
    <row r="412" customFormat="false" ht="15" hidden="false" customHeight="false" outlineLevel="0" collapsed="false">
      <c r="A412" s="39" t="s">
        <v>879</v>
      </c>
      <c r="B412" s="39" t="s">
        <v>909</v>
      </c>
      <c r="C412" s="39" t="s">
        <v>881</v>
      </c>
      <c r="D412" s="39" t="s">
        <v>888</v>
      </c>
      <c r="E412" s="39" t="s">
        <v>883</v>
      </c>
      <c r="F412" s="39"/>
      <c r="G412" s="58" t="n">
        <v>950</v>
      </c>
      <c r="H412" s="34" t="n">
        <f aca="false">G412*2</f>
        <v>1900</v>
      </c>
      <c r="I412" s="39" t="str">
        <f aca="false">A412&amp;"|"&amp;B412&amp;"|"&amp;D412&amp;"|"&amp;E412&amp;F412</f>
        <v>auto|Lawton|scenario E (age 70)|male</v>
      </c>
      <c r="J412" s="34" t="n">
        <f aca="false" t="array" ref="J412:J412">MEDIAN(IF($I$4:$I$1803=I412,$H$4:$H$1803))</f>
        <v>1386</v>
      </c>
      <c r="K412" s="59" t="n">
        <f aca="false">H412/J412</f>
        <v>1.37085137085137</v>
      </c>
    </row>
    <row r="413" customFormat="false" ht="15" hidden="false" customHeight="false" outlineLevel="0" collapsed="false">
      <c r="A413" s="39" t="s">
        <v>879</v>
      </c>
      <c r="B413" s="39" t="s">
        <v>909</v>
      </c>
      <c r="C413" s="39" t="s">
        <v>881</v>
      </c>
      <c r="D413" s="39" t="s">
        <v>888</v>
      </c>
      <c r="E413" s="39" t="s">
        <v>884</v>
      </c>
      <c r="F413" s="39"/>
      <c r="G413" s="58" t="n">
        <v>900</v>
      </c>
      <c r="H413" s="34" t="n">
        <f aca="false">G413*2</f>
        <v>1800</v>
      </c>
      <c r="I413" s="39" t="str">
        <f aca="false">A413&amp;"|"&amp;B413&amp;"|"&amp;D413&amp;"|"&amp;E413&amp;F413</f>
        <v>auto|Lawton|scenario E (age 70)|female</v>
      </c>
      <c r="J413" s="34" t="n">
        <f aca="false" t="array" ref="J413:J413">MEDIAN(IF($I$4:$I$1803=I413,$H$4:$H$1803))</f>
        <v>1396</v>
      </c>
      <c r="K413" s="59" t="n">
        <f aca="false">H413/J413</f>
        <v>1.28939828080229</v>
      </c>
    </row>
    <row r="414" customFormat="false" ht="15" hidden="false" customHeight="false" outlineLevel="0" collapsed="false">
      <c r="A414" s="39" t="s">
        <v>879</v>
      </c>
      <c r="B414" s="39" t="s">
        <v>909</v>
      </c>
      <c r="C414" s="39" t="s">
        <v>889</v>
      </c>
      <c r="D414" s="39" t="s">
        <v>882</v>
      </c>
      <c r="E414" s="39" t="s">
        <v>883</v>
      </c>
      <c r="F414" s="39"/>
      <c r="G414" s="58" t="n">
        <v>2711</v>
      </c>
      <c r="H414" s="34" t="n">
        <f aca="false">G414*2</f>
        <v>5422</v>
      </c>
      <c r="I414" s="39" t="str">
        <f aca="false">A414&amp;"|"&amp;B414&amp;"|"&amp;D414&amp;"|"&amp;E414&amp;F414</f>
        <v>auto|Lawton|scenario A (age 16)|male</v>
      </c>
      <c r="J414" s="34" t="n">
        <f aca="false" t="array" ref="J414:J414">MEDIAN(IF($I$4:$I$1803=I414,$H$4:$H$1803))</f>
        <v>7077</v>
      </c>
      <c r="K414" s="59" t="n">
        <f aca="false">H414/J414</f>
        <v>0.766143846262541</v>
      </c>
    </row>
    <row r="415" customFormat="false" ht="15" hidden="false" customHeight="false" outlineLevel="0" collapsed="false">
      <c r="A415" s="39" t="s">
        <v>879</v>
      </c>
      <c r="B415" s="39" t="s">
        <v>909</v>
      </c>
      <c r="C415" s="39" t="s">
        <v>889</v>
      </c>
      <c r="D415" s="39" t="s">
        <v>882</v>
      </c>
      <c r="E415" s="39" t="s">
        <v>884</v>
      </c>
      <c r="F415" s="39"/>
      <c r="G415" s="58" t="n">
        <v>2603</v>
      </c>
      <c r="H415" s="34" t="n">
        <f aca="false">G415*2</f>
        <v>5206</v>
      </c>
      <c r="I415" s="39" t="str">
        <f aca="false">A415&amp;"|"&amp;B415&amp;"|"&amp;D415&amp;"|"&amp;E415&amp;F415</f>
        <v>auto|Lawton|scenario A (age 16)|female</v>
      </c>
      <c r="J415" s="34" t="n">
        <f aca="false" t="array" ref="J415:J415">MEDIAN(IF($I$4:$I$1803=I415,$H$4:$H$1803))</f>
        <v>5882</v>
      </c>
      <c r="K415" s="59" t="n">
        <f aca="false">H415/J415</f>
        <v>0.885073104386263</v>
      </c>
    </row>
    <row r="416" customFormat="false" ht="15" hidden="false" customHeight="false" outlineLevel="0" collapsed="false">
      <c r="A416" s="39" t="s">
        <v>879</v>
      </c>
      <c r="B416" s="39" t="s">
        <v>909</v>
      </c>
      <c r="C416" s="39" t="s">
        <v>889</v>
      </c>
      <c r="D416" s="39" t="s">
        <v>885</v>
      </c>
      <c r="E416" s="39" t="s">
        <v>883</v>
      </c>
      <c r="F416" s="39"/>
      <c r="G416" s="58" t="n">
        <v>1912</v>
      </c>
      <c r="H416" s="34" t="n">
        <f aca="false">G416*2</f>
        <v>3824</v>
      </c>
      <c r="I416" s="39" t="str">
        <f aca="false">A416&amp;"|"&amp;B416&amp;"|"&amp;D416&amp;"|"&amp;E416&amp;F416</f>
        <v>auto|Lawton|scenario B (age 21)|male</v>
      </c>
      <c r="J416" s="34" t="n">
        <f aca="false" t="array" ref="J416:J416">MEDIAN(IF($I$4:$I$1803=I416,$H$4:$H$1803))</f>
        <v>3033</v>
      </c>
      <c r="K416" s="59" t="n">
        <f aca="false">H416/J416</f>
        <v>1.26079788987801</v>
      </c>
    </row>
    <row r="417" customFormat="false" ht="15" hidden="false" customHeight="false" outlineLevel="0" collapsed="false">
      <c r="A417" s="39" t="s">
        <v>879</v>
      </c>
      <c r="B417" s="39" t="s">
        <v>909</v>
      </c>
      <c r="C417" s="39" t="s">
        <v>889</v>
      </c>
      <c r="D417" s="39" t="s">
        <v>885</v>
      </c>
      <c r="E417" s="39" t="s">
        <v>884</v>
      </c>
      <c r="F417" s="39"/>
      <c r="G417" s="58" t="n">
        <v>1842</v>
      </c>
      <c r="H417" s="34" t="n">
        <f aca="false">G417*2</f>
        <v>3684</v>
      </c>
      <c r="I417" s="39" t="str">
        <f aca="false">A417&amp;"|"&amp;B417&amp;"|"&amp;D417&amp;"|"&amp;E417&amp;F417</f>
        <v>auto|Lawton|scenario B (age 21)|female</v>
      </c>
      <c r="J417" s="34" t="n">
        <f aca="false" t="array" ref="J417:J417">MEDIAN(IF($I$4:$I$1803=I417,$H$4:$H$1803))</f>
        <v>2769</v>
      </c>
      <c r="K417" s="59" t="n">
        <f aca="false">H417/J417</f>
        <v>1.33044420368364</v>
      </c>
    </row>
    <row r="418" customFormat="false" ht="15" hidden="false" customHeight="false" outlineLevel="0" collapsed="false">
      <c r="A418" s="39" t="s">
        <v>879</v>
      </c>
      <c r="B418" s="39" t="s">
        <v>909</v>
      </c>
      <c r="C418" s="39" t="s">
        <v>889</v>
      </c>
      <c r="D418" s="39" t="s">
        <v>886</v>
      </c>
      <c r="E418" s="39" t="s">
        <v>883</v>
      </c>
      <c r="F418" s="39"/>
      <c r="G418" s="58" t="n">
        <v>1299</v>
      </c>
      <c r="H418" s="34" t="n">
        <f aca="false">G418*2</f>
        <v>2598</v>
      </c>
      <c r="I418" s="39" t="str">
        <f aca="false">A418&amp;"|"&amp;B418&amp;"|"&amp;D418&amp;"|"&amp;E418&amp;F418</f>
        <v>auto|Lawton|scenario C (age 36)|male</v>
      </c>
      <c r="J418" s="34" t="n">
        <f aca="false" t="array" ref="J418:J418">MEDIAN(IF($I$4:$I$1803=I418,$H$4:$H$1803))</f>
        <v>1878</v>
      </c>
      <c r="K418" s="59" t="n">
        <f aca="false">H418/J418</f>
        <v>1.38338658146965</v>
      </c>
    </row>
    <row r="419" customFormat="false" ht="15" hidden="false" customHeight="false" outlineLevel="0" collapsed="false">
      <c r="A419" s="39" t="s">
        <v>879</v>
      </c>
      <c r="B419" s="39" t="s">
        <v>909</v>
      </c>
      <c r="C419" s="39" t="s">
        <v>889</v>
      </c>
      <c r="D419" s="39" t="s">
        <v>886</v>
      </c>
      <c r="E419" s="39" t="s">
        <v>884</v>
      </c>
      <c r="F419" s="39"/>
      <c r="G419" s="58" t="n">
        <v>1258</v>
      </c>
      <c r="H419" s="34" t="n">
        <f aca="false">G419*2</f>
        <v>2516</v>
      </c>
      <c r="I419" s="39" t="str">
        <f aca="false">A419&amp;"|"&amp;B419&amp;"|"&amp;D419&amp;"|"&amp;E419&amp;F419</f>
        <v>auto|Lawton|scenario C (age 36)|female</v>
      </c>
      <c r="J419" s="34" t="n">
        <f aca="false" t="array" ref="J419:J419">MEDIAN(IF($I$4:$I$1803=I419,$H$4:$H$1803))</f>
        <v>1834</v>
      </c>
      <c r="K419" s="59" t="n">
        <f aca="false">H419/J419</f>
        <v>1.37186477644493</v>
      </c>
    </row>
    <row r="420" customFormat="false" ht="15" hidden="false" customHeight="false" outlineLevel="0" collapsed="false">
      <c r="A420" s="39" t="s">
        <v>879</v>
      </c>
      <c r="B420" s="39" t="s">
        <v>909</v>
      </c>
      <c r="C420" s="39" t="s">
        <v>889</v>
      </c>
      <c r="D420" s="39" t="s">
        <v>887</v>
      </c>
      <c r="E420" s="39" t="s">
        <v>883</v>
      </c>
      <c r="F420" s="39"/>
      <c r="G420" s="58" t="n">
        <v>1278</v>
      </c>
      <c r="H420" s="34" t="n">
        <f aca="false">G420*2</f>
        <v>2556</v>
      </c>
      <c r="I420" s="39" t="str">
        <f aca="false">A420&amp;"|"&amp;B420&amp;"|"&amp;D420&amp;"|"&amp;E420&amp;F420</f>
        <v>auto|Lawton|scenario D (age 55)|male</v>
      </c>
      <c r="J420" s="34" t="n">
        <f aca="false" t="array" ref="J420:J420">MEDIAN(IF($I$4:$I$1803=I420,$H$4:$H$1803))</f>
        <v>1582</v>
      </c>
      <c r="K420" s="59" t="n">
        <f aca="false">H420/J420</f>
        <v>1.61567635903919</v>
      </c>
    </row>
    <row r="421" customFormat="false" ht="15" hidden="false" customHeight="false" outlineLevel="0" collapsed="false">
      <c r="A421" s="39" t="s">
        <v>879</v>
      </c>
      <c r="B421" s="39" t="s">
        <v>909</v>
      </c>
      <c r="C421" s="39" t="s">
        <v>889</v>
      </c>
      <c r="D421" s="39" t="s">
        <v>887</v>
      </c>
      <c r="E421" s="39" t="s">
        <v>884</v>
      </c>
      <c r="F421" s="39"/>
      <c r="G421" s="58" t="n">
        <v>1239</v>
      </c>
      <c r="H421" s="34" t="n">
        <f aca="false">G421*2</f>
        <v>2478</v>
      </c>
      <c r="I421" s="39" t="str">
        <f aca="false">A421&amp;"|"&amp;B421&amp;"|"&amp;D421&amp;"|"&amp;E421&amp;F421</f>
        <v>auto|Lawton|scenario D (age 55)|female</v>
      </c>
      <c r="J421" s="34" t="n">
        <f aca="false" t="array" ref="J421:J421">MEDIAN(IF($I$4:$I$1803=I421,$H$4:$H$1803))</f>
        <v>1515</v>
      </c>
      <c r="K421" s="59" t="n">
        <f aca="false">H421/J421</f>
        <v>1.63564356435644</v>
      </c>
    </row>
    <row r="422" customFormat="false" ht="15" hidden="false" customHeight="false" outlineLevel="0" collapsed="false">
      <c r="A422" s="39" t="s">
        <v>879</v>
      </c>
      <c r="B422" s="39" t="s">
        <v>909</v>
      </c>
      <c r="C422" s="39" t="s">
        <v>889</v>
      </c>
      <c r="D422" s="39" t="s">
        <v>888</v>
      </c>
      <c r="E422" s="39" t="s">
        <v>883</v>
      </c>
      <c r="F422" s="39"/>
      <c r="G422" s="58" t="n">
        <v>1258</v>
      </c>
      <c r="H422" s="34" t="n">
        <f aca="false">G422*2</f>
        <v>2516</v>
      </c>
      <c r="I422" s="39" t="str">
        <f aca="false">A422&amp;"|"&amp;B422&amp;"|"&amp;D422&amp;"|"&amp;E422&amp;F422</f>
        <v>auto|Lawton|scenario E (age 70)|male</v>
      </c>
      <c r="J422" s="34" t="n">
        <f aca="false" t="array" ref="J422:J422">MEDIAN(IF($I$4:$I$1803=I422,$H$4:$H$1803))</f>
        <v>1386</v>
      </c>
      <c r="K422" s="59" t="n">
        <f aca="false">H422/J422</f>
        <v>1.81529581529582</v>
      </c>
    </row>
    <row r="423" customFormat="false" ht="15" hidden="false" customHeight="false" outlineLevel="0" collapsed="false">
      <c r="A423" s="39" t="s">
        <v>879</v>
      </c>
      <c r="B423" s="39" t="s">
        <v>909</v>
      </c>
      <c r="C423" s="39" t="s">
        <v>889</v>
      </c>
      <c r="D423" s="39" t="s">
        <v>888</v>
      </c>
      <c r="E423" s="39" t="s">
        <v>884</v>
      </c>
      <c r="F423" s="39"/>
      <c r="G423" s="58" t="n">
        <v>1220</v>
      </c>
      <c r="H423" s="34" t="n">
        <f aca="false">G423*2</f>
        <v>2440</v>
      </c>
      <c r="I423" s="39" t="str">
        <f aca="false">A423&amp;"|"&amp;B423&amp;"|"&amp;D423&amp;"|"&amp;E423&amp;F423</f>
        <v>auto|Lawton|scenario E (age 70)|female</v>
      </c>
      <c r="J423" s="34" t="n">
        <f aca="false" t="array" ref="J423:J423">MEDIAN(IF($I$4:$I$1803=I423,$H$4:$H$1803))</f>
        <v>1396</v>
      </c>
      <c r="K423" s="59" t="n">
        <f aca="false">H423/J423</f>
        <v>1.74785100286533</v>
      </c>
    </row>
    <row r="424" customFormat="false" ht="15" hidden="false" customHeight="false" outlineLevel="0" collapsed="false">
      <c r="A424" s="39" t="s">
        <v>879</v>
      </c>
      <c r="B424" s="39" t="s">
        <v>909</v>
      </c>
      <c r="C424" s="39" t="s">
        <v>890</v>
      </c>
      <c r="D424" s="39" t="s">
        <v>882</v>
      </c>
      <c r="E424" s="39" t="s">
        <v>883</v>
      </c>
      <c r="F424" s="39"/>
      <c r="G424" s="58" t="n">
        <v>3574</v>
      </c>
      <c r="H424" s="34" t="n">
        <f aca="false">G424*2</f>
        <v>7148</v>
      </c>
      <c r="I424" s="39" t="str">
        <f aca="false">A424&amp;"|"&amp;B424&amp;"|"&amp;D424&amp;"|"&amp;E424&amp;F424</f>
        <v>auto|Lawton|scenario A (age 16)|male</v>
      </c>
      <c r="J424" s="34" t="n">
        <f aca="false" t="array" ref="J424:J424">MEDIAN(IF($I$4:$I$1803=I424,$H$4:$H$1803))</f>
        <v>7077</v>
      </c>
      <c r="K424" s="59" t="n">
        <f aca="false">H424/J424</f>
        <v>1.01003249964674</v>
      </c>
    </row>
    <row r="425" customFormat="false" ht="15" hidden="false" customHeight="false" outlineLevel="0" collapsed="false">
      <c r="A425" s="39" t="s">
        <v>879</v>
      </c>
      <c r="B425" s="39" t="s">
        <v>909</v>
      </c>
      <c r="C425" s="39" t="s">
        <v>890</v>
      </c>
      <c r="D425" s="39" t="s">
        <v>882</v>
      </c>
      <c r="E425" s="39" t="s">
        <v>884</v>
      </c>
      <c r="F425" s="39"/>
      <c r="G425" s="58" t="n">
        <v>3119</v>
      </c>
      <c r="H425" s="34" t="n">
        <f aca="false">G425*2</f>
        <v>6238</v>
      </c>
      <c r="I425" s="39" t="str">
        <f aca="false">A425&amp;"|"&amp;B425&amp;"|"&amp;D425&amp;"|"&amp;E425&amp;F425</f>
        <v>auto|Lawton|scenario A (age 16)|female</v>
      </c>
      <c r="J425" s="34" t="n">
        <f aca="false" t="array" ref="J425:J425">MEDIAN(IF($I$4:$I$1803=I425,$H$4:$H$1803))</f>
        <v>5882</v>
      </c>
      <c r="K425" s="59" t="n">
        <f aca="false">H425/J425</f>
        <v>1.06052363141789</v>
      </c>
    </row>
    <row r="426" customFormat="false" ht="15" hidden="false" customHeight="false" outlineLevel="0" collapsed="false">
      <c r="A426" s="39" t="s">
        <v>879</v>
      </c>
      <c r="B426" s="39" t="s">
        <v>909</v>
      </c>
      <c r="C426" s="39" t="s">
        <v>890</v>
      </c>
      <c r="D426" s="39" t="s">
        <v>885</v>
      </c>
      <c r="E426" s="39" t="s">
        <v>883</v>
      </c>
      <c r="F426" s="39"/>
      <c r="G426" s="58" t="n">
        <v>2333</v>
      </c>
      <c r="H426" s="34" t="n">
        <f aca="false">G426*2</f>
        <v>4666</v>
      </c>
      <c r="I426" s="39" t="str">
        <f aca="false">A426&amp;"|"&amp;B426&amp;"|"&amp;D426&amp;"|"&amp;E426&amp;F426</f>
        <v>auto|Lawton|scenario B (age 21)|male</v>
      </c>
      <c r="J426" s="34" t="n">
        <f aca="false" t="array" ref="J426:J426">MEDIAN(IF($I$4:$I$1803=I426,$H$4:$H$1803))</f>
        <v>3033</v>
      </c>
      <c r="K426" s="59" t="n">
        <f aca="false">H426/J426</f>
        <v>1.53841081437521</v>
      </c>
    </row>
    <row r="427" customFormat="false" ht="15" hidden="false" customHeight="false" outlineLevel="0" collapsed="false">
      <c r="A427" s="39" t="s">
        <v>879</v>
      </c>
      <c r="B427" s="39" t="s">
        <v>909</v>
      </c>
      <c r="C427" s="39" t="s">
        <v>890</v>
      </c>
      <c r="D427" s="39" t="s">
        <v>885</v>
      </c>
      <c r="E427" s="39" t="s">
        <v>884</v>
      </c>
      <c r="F427" s="39"/>
      <c r="G427" s="58" t="n">
        <v>1815</v>
      </c>
      <c r="H427" s="34" t="n">
        <f aca="false">G427*2</f>
        <v>3630</v>
      </c>
      <c r="I427" s="39" t="str">
        <f aca="false">A427&amp;"|"&amp;B427&amp;"|"&amp;D427&amp;"|"&amp;E427&amp;F427</f>
        <v>auto|Lawton|scenario B (age 21)|female</v>
      </c>
      <c r="J427" s="34" t="n">
        <f aca="false" t="array" ref="J427:J427">MEDIAN(IF($I$4:$I$1803=I427,$H$4:$H$1803))</f>
        <v>2769</v>
      </c>
      <c r="K427" s="59" t="n">
        <f aca="false">H427/J427</f>
        <v>1.31094257854821</v>
      </c>
    </row>
    <row r="428" customFormat="false" ht="15" hidden="false" customHeight="false" outlineLevel="0" collapsed="false">
      <c r="A428" s="39" t="s">
        <v>879</v>
      </c>
      <c r="B428" s="39" t="s">
        <v>909</v>
      </c>
      <c r="C428" s="39" t="s">
        <v>890</v>
      </c>
      <c r="D428" s="39" t="s">
        <v>886</v>
      </c>
      <c r="E428" s="39" t="s">
        <v>883</v>
      </c>
      <c r="F428" s="39"/>
      <c r="G428" s="58" t="n">
        <v>998</v>
      </c>
      <c r="H428" s="34" t="n">
        <f aca="false">G428*2</f>
        <v>1996</v>
      </c>
      <c r="I428" s="39" t="str">
        <f aca="false">A428&amp;"|"&amp;B428&amp;"|"&amp;D428&amp;"|"&amp;E428&amp;F428</f>
        <v>auto|Lawton|scenario C (age 36)|male</v>
      </c>
      <c r="J428" s="34" t="n">
        <f aca="false" t="array" ref="J428:J428">MEDIAN(IF($I$4:$I$1803=I428,$H$4:$H$1803))</f>
        <v>1878</v>
      </c>
      <c r="K428" s="59" t="n">
        <f aca="false">H428/J428</f>
        <v>1.06283280085197</v>
      </c>
    </row>
    <row r="429" customFormat="false" ht="15" hidden="false" customHeight="false" outlineLevel="0" collapsed="false">
      <c r="A429" s="39" t="s">
        <v>879</v>
      </c>
      <c r="B429" s="39" t="s">
        <v>909</v>
      </c>
      <c r="C429" s="39" t="s">
        <v>890</v>
      </c>
      <c r="D429" s="39" t="s">
        <v>886</v>
      </c>
      <c r="E429" s="39" t="s">
        <v>884</v>
      </c>
      <c r="F429" s="39"/>
      <c r="G429" s="58" t="n">
        <v>1003</v>
      </c>
      <c r="H429" s="34" t="n">
        <f aca="false">G429*2</f>
        <v>2006</v>
      </c>
      <c r="I429" s="39" t="str">
        <f aca="false">A429&amp;"|"&amp;B429&amp;"|"&amp;D429&amp;"|"&amp;E429&amp;F429</f>
        <v>auto|Lawton|scenario C (age 36)|female</v>
      </c>
      <c r="J429" s="34" t="n">
        <f aca="false" t="array" ref="J429:J429">MEDIAN(IF($I$4:$I$1803=I429,$H$4:$H$1803))</f>
        <v>1834</v>
      </c>
      <c r="K429" s="59" t="n">
        <f aca="false">H429/J429</f>
        <v>1.0937840785169</v>
      </c>
    </row>
    <row r="430" customFormat="false" ht="15" hidden="false" customHeight="false" outlineLevel="0" collapsed="false">
      <c r="A430" s="39" t="s">
        <v>879</v>
      </c>
      <c r="B430" s="39" t="s">
        <v>909</v>
      </c>
      <c r="C430" s="39" t="s">
        <v>890</v>
      </c>
      <c r="D430" s="39" t="s">
        <v>887</v>
      </c>
      <c r="E430" s="39" t="s">
        <v>883</v>
      </c>
      <c r="F430" s="39"/>
      <c r="G430" s="58" t="n">
        <v>782</v>
      </c>
      <c r="H430" s="34" t="n">
        <f aca="false">G430*2</f>
        <v>1564</v>
      </c>
      <c r="I430" s="39" t="str">
        <f aca="false">A430&amp;"|"&amp;B430&amp;"|"&amp;D430&amp;"|"&amp;E430&amp;F430</f>
        <v>auto|Lawton|scenario D (age 55)|male</v>
      </c>
      <c r="J430" s="34" t="n">
        <f aca="false" t="array" ref="J430:J430">MEDIAN(IF($I$4:$I$1803=I430,$H$4:$H$1803))</f>
        <v>1582</v>
      </c>
      <c r="K430" s="59" t="n">
        <f aca="false">H430/J430</f>
        <v>0.988621997471555</v>
      </c>
    </row>
    <row r="431" customFormat="false" ht="15" hidden="false" customHeight="false" outlineLevel="0" collapsed="false">
      <c r="A431" s="39" t="s">
        <v>879</v>
      </c>
      <c r="B431" s="39" t="s">
        <v>909</v>
      </c>
      <c r="C431" s="39" t="s">
        <v>890</v>
      </c>
      <c r="D431" s="39" t="s">
        <v>887</v>
      </c>
      <c r="E431" s="39" t="s">
        <v>884</v>
      </c>
      <c r="F431" s="39"/>
      <c r="G431" s="58" t="n">
        <v>810</v>
      </c>
      <c r="H431" s="34" t="n">
        <f aca="false">G431*2</f>
        <v>1620</v>
      </c>
      <c r="I431" s="39" t="str">
        <f aca="false">A431&amp;"|"&amp;B431&amp;"|"&amp;D431&amp;"|"&amp;E431&amp;F431</f>
        <v>auto|Lawton|scenario D (age 55)|female</v>
      </c>
      <c r="J431" s="34" t="n">
        <f aca="false" t="array" ref="J431:J431">MEDIAN(IF($I$4:$I$1803=I431,$H$4:$H$1803))</f>
        <v>1515</v>
      </c>
      <c r="K431" s="59" t="n">
        <f aca="false">H431/J431</f>
        <v>1.06930693069307</v>
      </c>
    </row>
    <row r="432" customFormat="false" ht="15" hidden="false" customHeight="false" outlineLevel="0" collapsed="false">
      <c r="A432" s="39" t="s">
        <v>879</v>
      </c>
      <c r="B432" s="39" t="s">
        <v>909</v>
      </c>
      <c r="C432" s="39" t="s">
        <v>890</v>
      </c>
      <c r="D432" s="39" t="s">
        <v>888</v>
      </c>
      <c r="E432" s="39" t="s">
        <v>883</v>
      </c>
      <c r="F432" s="39"/>
      <c r="G432" s="58" t="n">
        <v>847</v>
      </c>
      <c r="H432" s="34" t="n">
        <f aca="false">G432*2</f>
        <v>1694</v>
      </c>
      <c r="I432" s="39" t="str">
        <f aca="false">A432&amp;"|"&amp;B432&amp;"|"&amp;D432&amp;"|"&amp;E432&amp;F432</f>
        <v>auto|Lawton|scenario E (age 70)|male</v>
      </c>
      <c r="J432" s="34" t="n">
        <f aca="false" t="array" ref="J432:J432">MEDIAN(IF($I$4:$I$1803=I432,$H$4:$H$1803))</f>
        <v>1386</v>
      </c>
      <c r="K432" s="59" t="n">
        <f aca="false">H432/J432</f>
        <v>1.22222222222222</v>
      </c>
    </row>
    <row r="433" customFormat="false" ht="15" hidden="false" customHeight="false" outlineLevel="0" collapsed="false">
      <c r="A433" s="39" t="s">
        <v>879</v>
      </c>
      <c r="B433" s="39" t="s">
        <v>909</v>
      </c>
      <c r="C433" s="39" t="s">
        <v>890</v>
      </c>
      <c r="D433" s="39" t="s">
        <v>888</v>
      </c>
      <c r="E433" s="39" t="s">
        <v>884</v>
      </c>
      <c r="F433" s="39"/>
      <c r="G433" s="58" t="n">
        <v>877</v>
      </c>
      <c r="H433" s="34" t="n">
        <f aca="false">G433*2</f>
        <v>1754</v>
      </c>
      <c r="I433" s="39" t="str">
        <f aca="false">A433&amp;"|"&amp;B433&amp;"|"&amp;D433&amp;"|"&amp;E433&amp;F433</f>
        <v>auto|Lawton|scenario E (age 70)|female</v>
      </c>
      <c r="J433" s="34" t="n">
        <f aca="false" t="array" ref="J433:J433">MEDIAN(IF($I$4:$I$1803=I433,$H$4:$H$1803))</f>
        <v>1396</v>
      </c>
      <c r="K433" s="59" t="n">
        <f aca="false">H433/J433</f>
        <v>1.25644699140401</v>
      </c>
    </row>
    <row r="434" customFormat="false" ht="15" hidden="false" customHeight="false" outlineLevel="0" collapsed="false">
      <c r="A434" s="39" t="s">
        <v>879</v>
      </c>
      <c r="B434" s="39" t="s">
        <v>909</v>
      </c>
      <c r="C434" s="39" t="s">
        <v>891</v>
      </c>
      <c r="D434" s="39" t="s">
        <v>882</v>
      </c>
      <c r="E434" s="39" t="s">
        <v>883</v>
      </c>
      <c r="F434" s="39"/>
      <c r="G434" s="58" t="n">
        <v>4667</v>
      </c>
      <c r="H434" s="34" t="n">
        <f aca="false">G434*2</f>
        <v>9334</v>
      </c>
      <c r="I434" s="39" t="str">
        <f aca="false">A434&amp;"|"&amp;B434&amp;"|"&amp;D434&amp;"|"&amp;E434&amp;F434</f>
        <v>auto|Lawton|scenario A (age 16)|male</v>
      </c>
      <c r="J434" s="34" t="n">
        <f aca="false" t="array" ref="J434:J434">MEDIAN(IF($I$4:$I$1803=I434,$H$4:$H$1803))</f>
        <v>7077</v>
      </c>
      <c r="K434" s="59" t="n">
        <f aca="false">H434/J434</f>
        <v>1.31892044651689</v>
      </c>
    </row>
    <row r="435" customFormat="false" ht="15" hidden="false" customHeight="false" outlineLevel="0" collapsed="false">
      <c r="A435" s="39" t="s">
        <v>879</v>
      </c>
      <c r="B435" s="39" t="s">
        <v>909</v>
      </c>
      <c r="C435" s="39" t="s">
        <v>891</v>
      </c>
      <c r="D435" s="39" t="s">
        <v>882</v>
      </c>
      <c r="E435" s="39" t="s">
        <v>884</v>
      </c>
      <c r="F435" s="39"/>
      <c r="G435" s="58" t="n">
        <v>4767</v>
      </c>
      <c r="H435" s="34" t="n">
        <f aca="false">G435*2</f>
        <v>9534</v>
      </c>
      <c r="I435" s="39" t="str">
        <f aca="false">A435&amp;"|"&amp;B435&amp;"|"&amp;D435&amp;"|"&amp;E435&amp;F435</f>
        <v>auto|Lawton|scenario A (age 16)|female</v>
      </c>
      <c r="J435" s="34" t="n">
        <f aca="false" t="array" ref="J435:J435">MEDIAN(IF($I$4:$I$1803=I435,$H$4:$H$1803))</f>
        <v>5882</v>
      </c>
      <c r="K435" s="59" t="n">
        <f aca="false">H435/J435</f>
        <v>1.62087725263516</v>
      </c>
    </row>
    <row r="436" customFormat="false" ht="15" hidden="false" customHeight="false" outlineLevel="0" collapsed="false">
      <c r="A436" s="39" t="s">
        <v>879</v>
      </c>
      <c r="B436" s="39" t="s">
        <v>909</v>
      </c>
      <c r="C436" s="39" t="s">
        <v>891</v>
      </c>
      <c r="D436" s="39" t="s">
        <v>885</v>
      </c>
      <c r="E436" s="39" t="s">
        <v>883</v>
      </c>
      <c r="F436" s="39"/>
      <c r="G436" s="58" t="n">
        <v>1484</v>
      </c>
      <c r="H436" s="34" t="n">
        <f aca="false">G436*2</f>
        <v>2968</v>
      </c>
      <c r="I436" s="39" t="str">
        <f aca="false">A436&amp;"|"&amp;B436&amp;"|"&amp;D436&amp;"|"&amp;E436&amp;F436</f>
        <v>auto|Lawton|scenario B (age 21)|male</v>
      </c>
      <c r="J436" s="34" t="n">
        <f aca="false" t="array" ref="J436:J436">MEDIAN(IF($I$4:$I$1803=I436,$H$4:$H$1803))</f>
        <v>3033</v>
      </c>
      <c r="K436" s="59" t="n">
        <f aca="false">H436/J436</f>
        <v>0.978569073524563</v>
      </c>
    </row>
    <row r="437" customFormat="false" ht="15" hidden="false" customHeight="false" outlineLevel="0" collapsed="false">
      <c r="A437" s="39" t="s">
        <v>879</v>
      </c>
      <c r="B437" s="39" t="s">
        <v>909</v>
      </c>
      <c r="C437" s="39" t="s">
        <v>891</v>
      </c>
      <c r="D437" s="39" t="s">
        <v>885</v>
      </c>
      <c r="E437" s="39" t="s">
        <v>884</v>
      </c>
      <c r="F437" s="39"/>
      <c r="G437" s="58" t="n">
        <v>1488</v>
      </c>
      <c r="H437" s="34" t="n">
        <f aca="false">G437*2</f>
        <v>2976</v>
      </c>
      <c r="I437" s="39" t="str">
        <f aca="false">A437&amp;"|"&amp;B437&amp;"|"&amp;D437&amp;"|"&amp;E437&amp;F437</f>
        <v>auto|Lawton|scenario B (age 21)|female</v>
      </c>
      <c r="J437" s="34" t="n">
        <f aca="false" t="array" ref="J437:J437">MEDIAN(IF($I$4:$I$1803=I437,$H$4:$H$1803))</f>
        <v>2769</v>
      </c>
      <c r="K437" s="59" t="n">
        <f aca="false">H437/J437</f>
        <v>1.07475622968581</v>
      </c>
    </row>
    <row r="438" customFormat="false" ht="15" hidden="false" customHeight="false" outlineLevel="0" collapsed="false">
      <c r="A438" s="39" t="s">
        <v>879</v>
      </c>
      <c r="B438" s="39" t="s">
        <v>909</v>
      </c>
      <c r="C438" s="39" t="s">
        <v>891</v>
      </c>
      <c r="D438" s="39" t="s">
        <v>886</v>
      </c>
      <c r="E438" s="39" t="s">
        <v>883</v>
      </c>
      <c r="F438" s="39"/>
      <c r="G438" s="58" t="n">
        <v>1009</v>
      </c>
      <c r="H438" s="34" t="n">
        <f aca="false">G438*2</f>
        <v>2018</v>
      </c>
      <c r="I438" s="39" t="str">
        <f aca="false">A438&amp;"|"&amp;B438&amp;"|"&amp;D438&amp;"|"&amp;E438&amp;F438</f>
        <v>auto|Lawton|scenario C (age 36)|male</v>
      </c>
      <c r="J438" s="34" t="n">
        <f aca="false" t="array" ref="J438:J438">MEDIAN(IF($I$4:$I$1803=I438,$H$4:$H$1803))</f>
        <v>1878</v>
      </c>
      <c r="K438" s="59" t="n">
        <f aca="false">H438/J438</f>
        <v>1.07454739084132</v>
      </c>
    </row>
    <row r="439" customFormat="false" ht="15" hidden="false" customHeight="false" outlineLevel="0" collapsed="false">
      <c r="A439" s="39" t="s">
        <v>879</v>
      </c>
      <c r="B439" s="39" t="s">
        <v>909</v>
      </c>
      <c r="C439" s="39" t="s">
        <v>891</v>
      </c>
      <c r="D439" s="39" t="s">
        <v>886</v>
      </c>
      <c r="E439" s="39" t="s">
        <v>884</v>
      </c>
      <c r="F439" s="39"/>
      <c r="G439" s="58" t="n">
        <v>927</v>
      </c>
      <c r="H439" s="34" t="n">
        <f aca="false">G439*2</f>
        <v>1854</v>
      </c>
      <c r="I439" s="39" t="str">
        <f aca="false">A439&amp;"|"&amp;B439&amp;"|"&amp;D439&amp;"|"&amp;E439&amp;F439</f>
        <v>auto|Lawton|scenario C (age 36)|female</v>
      </c>
      <c r="J439" s="34" t="n">
        <f aca="false" t="array" ref="J439:J439">MEDIAN(IF($I$4:$I$1803=I439,$H$4:$H$1803))</f>
        <v>1834</v>
      </c>
      <c r="K439" s="59" t="n">
        <f aca="false">H439/J439</f>
        <v>1.01090512540894</v>
      </c>
    </row>
    <row r="440" customFormat="false" ht="15" hidden="false" customHeight="false" outlineLevel="0" collapsed="false">
      <c r="A440" s="39" t="s">
        <v>879</v>
      </c>
      <c r="B440" s="39" t="s">
        <v>909</v>
      </c>
      <c r="C440" s="39" t="s">
        <v>891</v>
      </c>
      <c r="D440" s="39" t="s">
        <v>887</v>
      </c>
      <c r="E440" s="39" t="s">
        <v>883</v>
      </c>
      <c r="F440" s="39"/>
      <c r="G440" s="58" t="n">
        <v>895</v>
      </c>
      <c r="H440" s="34" t="n">
        <f aca="false">G440*2</f>
        <v>1790</v>
      </c>
      <c r="I440" s="39" t="str">
        <f aca="false">A440&amp;"|"&amp;B440&amp;"|"&amp;D440&amp;"|"&amp;E440&amp;F440</f>
        <v>auto|Lawton|scenario D (age 55)|male</v>
      </c>
      <c r="J440" s="34" t="n">
        <f aca="false" t="array" ref="J440:J440">MEDIAN(IF($I$4:$I$1803=I440,$H$4:$H$1803))</f>
        <v>1582</v>
      </c>
      <c r="K440" s="59" t="n">
        <f aca="false">H440/J440</f>
        <v>1.1314791403287</v>
      </c>
    </row>
    <row r="441" customFormat="false" ht="15" hidden="false" customHeight="false" outlineLevel="0" collapsed="false">
      <c r="A441" s="39" t="s">
        <v>879</v>
      </c>
      <c r="B441" s="39" t="s">
        <v>909</v>
      </c>
      <c r="C441" s="39" t="s">
        <v>891</v>
      </c>
      <c r="D441" s="39" t="s">
        <v>887</v>
      </c>
      <c r="E441" s="39" t="s">
        <v>884</v>
      </c>
      <c r="F441" s="39"/>
      <c r="G441" s="58" t="n">
        <v>793</v>
      </c>
      <c r="H441" s="34" t="n">
        <f aca="false">G441*2</f>
        <v>1586</v>
      </c>
      <c r="I441" s="39" t="str">
        <f aca="false">A441&amp;"|"&amp;B441&amp;"|"&amp;D441&amp;"|"&amp;E441&amp;F441</f>
        <v>auto|Lawton|scenario D (age 55)|female</v>
      </c>
      <c r="J441" s="34" t="n">
        <f aca="false" t="array" ref="J441:J441">MEDIAN(IF($I$4:$I$1803=I441,$H$4:$H$1803))</f>
        <v>1515</v>
      </c>
      <c r="K441" s="59" t="n">
        <f aca="false">H441/J441</f>
        <v>1.04686468646865</v>
      </c>
    </row>
    <row r="442" customFormat="false" ht="15" hidden="false" customHeight="false" outlineLevel="0" collapsed="false">
      <c r="A442" s="39" t="s">
        <v>879</v>
      </c>
      <c r="B442" s="39" t="s">
        <v>909</v>
      </c>
      <c r="C442" s="39" t="s">
        <v>891</v>
      </c>
      <c r="D442" s="39" t="s">
        <v>888</v>
      </c>
      <c r="E442" s="39" t="s">
        <v>883</v>
      </c>
      <c r="F442" s="39"/>
      <c r="G442" s="58" t="n">
        <v>960</v>
      </c>
      <c r="H442" s="34" t="n">
        <f aca="false">G442*2</f>
        <v>1920</v>
      </c>
      <c r="I442" s="39" t="str">
        <f aca="false">A442&amp;"|"&amp;B442&amp;"|"&amp;D442&amp;"|"&amp;E442&amp;F442</f>
        <v>auto|Lawton|scenario E (age 70)|male</v>
      </c>
      <c r="J442" s="34" t="n">
        <f aca="false" t="array" ref="J442:J442">MEDIAN(IF($I$4:$I$1803=I442,$H$4:$H$1803))</f>
        <v>1386</v>
      </c>
      <c r="K442" s="59" t="n">
        <f aca="false">H442/J442</f>
        <v>1.38528138528139</v>
      </c>
    </row>
    <row r="443" customFormat="false" ht="15" hidden="false" customHeight="false" outlineLevel="0" collapsed="false">
      <c r="A443" s="39" t="s">
        <v>879</v>
      </c>
      <c r="B443" s="39" t="s">
        <v>909</v>
      </c>
      <c r="C443" s="39" t="s">
        <v>891</v>
      </c>
      <c r="D443" s="39" t="s">
        <v>888</v>
      </c>
      <c r="E443" s="39" t="s">
        <v>884</v>
      </c>
      <c r="F443" s="39"/>
      <c r="G443" s="58" t="n">
        <v>789</v>
      </c>
      <c r="H443" s="34" t="n">
        <f aca="false">G443*2</f>
        <v>1578</v>
      </c>
      <c r="I443" s="39" t="str">
        <f aca="false">A443&amp;"|"&amp;B443&amp;"|"&amp;D443&amp;"|"&amp;E443&amp;F443</f>
        <v>auto|Lawton|scenario E (age 70)|female</v>
      </c>
      <c r="J443" s="34" t="n">
        <f aca="false" t="array" ref="J443:J443">MEDIAN(IF($I$4:$I$1803=I443,$H$4:$H$1803))</f>
        <v>1396</v>
      </c>
      <c r="K443" s="59" t="n">
        <f aca="false">H443/J443</f>
        <v>1.13037249283668</v>
      </c>
    </row>
    <row r="444" customFormat="false" ht="15" hidden="false" customHeight="false" outlineLevel="0" collapsed="false">
      <c r="A444" s="39" t="s">
        <v>879</v>
      </c>
      <c r="B444" s="39" t="s">
        <v>909</v>
      </c>
      <c r="C444" s="39" t="s">
        <v>892</v>
      </c>
      <c r="D444" s="39" t="s">
        <v>882</v>
      </c>
      <c r="E444" s="39" t="s">
        <v>883</v>
      </c>
      <c r="F444" s="39"/>
      <c r="G444" s="58" t="n">
        <v>4732</v>
      </c>
      <c r="H444" s="34" t="n">
        <f aca="false">G444*2</f>
        <v>9464</v>
      </c>
      <c r="I444" s="39" t="str">
        <f aca="false">A444&amp;"|"&amp;B444&amp;"|"&amp;D444&amp;"|"&amp;E444&amp;F444</f>
        <v>auto|Lawton|scenario A (age 16)|male</v>
      </c>
      <c r="J444" s="34" t="n">
        <f aca="false" t="array" ref="J444:J444">MEDIAN(IF($I$4:$I$1803=I444,$H$4:$H$1803))</f>
        <v>7077</v>
      </c>
      <c r="K444" s="59" t="n">
        <f aca="false">H444/J444</f>
        <v>1.33728981206726</v>
      </c>
    </row>
    <row r="445" customFormat="false" ht="15" hidden="false" customHeight="false" outlineLevel="0" collapsed="false">
      <c r="A445" s="39" t="s">
        <v>879</v>
      </c>
      <c r="B445" s="39" t="s">
        <v>909</v>
      </c>
      <c r="C445" s="39" t="s">
        <v>892</v>
      </c>
      <c r="D445" s="39" t="s">
        <v>882</v>
      </c>
      <c r="E445" s="39" t="s">
        <v>884</v>
      </c>
      <c r="F445" s="39"/>
      <c r="G445" s="58" t="n">
        <v>3429</v>
      </c>
      <c r="H445" s="34" t="n">
        <f aca="false">G445*2</f>
        <v>6858</v>
      </c>
      <c r="I445" s="39" t="str">
        <f aca="false">A445&amp;"|"&amp;B445&amp;"|"&amp;D445&amp;"|"&amp;E445&amp;F445</f>
        <v>auto|Lawton|scenario A (age 16)|female</v>
      </c>
      <c r="J445" s="34" t="n">
        <f aca="false" t="array" ref="J445:J445">MEDIAN(IF($I$4:$I$1803=I445,$H$4:$H$1803))</f>
        <v>5882</v>
      </c>
      <c r="K445" s="59" t="n">
        <f aca="false">H445/J445</f>
        <v>1.16592995579735</v>
      </c>
    </row>
    <row r="446" customFormat="false" ht="15" hidden="false" customHeight="false" outlineLevel="0" collapsed="false">
      <c r="A446" s="39" t="s">
        <v>879</v>
      </c>
      <c r="B446" s="39" t="s">
        <v>909</v>
      </c>
      <c r="C446" s="39" t="s">
        <v>892</v>
      </c>
      <c r="D446" s="39" t="s">
        <v>885</v>
      </c>
      <c r="E446" s="39" t="s">
        <v>883</v>
      </c>
      <c r="F446" s="39"/>
      <c r="G446" s="58" t="n">
        <v>2556</v>
      </c>
      <c r="H446" s="34" t="n">
        <f aca="false">G446*2</f>
        <v>5112</v>
      </c>
      <c r="I446" s="39" t="str">
        <f aca="false">A446&amp;"|"&amp;B446&amp;"|"&amp;D446&amp;"|"&amp;E446&amp;F446</f>
        <v>auto|Lawton|scenario B (age 21)|male</v>
      </c>
      <c r="J446" s="34" t="n">
        <f aca="false" t="array" ref="J446:J446">MEDIAN(IF($I$4:$I$1803=I446,$H$4:$H$1803))</f>
        <v>3033</v>
      </c>
      <c r="K446" s="59" t="n">
        <f aca="false">H446/J446</f>
        <v>1.68545994065282</v>
      </c>
    </row>
    <row r="447" customFormat="false" ht="15" hidden="false" customHeight="false" outlineLevel="0" collapsed="false">
      <c r="A447" s="39" t="s">
        <v>879</v>
      </c>
      <c r="B447" s="39" t="s">
        <v>909</v>
      </c>
      <c r="C447" s="39" t="s">
        <v>892</v>
      </c>
      <c r="D447" s="39" t="s">
        <v>885</v>
      </c>
      <c r="E447" s="39" t="s">
        <v>884</v>
      </c>
      <c r="F447" s="39"/>
      <c r="G447" s="58" t="n">
        <v>2301</v>
      </c>
      <c r="H447" s="34" t="n">
        <f aca="false">G447*2</f>
        <v>4602</v>
      </c>
      <c r="I447" s="39" t="str">
        <f aca="false">A447&amp;"|"&amp;B447&amp;"|"&amp;D447&amp;"|"&amp;E447&amp;F447</f>
        <v>auto|Lawton|scenario B (age 21)|female</v>
      </c>
      <c r="J447" s="34" t="n">
        <f aca="false" t="array" ref="J447:J447">MEDIAN(IF($I$4:$I$1803=I447,$H$4:$H$1803))</f>
        <v>2769</v>
      </c>
      <c r="K447" s="59" t="n">
        <f aca="false">H447/J447</f>
        <v>1.66197183098592</v>
      </c>
    </row>
    <row r="448" customFormat="false" ht="15" hidden="false" customHeight="false" outlineLevel="0" collapsed="false">
      <c r="A448" s="39" t="s">
        <v>879</v>
      </c>
      <c r="B448" s="39" t="s">
        <v>909</v>
      </c>
      <c r="C448" s="39" t="s">
        <v>892</v>
      </c>
      <c r="D448" s="39" t="s">
        <v>886</v>
      </c>
      <c r="E448" s="39" t="s">
        <v>883</v>
      </c>
      <c r="F448" s="39"/>
      <c r="G448" s="58" t="n">
        <v>1411</v>
      </c>
      <c r="H448" s="34" t="n">
        <f aca="false">G448*2</f>
        <v>2822</v>
      </c>
      <c r="I448" s="39" t="str">
        <f aca="false">A448&amp;"|"&amp;B448&amp;"|"&amp;D448&amp;"|"&amp;E448&amp;F448</f>
        <v>auto|Lawton|scenario C (age 36)|male</v>
      </c>
      <c r="J448" s="34" t="n">
        <f aca="false" t="array" ref="J448:J448">MEDIAN(IF($I$4:$I$1803=I448,$H$4:$H$1803))</f>
        <v>1878</v>
      </c>
      <c r="K448" s="59" t="n">
        <f aca="false">H448/J448</f>
        <v>1.50266240681576</v>
      </c>
    </row>
    <row r="449" customFormat="false" ht="15" hidden="false" customHeight="false" outlineLevel="0" collapsed="false">
      <c r="A449" s="39" t="s">
        <v>879</v>
      </c>
      <c r="B449" s="39" t="s">
        <v>909</v>
      </c>
      <c r="C449" s="39" t="s">
        <v>892</v>
      </c>
      <c r="D449" s="39" t="s">
        <v>886</v>
      </c>
      <c r="E449" s="39" t="s">
        <v>884</v>
      </c>
      <c r="F449" s="39"/>
      <c r="G449" s="58" t="n">
        <v>1369</v>
      </c>
      <c r="H449" s="34" t="n">
        <f aca="false">G449*2</f>
        <v>2738</v>
      </c>
      <c r="I449" s="39" t="str">
        <f aca="false">A449&amp;"|"&amp;B449&amp;"|"&amp;D449&amp;"|"&amp;E449&amp;F449</f>
        <v>auto|Lawton|scenario C (age 36)|female</v>
      </c>
      <c r="J449" s="34" t="n">
        <f aca="false" t="array" ref="J449:J449">MEDIAN(IF($I$4:$I$1803=I449,$H$4:$H$1803))</f>
        <v>1834</v>
      </c>
      <c r="K449" s="59" t="n">
        <f aca="false">H449/J449</f>
        <v>1.49291166848419</v>
      </c>
    </row>
    <row r="450" customFormat="false" ht="15" hidden="false" customHeight="false" outlineLevel="0" collapsed="false">
      <c r="A450" s="39" t="s">
        <v>879</v>
      </c>
      <c r="B450" s="39" t="s">
        <v>909</v>
      </c>
      <c r="C450" s="39" t="s">
        <v>892</v>
      </c>
      <c r="D450" s="39" t="s">
        <v>887</v>
      </c>
      <c r="E450" s="39" t="s">
        <v>883</v>
      </c>
      <c r="F450" s="39"/>
      <c r="G450" s="58" t="n">
        <v>1315</v>
      </c>
      <c r="H450" s="34" t="n">
        <f aca="false">G450*2</f>
        <v>2630</v>
      </c>
      <c r="I450" s="39" t="str">
        <f aca="false">A450&amp;"|"&amp;B450&amp;"|"&amp;D450&amp;"|"&amp;E450&amp;F450</f>
        <v>auto|Lawton|scenario D (age 55)|male</v>
      </c>
      <c r="J450" s="34" t="n">
        <f aca="false" t="array" ref="J450:J450">MEDIAN(IF($I$4:$I$1803=I450,$H$4:$H$1803))</f>
        <v>1582</v>
      </c>
      <c r="K450" s="59" t="n">
        <f aca="false">H450/J450</f>
        <v>1.66245259165613</v>
      </c>
    </row>
    <row r="451" customFormat="false" ht="15" hidden="false" customHeight="false" outlineLevel="0" collapsed="false">
      <c r="A451" s="39" t="s">
        <v>879</v>
      </c>
      <c r="B451" s="39" t="s">
        <v>909</v>
      </c>
      <c r="C451" s="39" t="s">
        <v>892</v>
      </c>
      <c r="D451" s="39" t="s">
        <v>887</v>
      </c>
      <c r="E451" s="39" t="s">
        <v>884</v>
      </c>
      <c r="F451" s="39"/>
      <c r="G451" s="58" t="n">
        <v>1363</v>
      </c>
      <c r="H451" s="34" t="n">
        <f aca="false">G451*2</f>
        <v>2726</v>
      </c>
      <c r="I451" s="39" t="str">
        <f aca="false">A451&amp;"|"&amp;B451&amp;"|"&amp;D451&amp;"|"&amp;E451&amp;F451</f>
        <v>auto|Lawton|scenario D (age 55)|female</v>
      </c>
      <c r="J451" s="34" t="n">
        <f aca="false" t="array" ref="J451:J451">MEDIAN(IF($I$4:$I$1803=I451,$H$4:$H$1803))</f>
        <v>1515</v>
      </c>
      <c r="K451" s="59" t="n">
        <f aca="false">H451/J451</f>
        <v>1.7993399339934</v>
      </c>
    </row>
    <row r="452" customFormat="false" ht="15" hidden="false" customHeight="false" outlineLevel="0" collapsed="false">
      <c r="A452" s="39" t="s">
        <v>879</v>
      </c>
      <c r="B452" s="39" t="s">
        <v>909</v>
      </c>
      <c r="C452" s="39" t="s">
        <v>892</v>
      </c>
      <c r="D452" s="39" t="s">
        <v>888</v>
      </c>
      <c r="E452" s="39" t="s">
        <v>883</v>
      </c>
      <c r="F452" s="39"/>
      <c r="G452" s="58" t="n">
        <v>1652</v>
      </c>
      <c r="H452" s="34" t="n">
        <f aca="false">G452*2</f>
        <v>3304</v>
      </c>
      <c r="I452" s="39" t="str">
        <f aca="false">A452&amp;"|"&amp;B452&amp;"|"&amp;D452&amp;"|"&amp;E452&amp;F452</f>
        <v>auto|Lawton|scenario E (age 70)|male</v>
      </c>
      <c r="J452" s="34" t="n">
        <f aca="false" t="array" ref="J452:J452">MEDIAN(IF($I$4:$I$1803=I452,$H$4:$H$1803))</f>
        <v>1386</v>
      </c>
      <c r="K452" s="59" t="n">
        <f aca="false">H452/J452</f>
        <v>2.38383838383838</v>
      </c>
    </row>
    <row r="453" customFormat="false" ht="15" hidden="false" customHeight="false" outlineLevel="0" collapsed="false">
      <c r="A453" s="39" t="s">
        <v>879</v>
      </c>
      <c r="B453" s="39" t="s">
        <v>909</v>
      </c>
      <c r="C453" s="39" t="s">
        <v>892</v>
      </c>
      <c r="D453" s="39" t="s">
        <v>888</v>
      </c>
      <c r="E453" s="39" t="s">
        <v>884</v>
      </c>
      <c r="F453" s="39"/>
      <c r="G453" s="58" t="n">
        <v>1602</v>
      </c>
      <c r="H453" s="34" t="n">
        <f aca="false">G453*2</f>
        <v>3204</v>
      </c>
      <c r="I453" s="39" t="str">
        <f aca="false">A453&amp;"|"&amp;B453&amp;"|"&amp;D453&amp;"|"&amp;E453&amp;F453</f>
        <v>auto|Lawton|scenario E (age 70)|female</v>
      </c>
      <c r="J453" s="34" t="n">
        <f aca="false" t="array" ref="J453:J453">MEDIAN(IF($I$4:$I$1803=I453,$H$4:$H$1803))</f>
        <v>1396</v>
      </c>
      <c r="K453" s="59" t="n">
        <f aca="false">H453/J453</f>
        <v>2.29512893982808</v>
      </c>
    </row>
    <row r="454" customFormat="false" ht="15" hidden="false" customHeight="false" outlineLevel="0" collapsed="false">
      <c r="A454" s="39" t="s">
        <v>879</v>
      </c>
      <c r="B454" s="39" t="s">
        <v>909</v>
      </c>
      <c r="C454" s="39" t="s">
        <v>893</v>
      </c>
      <c r="D454" s="39" t="s">
        <v>882</v>
      </c>
      <c r="E454" s="39" t="s">
        <v>883</v>
      </c>
      <c r="F454" s="39"/>
      <c r="G454" s="58" t="n">
        <v>3709</v>
      </c>
      <c r="H454" s="34" t="n">
        <f aca="false">G454*2</f>
        <v>7418</v>
      </c>
      <c r="I454" s="39" t="str">
        <f aca="false">A454&amp;"|"&amp;B454&amp;"|"&amp;D454&amp;"|"&amp;E454&amp;F454</f>
        <v>auto|Lawton|scenario A (age 16)|male</v>
      </c>
      <c r="J454" s="34" t="n">
        <f aca="false" t="array" ref="J454:J454">MEDIAN(IF($I$4:$I$1803=I454,$H$4:$H$1803))</f>
        <v>7077</v>
      </c>
      <c r="K454" s="59" t="n">
        <f aca="false">H454/J454</f>
        <v>1.04818425886675</v>
      </c>
    </row>
    <row r="455" customFormat="false" ht="15" hidden="false" customHeight="false" outlineLevel="0" collapsed="false">
      <c r="A455" s="39" t="s">
        <v>879</v>
      </c>
      <c r="B455" s="39" t="s">
        <v>909</v>
      </c>
      <c r="C455" s="39" t="s">
        <v>893</v>
      </c>
      <c r="D455" s="39" t="s">
        <v>882</v>
      </c>
      <c r="E455" s="39" t="s">
        <v>884</v>
      </c>
      <c r="F455" s="39"/>
      <c r="G455" s="58" t="n">
        <v>2880</v>
      </c>
      <c r="H455" s="34" t="n">
        <f aca="false">G455*2</f>
        <v>5760</v>
      </c>
      <c r="I455" s="39" t="str">
        <f aca="false">A455&amp;"|"&amp;B455&amp;"|"&amp;D455&amp;"|"&amp;E455&amp;F455</f>
        <v>auto|Lawton|scenario A (age 16)|female</v>
      </c>
      <c r="J455" s="34" t="n">
        <f aca="false" t="array" ref="J455:J455">MEDIAN(IF($I$4:$I$1803=I455,$H$4:$H$1803))</f>
        <v>5882</v>
      </c>
      <c r="K455" s="59" t="n">
        <f aca="false">H455/J455</f>
        <v>0.979258755525332</v>
      </c>
    </row>
    <row r="456" customFormat="false" ht="15" hidden="false" customHeight="false" outlineLevel="0" collapsed="false">
      <c r="A456" s="39" t="s">
        <v>879</v>
      </c>
      <c r="B456" s="39" t="s">
        <v>909</v>
      </c>
      <c r="C456" s="39" t="s">
        <v>893</v>
      </c>
      <c r="D456" s="39" t="s">
        <v>885</v>
      </c>
      <c r="E456" s="39" t="s">
        <v>883</v>
      </c>
      <c r="F456" s="39"/>
      <c r="G456" s="58" t="n">
        <v>1627</v>
      </c>
      <c r="H456" s="34" t="n">
        <f aca="false">G456*2</f>
        <v>3254</v>
      </c>
      <c r="I456" s="39" t="str">
        <f aca="false">A456&amp;"|"&amp;B456&amp;"|"&amp;D456&amp;"|"&amp;E456&amp;F456</f>
        <v>auto|Lawton|scenario B (age 21)|male</v>
      </c>
      <c r="J456" s="34" t="n">
        <f aca="false" t="array" ref="J456:J456">MEDIAN(IF($I$4:$I$1803=I456,$H$4:$H$1803))</f>
        <v>3033</v>
      </c>
      <c r="K456" s="59" t="n">
        <f aca="false">H456/J456</f>
        <v>1.07286515001649</v>
      </c>
    </row>
    <row r="457" customFormat="false" ht="15" hidden="false" customHeight="false" outlineLevel="0" collapsed="false">
      <c r="A457" s="39" t="s">
        <v>879</v>
      </c>
      <c r="B457" s="39" t="s">
        <v>909</v>
      </c>
      <c r="C457" s="39" t="s">
        <v>893</v>
      </c>
      <c r="D457" s="39" t="s">
        <v>885</v>
      </c>
      <c r="E457" s="39" t="s">
        <v>884</v>
      </c>
      <c r="F457" s="39"/>
      <c r="G457" s="58" t="n">
        <v>1386</v>
      </c>
      <c r="H457" s="34" t="n">
        <f aca="false">G457*2</f>
        <v>2772</v>
      </c>
      <c r="I457" s="39" t="str">
        <f aca="false">A457&amp;"|"&amp;B457&amp;"|"&amp;D457&amp;"|"&amp;E457&amp;F457</f>
        <v>auto|Lawton|scenario B (age 21)|female</v>
      </c>
      <c r="J457" s="34" t="n">
        <f aca="false" t="array" ref="J457:J457">MEDIAN(IF($I$4:$I$1803=I457,$H$4:$H$1803))</f>
        <v>2769</v>
      </c>
      <c r="K457" s="59" t="n">
        <f aca="false">H457/J457</f>
        <v>1.00108342361863</v>
      </c>
    </row>
    <row r="458" customFormat="false" ht="15" hidden="false" customHeight="false" outlineLevel="0" collapsed="false">
      <c r="A458" s="39" t="s">
        <v>879</v>
      </c>
      <c r="B458" s="39" t="s">
        <v>909</v>
      </c>
      <c r="C458" s="39" t="s">
        <v>893</v>
      </c>
      <c r="D458" s="39" t="s">
        <v>886</v>
      </c>
      <c r="E458" s="39" t="s">
        <v>883</v>
      </c>
      <c r="F458" s="39"/>
      <c r="G458" s="58" t="n">
        <v>777</v>
      </c>
      <c r="H458" s="34" t="n">
        <f aca="false">G458*2</f>
        <v>1554</v>
      </c>
      <c r="I458" s="39" t="str">
        <f aca="false">A458&amp;"|"&amp;B458&amp;"|"&amp;D458&amp;"|"&amp;E458&amp;F458</f>
        <v>auto|Lawton|scenario C (age 36)|male</v>
      </c>
      <c r="J458" s="34" t="n">
        <f aca="false" t="array" ref="J458:J458">MEDIAN(IF($I$4:$I$1803=I458,$H$4:$H$1803))</f>
        <v>1878</v>
      </c>
      <c r="K458" s="59" t="n">
        <f aca="false">H458/J458</f>
        <v>0.827476038338658</v>
      </c>
    </row>
    <row r="459" customFormat="false" ht="15" hidden="false" customHeight="false" outlineLevel="0" collapsed="false">
      <c r="A459" s="39" t="s">
        <v>879</v>
      </c>
      <c r="B459" s="39" t="s">
        <v>909</v>
      </c>
      <c r="C459" s="39" t="s">
        <v>893</v>
      </c>
      <c r="D459" s="39" t="s">
        <v>886</v>
      </c>
      <c r="E459" s="39" t="s">
        <v>884</v>
      </c>
      <c r="F459" s="39"/>
      <c r="G459" s="58" t="n">
        <v>837</v>
      </c>
      <c r="H459" s="34" t="n">
        <f aca="false">G459*2</f>
        <v>1674</v>
      </c>
      <c r="I459" s="39" t="str">
        <f aca="false">A459&amp;"|"&amp;B459&amp;"|"&amp;D459&amp;"|"&amp;E459&amp;F459</f>
        <v>auto|Lawton|scenario C (age 36)|female</v>
      </c>
      <c r="J459" s="34" t="n">
        <f aca="false" t="array" ref="J459:J459">MEDIAN(IF($I$4:$I$1803=I459,$H$4:$H$1803))</f>
        <v>1834</v>
      </c>
      <c r="K459" s="59" t="n">
        <f aca="false">H459/J459</f>
        <v>0.912758996728462</v>
      </c>
    </row>
    <row r="460" customFormat="false" ht="15" hidden="false" customHeight="false" outlineLevel="0" collapsed="false">
      <c r="A460" s="39" t="s">
        <v>879</v>
      </c>
      <c r="B460" s="39" t="s">
        <v>909</v>
      </c>
      <c r="C460" s="39" t="s">
        <v>893</v>
      </c>
      <c r="D460" s="39" t="s">
        <v>887</v>
      </c>
      <c r="E460" s="39" t="s">
        <v>883</v>
      </c>
      <c r="F460" s="39"/>
      <c r="G460" s="58" t="n">
        <v>686</v>
      </c>
      <c r="H460" s="34" t="n">
        <f aca="false">G460*2</f>
        <v>1372</v>
      </c>
      <c r="I460" s="39" t="str">
        <f aca="false">A460&amp;"|"&amp;B460&amp;"|"&amp;D460&amp;"|"&amp;E460&amp;F460</f>
        <v>auto|Lawton|scenario D (age 55)|male</v>
      </c>
      <c r="J460" s="34" t="n">
        <f aca="false" t="array" ref="J460:J460">MEDIAN(IF($I$4:$I$1803=I460,$H$4:$H$1803))</f>
        <v>1582</v>
      </c>
      <c r="K460" s="59" t="n">
        <f aca="false">H460/J460</f>
        <v>0.867256637168142</v>
      </c>
    </row>
    <row r="461" customFormat="false" ht="15" hidden="false" customHeight="false" outlineLevel="0" collapsed="false">
      <c r="A461" s="39" t="s">
        <v>879</v>
      </c>
      <c r="B461" s="39" t="s">
        <v>909</v>
      </c>
      <c r="C461" s="39" t="s">
        <v>893</v>
      </c>
      <c r="D461" s="39" t="s">
        <v>887</v>
      </c>
      <c r="E461" s="39" t="s">
        <v>884</v>
      </c>
      <c r="F461" s="39"/>
      <c r="G461" s="58" t="n">
        <v>691</v>
      </c>
      <c r="H461" s="34" t="n">
        <f aca="false">G461*2</f>
        <v>1382</v>
      </c>
      <c r="I461" s="39" t="str">
        <f aca="false">A461&amp;"|"&amp;B461&amp;"|"&amp;D461&amp;"|"&amp;E461&amp;F461</f>
        <v>auto|Lawton|scenario D (age 55)|female</v>
      </c>
      <c r="J461" s="34" t="n">
        <f aca="false" t="array" ref="J461:J461">MEDIAN(IF($I$4:$I$1803=I461,$H$4:$H$1803))</f>
        <v>1515</v>
      </c>
      <c r="K461" s="59" t="n">
        <f aca="false">H461/J461</f>
        <v>0.912211221122112</v>
      </c>
    </row>
    <row r="462" customFormat="false" ht="15" hidden="false" customHeight="false" outlineLevel="0" collapsed="false">
      <c r="A462" s="39" t="s">
        <v>879</v>
      </c>
      <c r="B462" s="39" t="s">
        <v>909</v>
      </c>
      <c r="C462" s="39" t="s">
        <v>893</v>
      </c>
      <c r="D462" s="39" t="s">
        <v>888</v>
      </c>
      <c r="E462" s="39" t="s">
        <v>883</v>
      </c>
      <c r="F462" s="39"/>
      <c r="G462" s="58" t="n">
        <v>593</v>
      </c>
      <c r="H462" s="34" t="n">
        <f aca="false">G462*2</f>
        <v>1186</v>
      </c>
      <c r="I462" s="39" t="str">
        <f aca="false">A462&amp;"|"&amp;B462&amp;"|"&amp;D462&amp;"|"&amp;E462&amp;F462</f>
        <v>auto|Lawton|scenario E (age 70)|male</v>
      </c>
      <c r="J462" s="34" t="n">
        <f aca="false" t="array" ref="J462:J462">MEDIAN(IF($I$4:$I$1803=I462,$H$4:$H$1803))</f>
        <v>1386</v>
      </c>
      <c r="K462" s="59" t="n">
        <f aca="false">H462/J462</f>
        <v>0.855699855699856</v>
      </c>
    </row>
    <row r="463" customFormat="false" ht="15" hidden="false" customHeight="false" outlineLevel="0" collapsed="false">
      <c r="A463" s="39" t="s">
        <v>879</v>
      </c>
      <c r="B463" s="39" t="s">
        <v>909</v>
      </c>
      <c r="C463" s="39" t="s">
        <v>893</v>
      </c>
      <c r="D463" s="39" t="s">
        <v>888</v>
      </c>
      <c r="E463" s="39" t="s">
        <v>884</v>
      </c>
      <c r="F463" s="39"/>
      <c r="G463" s="58" t="n">
        <v>634</v>
      </c>
      <c r="H463" s="34" t="n">
        <f aca="false">G463*2</f>
        <v>1268</v>
      </c>
      <c r="I463" s="39" t="str">
        <f aca="false">A463&amp;"|"&amp;B463&amp;"|"&amp;D463&amp;"|"&amp;E463&amp;F463</f>
        <v>auto|Lawton|scenario E (age 70)|female</v>
      </c>
      <c r="J463" s="34" t="n">
        <f aca="false" t="array" ref="J463:J463">MEDIAN(IF($I$4:$I$1803=I463,$H$4:$H$1803))</f>
        <v>1396</v>
      </c>
      <c r="K463" s="59" t="n">
        <f aca="false">H463/J463</f>
        <v>0.908309455587393</v>
      </c>
    </row>
    <row r="464" customFormat="false" ht="15" hidden="false" customHeight="false" outlineLevel="0" collapsed="false">
      <c r="A464" s="39" t="s">
        <v>879</v>
      </c>
      <c r="B464" s="39" t="s">
        <v>909</v>
      </c>
      <c r="C464" s="39" t="s">
        <v>894</v>
      </c>
      <c r="D464" s="39" t="s">
        <v>882</v>
      </c>
      <c r="E464" s="39" t="s">
        <v>883</v>
      </c>
      <c r="F464" s="39"/>
      <c r="G464" s="58" t="n">
        <v>3499</v>
      </c>
      <c r="H464" s="34" t="n">
        <f aca="false">G464*2</f>
        <v>6998</v>
      </c>
      <c r="I464" s="39" t="str">
        <f aca="false">A464&amp;"|"&amp;B464&amp;"|"&amp;D464&amp;"|"&amp;E464&amp;F464</f>
        <v>auto|Lawton|scenario A (age 16)|male</v>
      </c>
      <c r="J464" s="34" t="n">
        <f aca="false" t="array" ref="J464:J464">MEDIAN(IF($I$4:$I$1803=I464,$H$4:$H$1803))</f>
        <v>7077</v>
      </c>
      <c r="K464" s="59" t="n">
        <f aca="false">H464/J464</f>
        <v>0.988837077857849</v>
      </c>
    </row>
    <row r="465" customFormat="false" ht="15" hidden="false" customHeight="false" outlineLevel="0" collapsed="false">
      <c r="A465" s="39" t="s">
        <v>879</v>
      </c>
      <c r="B465" s="39" t="s">
        <v>909</v>
      </c>
      <c r="C465" s="39" t="s">
        <v>894</v>
      </c>
      <c r="D465" s="39" t="s">
        <v>882</v>
      </c>
      <c r="E465" s="39" t="s">
        <v>884</v>
      </c>
      <c r="F465" s="39"/>
      <c r="G465" s="58" t="n">
        <v>3370</v>
      </c>
      <c r="H465" s="34" t="n">
        <f aca="false">G465*2</f>
        <v>6740</v>
      </c>
      <c r="I465" s="39" t="str">
        <f aca="false">A465&amp;"|"&amp;B465&amp;"|"&amp;D465&amp;"|"&amp;E465&amp;F465</f>
        <v>auto|Lawton|scenario A (age 16)|female</v>
      </c>
      <c r="J465" s="34" t="n">
        <f aca="false" t="array" ref="J465:J465">MEDIAN(IF($I$4:$I$1803=I465,$H$4:$H$1803))</f>
        <v>5882</v>
      </c>
      <c r="K465" s="59" t="n">
        <f aca="false">H465/J465</f>
        <v>1.14586875212513</v>
      </c>
    </row>
    <row r="466" customFormat="false" ht="15" hidden="false" customHeight="false" outlineLevel="0" collapsed="false">
      <c r="A466" s="39" t="s">
        <v>879</v>
      </c>
      <c r="B466" s="39" t="s">
        <v>909</v>
      </c>
      <c r="C466" s="39" t="s">
        <v>894</v>
      </c>
      <c r="D466" s="39" t="s">
        <v>885</v>
      </c>
      <c r="E466" s="39" t="s">
        <v>883</v>
      </c>
      <c r="F466" s="39"/>
      <c r="G466" s="58" t="n">
        <v>1279</v>
      </c>
      <c r="H466" s="34" t="n">
        <f aca="false">G466*2</f>
        <v>2558</v>
      </c>
      <c r="I466" s="39" t="str">
        <f aca="false">A466&amp;"|"&amp;B466&amp;"|"&amp;D466&amp;"|"&amp;E466&amp;F466</f>
        <v>auto|Lawton|scenario B (age 21)|male</v>
      </c>
      <c r="J466" s="34" t="n">
        <f aca="false" t="array" ref="J466:J466">MEDIAN(IF($I$4:$I$1803=I466,$H$4:$H$1803))</f>
        <v>3033</v>
      </c>
      <c r="K466" s="59" t="n">
        <f aca="false">H466/J466</f>
        <v>0.843389383448731</v>
      </c>
    </row>
    <row r="467" customFormat="false" ht="15" hidden="false" customHeight="false" outlineLevel="0" collapsed="false">
      <c r="A467" s="39" t="s">
        <v>879</v>
      </c>
      <c r="B467" s="39" t="s">
        <v>909</v>
      </c>
      <c r="C467" s="39" t="s">
        <v>894</v>
      </c>
      <c r="D467" s="39" t="s">
        <v>885</v>
      </c>
      <c r="E467" s="39" t="s">
        <v>884</v>
      </c>
      <c r="F467" s="39"/>
      <c r="G467" s="58" t="n">
        <v>1231</v>
      </c>
      <c r="H467" s="34" t="n">
        <f aca="false">G467*2</f>
        <v>2462</v>
      </c>
      <c r="I467" s="39" t="str">
        <f aca="false">A467&amp;"|"&amp;B467&amp;"|"&amp;D467&amp;"|"&amp;E467&amp;F467</f>
        <v>auto|Lawton|scenario B (age 21)|female</v>
      </c>
      <c r="J467" s="34" t="n">
        <f aca="false" t="array" ref="J467:J467">MEDIAN(IF($I$4:$I$1803=I467,$H$4:$H$1803))</f>
        <v>2769</v>
      </c>
      <c r="K467" s="59" t="n">
        <f aca="false">H467/J467</f>
        <v>0.88912964969303</v>
      </c>
    </row>
    <row r="468" customFormat="false" ht="15" hidden="false" customHeight="false" outlineLevel="0" collapsed="false">
      <c r="A468" s="39" t="s">
        <v>879</v>
      </c>
      <c r="B468" s="39" t="s">
        <v>909</v>
      </c>
      <c r="C468" s="39" t="s">
        <v>894</v>
      </c>
      <c r="D468" s="39" t="s">
        <v>886</v>
      </c>
      <c r="E468" s="39" t="s">
        <v>883</v>
      </c>
      <c r="F468" s="39"/>
      <c r="G468" s="58" t="n">
        <v>725</v>
      </c>
      <c r="H468" s="34" t="n">
        <f aca="false">G468*2</f>
        <v>1450</v>
      </c>
      <c r="I468" s="39" t="str">
        <f aca="false">A468&amp;"|"&amp;B468&amp;"|"&amp;D468&amp;"|"&amp;E468&amp;F468</f>
        <v>auto|Lawton|scenario C (age 36)|male</v>
      </c>
      <c r="J468" s="34" t="n">
        <f aca="false" t="array" ref="J468:J468">MEDIAN(IF($I$4:$I$1803=I468,$H$4:$H$1803))</f>
        <v>1878</v>
      </c>
      <c r="K468" s="59" t="n">
        <f aca="false">H468/J468</f>
        <v>0.77209797657082</v>
      </c>
    </row>
    <row r="469" customFormat="false" ht="15" hidden="false" customHeight="false" outlineLevel="0" collapsed="false">
      <c r="A469" s="39" t="s">
        <v>879</v>
      </c>
      <c r="B469" s="39" t="s">
        <v>909</v>
      </c>
      <c r="C469" s="39" t="s">
        <v>894</v>
      </c>
      <c r="D469" s="39" t="s">
        <v>886</v>
      </c>
      <c r="E469" s="39" t="s">
        <v>884</v>
      </c>
      <c r="F469" s="39"/>
      <c r="G469" s="58" t="n">
        <v>707</v>
      </c>
      <c r="H469" s="34" t="n">
        <f aca="false">G469*2</f>
        <v>1414</v>
      </c>
      <c r="I469" s="39" t="str">
        <f aca="false">A469&amp;"|"&amp;B469&amp;"|"&amp;D469&amp;"|"&amp;E469&amp;F469</f>
        <v>auto|Lawton|scenario C (age 36)|female</v>
      </c>
      <c r="J469" s="34" t="n">
        <f aca="false" t="array" ref="J469:J469">MEDIAN(IF($I$4:$I$1803=I469,$H$4:$H$1803))</f>
        <v>1834</v>
      </c>
      <c r="K469" s="59" t="n">
        <f aca="false">H469/J469</f>
        <v>0.770992366412214</v>
      </c>
    </row>
    <row r="470" customFormat="false" ht="15" hidden="false" customHeight="false" outlineLevel="0" collapsed="false">
      <c r="A470" s="39" t="s">
        <v>879</v>
      </c>
      <c r="B470" s="39" t="s">
        <v>909</v>
      </c>
      <c r="C470" s="39" t="s">
        <v>894</v>
      </c>
      <c r="D470" s="39" t="s">
        <v>887</v>
      </c>
      <c r="E470" s="39" t="s">
        <v>883</v>
      </c>
      <c r="F470" s="39"/>
      <c r="G470" s="58" t="n">
        <v>643</v>
      </c>
      <c r="H470" s="34" t="n">
        <f aca="false">G470*2</f>
        <v>1286</v>
      </c>
      <c r="I470" s="39" t="str">
        <f aca="false">A470&amp;"|"&amp;B470&amp;"|"&amp;D470&amp;"|"&amp;E470&amp;F470</f>
        <v>auto|Lawton|scenario D (age 55)|male</v>
      </c>
      <c r="J470" s="34" t="n">
        <f aca="false" t="array" ref="J470:J470">MEDIAN(IF($I$4:$I$1803=I470,$H$4:$H$1803))</f>
        <v>1582</v>
      </c>
      <c r="K470" s="59" t="n">
        <f aca="false">H470/J470</f>
        <v>0.812895069532238</v>
      </c>
    </row>
    <row r="471" customFormat="false" ht="15" hidden="false" customHeight="false" outlineLevel="0" collapsed="false">
      <c r="A471" s="39" t="s">
        <v>879</v>
      </c>
      <c r="B471" s="39" t="s">
        <v>909</v>
      </c>
      <c r="C471" s="39" t="s">
        <v>894</v>
      </c>
      <c r="D471" s="39" t="s">
        <v>887</v>
      </c>
      <c r="E471" s="39" t="s">
        <v>884</v>
      </c>
      <c r="F471" s="39"/>
      <c r="G471" s="58" t="n">
        <v>640</v>
      </c>
      <c r="H471" s="34" t="n">
        <f aca="false">G471*2</f>
        <v>1280</v>
      </c>
      <c r="I471" s="39" t="str">
        <f aca="false">A471&amp;"|"&amp;B471&amp;"|"&amp;D471&amp;"|"&amp;E471&amp;F471</f>
        <v>auto|Lawton|scenario D (age 55)|female</v>
      </c>
      <c r="J471" s="34" t="n">
        <f aca="false" t="array" ref="J471:J471">MEDIAN(IF($I$4:$I$1803=I471,$H$4:$H$1803))</f>
        <v>1515</v>
      </c>
      <c r="K471" s="59" t="n">
        <f aca="false">H471/J471</f>
        <v>0.844884488448845</v>
      </c>
    </row>
    <row r="472" customFormat="false" ht="15" hidden="false" customHeight="false" outlineLevel="0" collapsed="false">
      <c r="A472" s="39" t="s">
        <v>879</v>
      </c>
      <c r="B472" s="39" t="s">
        <v>909</v>
      </c>
      <c r="C472" s="39" t="s">
        <v>894</v>
      </c>
      <c r="D472" s="39" t="s">
        <v>888</v>
      </c>
      <c r="E472" s="39" t="s">
        <v>883</v>
      </c>
      <c r="F472" s="39"/>
      <c r="G472" s="58" t="n">
        <v>655</v>
      </c>
      <c r="H472" s="34" t="n">
        <f aca="false">G472*2</f>
        <v>1310</v>
      </c>
      <c r="I472" s="39" t="str">
        <f aca="false">A472&amp;"|"&amp;B472&amp;"|"&amp;D472&amp;"|"&amp;E472&amp;F472</f>
        <v>auto|Lawton|scenario E (age 70)|male</v>
      </c>
      <c r="J472" s="34" t="n">
        <f aca="false" t="array" ref="J472:J472">MEDIAN(IF($I$4:$I$1803=I472,$H$4:$H$1803))</f>
        <v>1386</v>
      </c>
      <c r="K472" s="59" t="n">
        <f aca="false">H472/J472</f>
        <v>0.945165945165945</v>
      </c>
    </row>
    <row r="473" customFormat="false" ht="15" hidden="false" customHeight="false" outlineLevel="0" collapsed="false">
      <c r="A473" s="39" t="s">
        <v>879</v>
      </c>
      <c r="B473" s="39" t="s">
        <v>909</v>
      </c>
      <c r="C473" s="39" t="s">
        <v>894</v>
      </c>
      <c r="D473" s="39" t="s">
        <v>888</v>
      </c>
      <c r="E473" s="39" t="s">
        <v>884</v>
      </c>
      <c r="F473" s="39"/>
      <c r="G473" s="58" t="n">
        <v>658</v>
      </c>
      <c r="H473" s="34" t="n">
        <f aca="false">G473*2</f>
        <v>1316</v>
      </c>
      <c r="I473" s="39" t="str">
        <f aca="false">A473&amp;"|"&amp;B473&amp;"|"&amp;D473&amp;"|"&amp;E473&amp;F473</f>
        <v>auto|Lawton|scenario E (age 70)|female</v>
      </c>
      <c r="J473" s="34" t="n">
        <f aca="false" t="array" ref="J473:J473">MEDIAN(IF($I$4:$I$1803=I473,$H$4:$H$1803))</f>
        <v>1396</v>
      </c>
      <c r="K473" s="59" t="n">
        <f aca="false">H473/J473</f>
        <v>0.94269340974212</v>
      </c>
    </row>
    <row r="474" customFormat="false" ht="15" hidden="false" customHeight="false" outlineLevel="0" collapsed="false">
      <c r="A474" s="39" t="s">
        <v>879</v>
      </c>
      <c r="B474" s="39" t="s">
        <v>909</v>
      </c>
      <c r="C474" s="39" t="s">
        <v>895</v>
      </c>
      <c r="D474" s="39" t="s">
        <v>882</v>
      </c>
      <c r="E474" s="39" t="s">
        <v>883</v>
      </c>
      <c r="F474" s="39"/>
      <c r="G474" s="58" t="n">
        <v>1669</v>
      </c>
      <c r="H474" s="34" t="n">
        <f aca="false">G474*2</f>
        <v>3338</v>
      </c>
      <c r="I474" s="39" t="str">
        <f aca="false">A474&amp;"|"&amp;B474&amp;"|"&amp;D474&amp;"|"&amp;E474&amp;F474</f>
        <v>auto|Lawton|scenario A (age 16)|male</v>
      </c>
      <c r="J474" s="34" t="n">
        <f aca="false" t="array" ref="J474:J474">MEDIAN(IF($I$4:$I$1803=I474,$H$4:$H$1803))</f>
        <v>7077</v>
      </c>
      <c r="K474" s="59" t="n">
        <f aca="false">H474/J474</f>
        <v>0.471668786208846</v>
      </c>
    </row>
    <row r="475" customFormat="false" ht="15" hidden="false" customHeight="false" outlineLevel="0" collapsed="false">
      <c r="A475" s="39" t="s">
        <v>879</v>
      </c>
      <c r="B475" s="39" t="s">
        <v>909</v>
      </c>
      <c r="C475" s="39" t="s">
        <v>895</v>
      </c>
      <c r="D475" s="39" t="s">
        <v>882</v>
      </c>
      <c r="E475" s="39" t="s">
        <v>884</v>
      </c>
      <c r="F475" s="39"/>
      <c r="G475" s="58" t="n">
        <v>1694</v>
      </c>
      <c r="H475" s="34" t="n">
        <f aca="false">G475*2</f>
        <v>3388</v>
      </c>
      <c r="I475" s="39" t="str">
        <f aca="false">A475&amp;"|"&amp;B475&amp;"|"&amp;D475&amp;"|"&amp;E475&amp;F475</f>
        <v>auto|Lawton|scenario A (age 16)|female</v>
      </c>
      <c r="J475" s="34" t="n">
        <f aca="false" t="array" ref="J475:J475">MEDIAN(IF($I$4:$I$1803=I475,$H$4:$H$1803))</f>
        <v>5882</v>
      </c>
      <c r="K475" s="59" t="n">
        <f aca="false">H475/J475</f>
        <v>0.57599455967358</v>
      </c>
    </row>
    <row r="476" customFormat="false" ht="15" hidden="false" customHeight="false" outlineLevel="0" collapsed="false">
      <c r="A476" s="39" t="s">
        <v>879</v>
      </c>
      <c r="B476" s="39" t="s">
        <v>909</v>
      </c>
      <c r="C476" s="39" t="s">
        <v>895</v>
      </c>
      <c r="D476" s="39" t="s">
        <v>885</v>
      </c>
      <c r="E476" s="39" t="s">
        <v>883</v>
      </c>
      <c r="F476" s="39"/>
      <c r="G476" s="58" t="n">
        <v>548</v>
      </c>
      <c r="H476" s="34" t="n">
        <f aca="false">G476*2</f>
        <v>1096</v>
      </c>
      <c r="I476" s="39" t="str">
        <f aca="false">A476&amp;"|"&amp;B476&amp;"|"&amp;D476&amp;"|"&amp;E476&amp;F476</f>
        <v>auto|Lawton|scenario B (age 21)|male</v>
      </c>
      <c r="J476" s="34" t="n">
        <f aca="false" t="array" ref="J476:J476">MEDIAN(IF($I$4:$I$1803=I476,$H$4:$H$1803))</f>
        <v>3033</v>
      </c>
      <c r="K476" s="59" t="n">
        <f aca="false">H476/J476</f>
        <v>0.361358391031982</v>
      </c>
    </row>
    <row r="477" customFormat="false" ht="15" hidden="false" customHeight="false" outlineLevel="0" collapsed="false">
      <c r="A477" s="39" t="s">
        <v>879</v>
      </c>
      <c r="B477" s="39" t="s">
        <v>909</v>
      </c>
      <c r="C477" s="39" t="s">
        <v>895</v>
      </c>
      <c r="D477" s="39" t="s">
        <v>885</v>
      </c>
      <c r="E477" s="39" t="s">
        <v>884</v>
      </c>
      <c r="F477" s="39"/>
      <c r="G477" s="58" t="n">
        <v>554</v>
      </c>
      <c r="H477" s="34" t="n">
        <f aca="false">G477*2</f>
        <v>1108</v>
      </c>
      <c r="I477" s="39" t="str">
        <f aca="false">A477&amp;"|"&amp;B477&amp;"|"&amp;D477&amp;"|"&amp;E477&amp;F477</f>
        <v>auto|Lawton|scenario B (age 21)|female</v>
      </c>
      <c r="J477" s="34" t="n">
        <f aca="false" t="array" ref="J477:J477">MEDIAN(IF($I$4:$I$1803=I477,$H$4:$H$1803))</f>
        <v>2769</v>
      </c>
      <c r="K477" s="59" t="n">
        <f aca="false">H477/J477</f>
        <v>0.400144456482485</v>
      </c>
    </row>
    <row r="478" customFormat="false" ht="15" hidden="false" customHeight="false" outlineLevel="0" collapsed="false">
      <c r="A478" s="39" t="s">
        <v>879</v>
      </c>
      <c r="B478" s="39" t="s">
        <v>909</v>
      </c>
      <c r="C478" s="39" t="s">
        <v>895</v>
      </c>
      <c r="D478" s="39" t="s">
        <v>886</v>
      </c>
      <c r="E478" s="39" t="s">
        <v>883</v>
      </c>
      <c r="F478" s="39"/>
      <c r="G478" s="58" t="n">
        <v>342</v>
      </c>
      <c r="H478" s="34" t="n">
        <f aca="false">G478*2</f>
        <v>684</v>
      </c>
      <c r="I478" s="39" t="str">
        <f aca="false">A478&amp;"|"&amp;B478&amp;"|"&amp;D478&amp;"|"&amp;E478&amp;F478</f>
        <v>auto|Lawton|scenario C (age 36)|male</v>
      </c>
      <c r="J478" s="34" t="n">
        <f aca="false" t="array" ref="J478:J478">MEDIAN(IF($I$4:$I$1803=I478,$H$4:$H$1803))</f>
        <v>1878</v>
      </c>
      <c r="K478" s="59" t="n">
        <f aca="false">H478/J478</f>
        <v>0.364217252396166</v>
      </c>
    </row>
    <row r="479" customFormat="false" ht="15" hidden="false" customHeight="false" outlineLevel="0" collapsed="false">
      <c r="A479" s="39" t="s">
        <v>879</v>
      </c>
      <c r="B479" s="39" t="s">
        <v>909</v>
      </c>
      <c r="C479" s="39" t="s">
        <v>895</v>
      </c>
      <c r="D479" s="39" t="s">
        <v>886</v>
      </c>
      <c r="E479" s="39" t="s">
        <v>884</v>
      </c>
      <c r="F479" s="39"/>
      <c r="G479" s="58" t="n">
        <v>342</v>
      </c>
      <c r="H479" s="34" t="n">
        <f aca="false">G479*2</f>
        <v>684</v>
      </c>
      <c r="I479" s="39" t="str">
        <f aca="false">A479&amp;"|"&amp;B479&amp;"|"&amp;D479&amp;"|"&amp;E479&amp;F479</f>
        <v>auto|Lawton|scenario C (age 36)|female</v>
      </c>
      <c r="J479" s="34" t="n">
        <f aca="false" t="array" ref="J479:J479">MEDIAN(IF($I$4:$I$1803=I479,$H$4:$H$1803))</f>
        <v>1834</v>
      </c>
      <c r="K479" s="59" t="n">
        <f aca="false">H479/J479</f>
        <v>0.372955288985823</v>
      </c>
    </row>
    <row r="480" customFormat="false" ht="15" hidden="false" customHeight="false" outlineLevel="0" collapsed="false">
      <c r="A480" s="39" t="s">
        <v>879</v>
      </c>
      <c r="B480" s="39" t="s">
        <v>909</v>
      </c>
      <c r="C480" s="39" t="s">
        <v>895</v>
      </c>
      <c r="D480" s="39" t="s">
        <v>887</v>
      </c>
      <c r="E480" s="39" t="s">
        <v>883</v>
      </c>
      <c r="F480" s="39"/>
      <c r="G480" s="58" t="n">
        <v>322</v>
      </c>
      <c r="H480" s="34" t="n">
        <f aca="false">G480*2</f>
        <v>644</v>
      </c>
      <c r="I480" s="39" t="str">
        <f aca="false">A480&amp;"|"&amp;B480&amp;"|"&amp;D480&amp;"|"&amp;E480&amp;F480</f>
        <v>auto|Lawton|scenario D (age 55)|male</v>
      </c>
      <c r="J480" s="34" t="n">
        <f aca="false" t="array" ref="J480:J480">MEDIAN(IF($I$4:$I$1803=I480,$H$4:$H$1803))</f>
        <v>1582</v>
      </c>
      <c r="K480" s="59" t="n">
        <f aca="false">H480/J480</f>
        <v>0.407079646017699</v>
      </c>
    </row>
    <row r="481" customFormat="false" ht="15" hidden="false" customHeight="false" outlineLevel="0" collapsed="false">
      <c r="A481" s="39" t="s">
        <v>879</v>
      </c>
      <c r="B481" s="39" t="s">
        <v>909</v>
      </c>
      <c r="C481" s="39" t="s">
        <v>895</v>
      </c>
      <c r="D481" s="39" t="s">
        <v>887</v>
      </c>
      <c r="E481" s="39" t="s">
        <v>884</v>
      </c>
      <c r="F481" s="39"/>
      <c r="G481" s="58" t="n">
        <v>322</v>
      </c>
      <c r="H481" s="34" t="n">
        <f aca="false">G481*2</f>
        <v>644</v>
      </c>
      <c r="I481" s="39" t="str">
        <f aca="false">A481&amp;"|"&amp;B481&amp;"|"&amp;D481&amp;"|"&amp;E481&amp;F481</f>
        <v>auto|Lawton|scenario D (age 55)|female</v>
      </c>
      <c r="J481" s="34" t="n">
        <f aca="false" t="array" ref="J481:J481">MEDIAN(IF($I$4:$I$1803=I481,$H$4:$H$1803))</f>
        <v>1515</v>
      </c>
      <c r="K481" s="59" t="n">
        <f aca="false">H481/J481</f>
        <v>0.425082508250825</v>
      </c>
    </row>
    <row r="482" customFormat="false" ht="15" hidden="false" customHeight="false" outlineLevel="0" collapsed="false">
      <c r="A482" s="39" t="s">
        <v>879</v>
      </c>
      <c r="B482" s="39" t="s">
        <v>909</v>
      </c>
      <c r="C482" s="39" t="s">
        <v>895</v>
      </c>
      <c r="D482" s="39" t="s">
        <v>888</v>
      </c>
      <c r="E482" s="39" t="s">
        <v>883</v>
      </c>
      <c r="F482" s="39"/>
      <c r="G482" s="58" t="n">
        <v>335</v>
      </c>
      <c r="H482" s="34" t="n">
        <f aca="false">G482*2</f>
        <v>670</v>
      </c>
      <c r="I482" s="39" t="str">
        <f aca="false">A482&amp;"|"&amp;B482&amp;"|"&amp;D482&amp;"|"&amp;E482&amp;F482</f>
        <v>auto|Lawton|scenario E (age 70)|male</v>
      </c>
      <c r="J482" s="34" t="n">
        <f aca="false" t="array" ref="J482:J482">MEDIAN(IF($I$4:$I$1803=I482,$H$4:$H$1803))</f>
        <v>1386</v>
      </c>
      <c r="K482" s="59" t="n">
        <f aca="false">H482/J482</f>
        <v>0.483405483405483</v>
      </c>
    </row>
    <row r="483" customFormat="false" ht="15" hidden="false" customHeight="false" outlineLevel="0" collapsed="false">
      <c r="A483" s="39" t="s">
        <v>879</v>
      </c>
      <c r="B483" s="39" t="s">
        <v>909</v>
      </c>
      <c r="C483" s="39" t="s">
        <v>895</v>
      </c>
      <c r="D483" s="39" t="s">
        <v>888</v>
      </c>
      <c r="E483" s="39" t="s">
        <v>884</v>
      </c>
      <c r="F483" s="39"/>
      <c r="G483" s="58" t="n">
        <v>335</v>
      </c>
      <c r="H483" s="34" t="n">
        <f aca="false">G483*2</f>
        <v>670</v>
      </c>
      <c r="I483" s="39" t="str">
        <f aca="false">A483&amp;"|"&amp;B483&amp;"|"&amp;D483&amp;"|"&amp;E483&amp;F483</f>
        <v>auto|Lawton|scenario E (age 70)|female</v>
      </c>
      <c r="J483" s="34" t="n">
        <f aca="false" t="array" ref="J483:J483">MEDIAN(IF($I$4:$I$1803=I483,$H$4:$H$1803))</f>
        <v>1396</v>
      </c>
      <c r="K483" s="59" t="n">
        <f aca="false">H483/J483</f>
        <v>0.479942693409742</v>
      </c>
    </row>
    <row r="484" customFormat="false" ht="15" hidden="false" customHeight="false" outlineLevel="0" collapsed="false">
      <c r="A484" s="39" t="s">
        <v>879</v>
      </c>
      <c r="B484" s="39" t="s">
        <v>909</v>
      </c>
      <c r="C484" s="39" t="s">
        <v>896</v>
      </c>
      <c r="D484" s="39" t="s">
        <v>882</v>
      </c>
      <c r="E484" s="39" t="s">
        <v>883</v>
      </c>
      <c r="F484" s="39"/>
      <c r="G484" s="58" t="n">
        <v>3728</v>
      </c>
      <c r="H484" s="34" t="n">
        <f aca="false">G484*2</f>
        <v>7456</v>
      </c>
      <c r="I484" s="39" t="str">
        <f aca="false">A484&amp;"|"&amp;B484&amp;"|"&amp;D484&amp;"|"&amp;E484&amp;F484</f>
        <v>auto|Lawton|scenario A (age 16)|male</v>
      </c>
      <c r="J484" s="34" t="n">
        <f aca="false" t="array" ref="J484:J484">MEDIAN(IF($I$4:$I$1803=I484,$H$4:$H$1803))</f>
        <v>7077</v>
      </c>
      <c r="K484" s="59" t="n">
        <f aca="false">H484/J484</f>
        <v>1.05355376571994</v>
      </c>
    </row>
    <row r="485" customFormat="false" ht="15" hidden="false" customHeight="false" outlineLevel="0" collapsed="false">
      <c r="A485" s="39" t="s">
        <v>879</v>
      </c>
      <c r="B485" s="39" t="s">
        <v>909</v>
      </c>
      <c r="C485" s="39" t="s">
        <v>896</v>
      </c>
      <c r="D485" s="39" t="s">
        <v>882</v>
      </c>
      <c r="E485" s="39" t="s">
        <v>884</v>
      </c>
      <c r="F485" s="39"/>
      <c r="G485" s="58" t="n">
        <v>2325</v>
      </c>
      <c r="H485" s="34" t="n">
        <f aca="false">G485*2</f>
        <v>4650</v>
      </c>
      <c r="I485" s="39" t="str">
        <f aca="false">A485&amp;"|"&amp;B485&amp;"|"&amp;D485&amp;"|"&amp;E485&amp;F485</f>
        <v>auto|Lawton|scenario A (age 16)|female</v>
      </c>
      <c r="J485" s="34" t="n">
        <f aca="false" t="array" ref="J485:J485">MEDIAN(IF($I$4:$I$1803=I485,$H$4:$H$1803))</f>
        <v>5882</v>
      </c>
      <c r="K485" s="59" t="n">
        <f aca="false">H485/J485</f>
        <v>0.790547432845971</v>
      </c>
    </row>
    <row r="486" customFormat="false" ht="15" hidden="false" customHeight="false" outlineLevel="0" collapsed="false">
      <c r="A486" s="39" t="s">
        <v>879</v>
      </c>
      <c r="B486" s="39" t="s">
        <v>909</v>
      </c>
      <c r="C486" s="39" t="s">
        <v>896</v>
      </c>
      <c r="D486" s="39" t="s">
        <v>885</v>
      </c>
      <c r="E486" s="39" t="s">
        <v>883</v>
      </c>
      <c r="F486" s="39"/>
      <c r="G486" s="58" t="n">
        <v>2151</v>
      </c>
      <c r="H486" s="34" t="n">
        <f aca="false">G486*2</f>
        <v>4302</v>
      </c>
      <c r="I486" s="39" t="str">
        <f aca="false">A486&amp;"|"&amp;B486&amp;"|"&amp;D486&amp;"|"&amp;E486&amp;F486</f>
        <v>auto|Lawton|scenario B (age 21)|male</v>
      </c>
      <c r="J486" s="34" t="n">
        <f aca="false" t="array" ref="J486:J486">MEDIAN(IF($I$4:$I$1803=I486,$H$4:$H$1803))</f>
        <v>3033</v>
      </c>
      <c r="K486" s="59" t="n">
        <f aca="false">H486/J486</f>
        <v>1.41839762611276</v>
      </c>
    </row>
    <row r="487" customFormat="false" ht="15" hidden="false" customHeight="false" outlineLevel="0" collapsed="false">
      <c r="A487" s="39" t="s">
        <v>879</v>
      </c>
      <c r="B487" s="39" t="s">
        <v>909</v>
      </c>
      <c r="C487" s="39" t="s">
        <v>896</v>
      </c>
      <c r="D487" s="39" t="s">
        <v>885</v>
      </c>
      <c r="E487" s="39" t="s">
        <v>884</v>
      </c>
      <c r="F487" s="39"/>
      <c r="G487" s="58" t="n">
        <v>1605</v>
      </c>
      <c r="H487" s="34" t="n">
        <f aca="false">G487*2</f>
        <v>3210</v>
      </c>
      <c r="I487" s="39" t="str">
        <f aca="false">A487&amp;"|"&amp;B487&amp;"|"&amp;D487&amp;"|"&amp;E487&amp;F487</f>
        <v>auto|Lawton|scenario B (age 21)|female</v>
      </c>
      <c r="J487" s="34" t="n">
        <f aca="false" t="array" ref="J487:J487">MEDIAN(IF($I$4:$I$1803=I487,$H$4:$H$1803))</f>
        <v>2769</v>
      </c>
      <c r="K487" s="59" t="n">
        <f aca="false">H487/J487</f>
        <v>1.15926327193933</v>
      </c>
    </row>
    <row r="488" customFormat="false" ht="15" hidden="false" customHeight="false" outlineLevel="0" collapsed="false">
      <c r="A488" s="39" t="s">
        <v>879</v>
      </c>
      <c r="B488" s="39" t="s">
        <v>909</v>
      </c>
      <c r="C488" s="39" t="s">
        <v>896</v>
      </c>
      <c r="D488" s="39" t="s">
        <v>886</v>
      </c>
      <c r="E488" s="39" t="s">
        <v>883</v>
      </c>
      <c r="F488" s="39"/>
      <c r="G488" s="58" t="n">
        <v>983</v>
      </c>
      <c r="H488" s="34" t="n">
        <f aca="false">G488*2</f>
        <v>1966</v>
      </c>
      <c r="I488" s="39" t="str">
        <f aca="false">A488&amp;"|"&amp;B488&amp;"|"&amp;D488&amp;"|"&amp;E488&amp;F488</f>
        <v>auto|Lawton|scenario C (age 36)|male</v>
      </c>
      <c r="J488" s="34" t="n">
        <f aca="false" t="array" ref="J488:J488">MEDIAN(IF($I$4:$I$1803=I488,$H$4:$H$1803))</f>
        <v>1878</v>
      </c>
      <c r="K488" s="59" t="n">
        <f aca="false">H488/J488</f>
        <v>1.0468583599574</v>
      </c>
    </row>
    <row r="489" customFormat="false" ht="15" hidden="false" customHeight="false" outlineLevel="0" collapsed="false">
      <c r="A489" s="39" t="s">
        <v>879</v>
      </c>
      <c r="B489" s="39" t="s">
        <v>909</v>
      </c>
      <c r="C489" s="39" t="s">
        <v>896</v>
      </c>
      <c r="D489" s="39" t="s">
        <v>886</v>
      </c>
      <c r="E489" s="39" t="s">
        <v>884</v>
      </c>
      <c r="F489" s="39"/>
      <c r="G489" s="58" t="n">
        <v>983</v>
      </c>
      <c r="H489" s="34" t="n">
        <f aca="false">G489*2</f>
        <v>1966</v>
      </c>
      <c r="I489" s="39" t="str">
        <f aca="false">A489&amp;"|"&amp;B489&amp;"|"&amp;D489&amp;"|"&amp;E489&amp;F489</f>
        <v>auto|Lawton|scenario C (age 36)|female</v>
      </c>
      <c r="J489" s="34" t="n">
        <f aca="false" t="array" ref="J489:J489">MEDIAN(IF($I$4:$I$1803=I489,$H$4:$H$1803))</f>
        <v>1834</v>
      </c>
      <c r="K489" s="59" t="n">
        <f aca="false">H489/J489</f>
        <v>1.07197382769902</v>
      </c>
    </row>
    <row r="490" customFormat="false" ht="15" hidden="false" customHeight="false" outlineLevel="0" collapsed="false">
      <c r="A490" s="39" t="s">
        <v>879</v>
      </c>
      <c r="B490" s="39" t="s">
        <v>909</v>
      </c>
      <c r="C490" s="39" t="s">
        <v>896</v>
      </c>
      <c r="D490" s="39" t="s">
        <v>887</v>
      </c>
      <c r="E490" s="39" t="s">
        <v>883</v>
      </c>
      <c r="F490" s="39"/>
      <c r="G490" s="58" t="n">
        <v>885</v>
      </c>
      <c r="H490" s="34" t="n">
        <f aca="false">G490*2</f>
        <v>1770</v>
      </c>
      <c r="I490" s="39" t="str">
        <f aca="false">A490&amp;"|"&amp;B490&amp;"|"&amp;D490&amp;"|"&amp;E490&amp;F490</f>
        <v>auto|Lawton|scenario D (age 55)|male</v>
      </c>
      <c r="J490" s="34" t="n">
        <f aca="false" t="array" ref="J490:J490">MEDIAN(IF($I$4:$I$1803=I490,$H$4:$H$1803))</f>
        <v>1582</v>
      </c>
      <c r="K490" s="59" t="n">
        <f aca="false">H490/J490</f>
        <v>1.11883691529709</v>
      </c>
    </row>
    <row r="491" customFormat="false" ht="15" hidden="false" customHeight="false" outlineLevel="0" collapsed="false">
      <c r="A491" s="39" t="s">
        <v>879</v>
      </c>
      <c r="B491" s="39" t="s">
        <v>909</v>
      </c>
      <c r="C491" s="39" t="s">
        <v>896</v>
      </c>
      <c r="D491" s="39" t="s">
        <v>887</v>
      </c>
      <c r="E491" s="39" t="s">
        <v>884</v>
      </c>
      <c r="F491" s="39"/>
      <c r="G491" s="58" t="n">
        <v>885</v>
      </c>
      <c r="H491" s="34" t="n">
        <f aca="false">G491*2</f>
        <v>1770</v>
      </c>
      <c r="I491" s="39" t="str">
        <f aca="false">A491&amp;"|"&amp;B491&amp;"|"&amp;D491&amp;"|"&amp;E491&amp;F491</f>
        <v>auto|Lawton|scenario D (age 55)|female</v>
      </c>
      <c r="J491" s="34" t="n">
        <f aca="false" t="array" ref="J491:J491">MEDIAN(IF($I$4:$I$1803=I491,$H$4:$H$1803))</f>
        <v>1515</v>
      </c>
      <c r="K491" s="59" t="n">
        <f aca="false">H491/J491</f>
        <v>1.16831683168317</v>
      </c>
    </row>
    <row r="492" customFormat="false" ht="15" hidden="false" customHeight="false" outlineLevel="0" collapsed="false">
      <c r="A492" s="39" t="s">
        <v>879</v>
      </c>
      <c r="B492" s="39" t="s">
        <v>909</v>
      </c>
      <c r="C492" s="39" t="s">
        <v>896</v>
      </c>
      <c r="D492" s="39" t="s">
        <v>888</v>
      </c>
      <c r="E492" s="39" t="s">
        <v>883</v>
      </c>
      <c r="F492" s="39"/>
      <c r="G492" s="58" t="n">
        <v>801</v>
      </c>
      <c r="H492" s="34" t="n">
        <f aca="false">G492*2</f>
        <v>1602</v>
      </c>
      <c r="I492" s="39" t="str">
        <f aca="false">A492&amp;"|"&amp;B492&amp;"|"&amp;D492&amp;"|"&amp;E492&amp;F492</f>
        <v>auto|Lawton|scenario E (age 70)|male</v>
      </c>
      <c r="J492" s="34" t="n">
        <f aca="false" t="array" ref="J492:J492">MEDIAN(IF($I$4:$I$1803=I492,$H$4:$H$1803))</f>
        <v>1386</v>
      </c>
      <c r="K492" s="59" t="n">
        <f aca="false">H492/J492</f>
        <v>1.15584415584416</v>
      </c>
    </row>
    <row r="493" customFormat="false" ht="15" hidden="false" customHeight="false" outlineLevel="0" collapsed="false">
      <c r="A493" s="39" t="s">
        <v>879</v>
      </c>
      <c r="B493" s="39" t="s">
        <v>909</v>
      </c>
      <c r="C493" s="39" t="s">
        <v>896</v>
      </c>
      <c r="D493" s="39" t="s">
        <v>888</v>
      </c>
      <c r="E493" s="39" t="s">
        <v>884</v>
      </c>
      <c r="F493" s="39"/>
      <c r="G493" s="58" t="n">
        <v>801</v>
      </c>
      <c r="H493" s="34" t="n">
        <f aca="false">G493*2</f>
        <v>1602</v>
      </c>
      <c r="I493" s="39" t="str">
        <f aca="false">A493&amp;"|"&amp;B493&amp;"|"&amp;D493&amp;"|"&amp;E493&amp;F493</f>
        <v>auto|Lawton|scenario E (age 70)|female</v>
      </c>
      <c r="J493" s="34" t="n">
        <f aca="false" t="array" ref="J493:J493">MEDIAN(IF($I$4:$I$1803=I493,$H$4:$H$1803))</f>
        <v>1396</v>
      </c>
      <c r="K493" s="59" t="n">
        <f aca="false">H493/J493</f>
        <v>1.14756446991404</v>
      </c>
    </row>
    <row r="494" customFormat="false" ht="15" hidden="false" customHeight="false" outlineLevel="0" collapsed="false">
      <c r="A494" s="39" t="s">
        <v>879</v>
      </c>
      <c r="B494" s="39" t="s">
        <v>909</v>
      </c>
      <c r="C494" s="39" t="s">
        <v>897</v>
      </c>
      <c r="D494" s="39" t="s">
        <v>882</v>
      </c>
      <c r="E494" s="39" t="s">
        <v>883</v>
      </c>
      <c r="F494" s="39"/>
      <c r="G494" s="58" t="n">
        <v>3852</v>
      </c>
      <c r="H494" s="34" t="n">
        <f aca="false">G494*2</f>
        <v>7704</v>
      </c>
      <c r="I494" s="39" t="str">
        <f aca="false">A494&amp;"|"&amp;B494&amp;"|"&amp;D494&amp;"|"&amp;E494&amp;F494</f>
        <v>auto|Lawton|scenario A (age 16)|male</v>
      </c>
      <c r="J494" s="34" t="n">
        <f aca="false" t="array" ref="J494:J494">MEDIAN(IF($I$4:$I$1803=I494,$H$4:$H$1803))</f>
        <v>7077</v>
      </c>
      <c r="K494" s="59" t="n">
        <f aca="false">H494/J494</f>
        <v>1.08859686307758</v>
      </c>
    </row>
    <row r="495" customFormat="false" ht="15" hidden="false" customHeight="false" outlineLevel="0" collapsed="false">
      <c r="A495" s="39" t="s">
        <v>879</v>
      </c>
      <c r="B495" s="39" t="s">
        <v>909</v>
      </c>
      <c r="C495" s="39" t="s">
        <v>897</v>
      </c>
      <c r="D495" s="39" t="s">
        <v>882</v>
      </c>
      <c r="E495" s="39" t="s">
        <v>884</v>
      </c>
      <c r="F495" s="39"/>
      <c r="G495" s="58" t="n">
        <v>3408</v>
      </c>
      <c r="H495" s="34" t="n">
        <f aca="false">G495*2</f>
        <v>6816</v>
      </c>
      <c r="I495" s="39" t="str">
        <f aca="false">A495&amp;"|"&amp;B495&amp;"|"&amp;D495&amp;"|"&amp;E495&amp;F495</f>
        <v>auto|Lawton|scenario A (age 16)|female</v>
      </c>
      <c r="J495" s="34" t="n">
        <f aca="false" t="array" ref="J495:J495">MEDIAN(IF($I$4:$I$1803=I495,$H$4:$H$1803))</f>
        <v>5882</v>
      </c>
      <c r="K495" s="59" t="n">
        <f aca="false">H495/J495</f>
        <v>1.15878952737164</v>
      </c>
    </row>
    <row r="496" customFormat="false" ht="15" hidden="false" customHeight="false" outlineLevel="0" collapsed="false">
      <c r="A496" s="39" t="s">
        <v>879</v>
      </c>
      <c r="B496" s="39" t="s">
        <v>909</v>
      </c>
      <c r="C496" s="39" t="s">
        <v>897</v>
      </c>
      <c r="D496" s="39" t="s">
        <v>885</v>
      </c>
      <c r="E496" s="39" t="s">
        <v>883</v>
      </c>
      <c r="F496" s="39"/>
      <c r="G496" s="58" t="n">
        <v>1549</v>
      </c>
      <c r="H496" s="34" t="n">
        <f aca="false">G496*2</f>
        <v>3098</v>
      </c>
      <c r="I496" s="39" t="str">
        <f aca="false">A496&amp;"|"&amp;B496&amp;"|"&amp;D496&amp;"|"&amp;E496&amp;F496</f>
        <v>auto|Lawton|scenario B (age 21)|male</v>
      </c>
      <c r="J496" s="34" t="n">
        <f aca="false" t="array" ref="J496:J496">MEDIAN(IF($I$4:$I$1803=I496,$H$4:$H$1803))</f>
        <v>3033</v>
      </c>
      <c r="K496" s="59" t="n">
        <f aca="false">H496/J496</f>
        <v>1.02143092647544</v>
      </c>
    </row>
    <row r="497" customFormat="false" ht="15" hidden="false" customHeight="false" outlineLevel="0" collapsed="false">
      <c r="A497" s="39" t="s">
        <v>879</v>
      </c>
      <c r="B497" s="39" t="s">
        <v>909</v>
      </c>
      <c r="C497" s="39" t="s">
        <v>897</v>
      </c>
      <c r="D497" s="39" t="s">
        <v>885</v>
      </c>
      <c r="E497" s="39" t="s">
        <v>884</v>
      </c>
      <c r="F497" s="39"/>
      <c r="G497" s="58" t="n">
        <v>1341</v>
      </c>
      <c r="H497" s="34" t="n">
        <f aca="false">G497*2</f>
        <v>2682</v>
      </c>
      <c r="I497" s="39" t="str">
        <f aca="false">A497&amp;"|"&amp;B497&amp;"|"&amp;D497&amp;"|"&amp;E497&amp;F497</f>
        <v>auto|Lawton|scenario B (age 21)|female</v>
      </c>
      <c r="J497" s="34" t="n">
        <f aca="false" t="array" ref="J497:J497">MEDIAN(IF($I$4:$I$1803=I497,$H$4:$H$1803))</f>
        <v>2769</v>
      </c>
      <c r="K497" s="59" t="n">
        <f aca="false">H497/J497</f>
        <v>0.968580715059588</v>
      </c>
    </row>
    <row r="498" customFormat="false" ht="15" hidden="false" customHeight="false" outlineLevel="0" collapsed="false">
      <c r="A498" s="39" t="s">
        <v>879</v>
      </c>
      <c r="B498" s="39" t="s">
        <v>909</v>
      </c>
      <c r="C498" s="39" t="s">
        <v>897</v>
      </c>
      <c r="D498" s="39" t="s">
        <v>886</v>
      </c>
      <c r="E498" s="39" t="s">
        <v>883</v>
      </c>
      <c r="F498" s="39"/>
      <c r="G498" s="58" t="n">
        <v>953</v>
      </c>
      <c r="H498" s="34" t="n">
        <f aca="false">G498*2</f>
        <v>1906</v>
      </c>
      <c r="I498" s="39" t="str">
        <f aca="false">A498&amp;"|"&amp;B498&amp;"|"&amp;D498&amp;"|"&amp;E498&amp;F498</f>
        <v>auto|Lawton|scenario C (age 36)|male</v>
      </c>
      <c r="J498" s="34" t="n">
        <f aca="false" t="array" ref="J498:J498">MEDIAN(IF($I$4:$I$1803=I498,$H$4:$H$1803))</f>
        <v>1878</v>
      </c>
      <c r="K498" s="59" t="n">
        <f aca="false">H498/J498</f>
        <v>1.01490947816826</v>
      </c>
    </row>
    <row r="499" customFormat="false" ht="15" hidden="false" customHeight="false" outlineLevel="0" collapsed="false">
      <c r="A499" s="39" t="s">
        <v>879</v>
      </c>
      <c r="B499" s="39" t="s">
        <v>909</v>
      </c>
      <c r="C499" s="39" t="s">
        <v>897</v>
      </c>
      <c r="D499" s="39" t="s">
        <v>886</v>
      </c>
      <c r="E499" s="39" t="s">
        <v>884</v>
      </c>
      <c r="F499" s="39"/>
      <c r="G499" s="58" t="n">
        <v>912</v>
      </c>
      <c r="H499" s="34" t="n">
        <f aca="false">G499*2</f>
        <v>1824</v>
      </c>
      <c r="I499" s="39" t="str">
        <f aca="false">A499&amp;"|"&amp;B499&amp;"|"&amp;D499&amp;"|"&amp;E499&amp;F499</f>
        <v>auto|Lawton|scenario C (age 36)|female</v>
      </c>
      <c r="J499" s="34" t="n">
        <f aca="false" t="array" ref="J499:J499">MEDIAN(IF($I$4:$I$1803=I499,$H$4:$H$1803))</f>
        <v>1834</v>
      </c>
      <c r="K499" s="59" t="n">
        <f aca="false">H499/J499</f>
        <v>0.994547437295529</v>
      </c>
    </row>
    <row r="500" customFormat="false" ht="15" hidden="false" customHeight="false" outlineLevel="0" collapsed="false">
      <c r="A500" s="39" t="s">
        <v>879</v>
      </c>
      <c r="B500" s="39" t="s">
        <v>909</v>
      </c>
      <c r="C500" s="39" t="s">
        <v>897</v>
      </c>
      <c r="D500" s="39" t="s">
        <v>887</v>
      </c>
      <c r="E500" s="39" t="s">
        <v>883</v>
      </c>
      <c r="F500" s="39"/>
      <c r="G500" s="58" t="n">
        <v>800</v>
      </c>
      <c r="H500" s="34" t="n">
        <f aca="false">G500*2</f>
        <v>1600</v>
      </c>
      <c r="I500" s="39" t="str">
        <f aca="false">A500&amp;"|"&amp;B500&amp;"|"&amp;D500&amp;"|"&amp;E500&amp;F500</f>
        <v>auto|Lawton|scenario D (age 55)|male</v>
      </c>
      <c r="J500" s="34" t="n">
        <f aca="false" t="array" ref="J500:J500">MEDIAN(IF($I$4:$I$1803=I500,$H$4:$H$1803))</f>
        <v>1582</v>
      </c>
      <c r="K500" s="59" t="n">
        <f aca="false">H500/J500</f>
        <v>1.01137800252845</v>
      </c>
    </row>
    <row r="501" customFormat="false" ht="15" hidden="false" customHeight="false" outlineLevel="0" collapsed="false">
      <c r="A501" s="39" t="s">
        <v>879</v>
      </c>
      <c r="B501" s="39" t="s">
        <v>909</v>
      </c>
      <c r="C501" s="39" t="s">
        <v>897</v>
      </c>
      <c r="D501" s="39" t="s">
        <v>887</v>
      </c>
      <c r="E501" s="39" t="s">
        <v>884</v>
      </c>
      <c r="F501" s="39"/>
      <c r="G501" s="58" t="n">
        <v>722</v>
      </c>
      <c r="H501" s="34" t="n">
        <f aca="false">G501*2</f>
        <v>1444</v>
      </c>
      <c r="I501" s="39" t="str">
        <f aca="false">A501&amp;"|"&amp;B501&amp;"|"&amp;D501&amp;"|"&amp;E501&amp;F501</f>
        <v>auto|Lawton|scenario D (age 55)|female</v>
      </c>
      <c r="J501" s="34" t="n">
        <f aca="false" t="array" ref="J501:J501">MEDIAN(IF($I$4:$I$1803=I501,$H$4:$H$1803))</f>
        <v>1515</v>
      </c>
      <c r="K501" s="59" t="n">
        <f aca="false">H501/J501</f>
        <v>0.953135313531353</v>
      </c>
    </row>
    <row r="502" customFormat="false" ht="15" hidden="false" customHeight="false" outlineLevel="0" collapsed="false">
      <c r="A502" s="39" t="s">
        <v>879</v>
      </c>
      <c r="B502" s="39" t="s">
        <v>909</v>
      </c>
      <c r="C502" s="39" t="s">
        <v>897</v>
      </c>
      <c r="D502" s="39" t="s">
        <v>888</v>
      </c>
      <c r="E502" s="39" t="s">
        <v>883</v>
      </c>
      <c r="F502" s="39"/>
      <c r="G502" s="58" t="n">
        <v>766</v>
      </c>
      <c r="H502" s="34" t="n">
        <f aca="false">G502*2</f>
        <v>1532</v>
      </c>
      <c r="I502" s="39" t="str">
        <f aca="false">A502&amp;"|"&amp;B502&amp;"|"&amp;D502&amp;"|"&amp;E502&amp;F502</f>
        <v>auto|Lawton|scenario E (age 70)|male</v>
      </c>
      <c r="J502" s="34" t="n">
        <f aca="false" t="array" ref="J502:J502">MEDIAN(IF($I$4:$I$1803=I502,$H$4:$H$1803))</f>
        <v>1386</v>
      </c>
      <c r="K502" s="59" t="n">
        <f aca="false">H502/J502</f>
        <v>1.10533910533911</v>
      </c>
    </row>
    <row r="503" customFormat="false" ht="15" hidden="false" customHeight="false" outlineLevel="0" collapsed="false">
      <c r="A503" s="39" t="s">
        <v>879</v>
      </c>
      <c r="B503" s="39" t="s">
        <v>909</v>
      </c>
      <c r="C503" s="39" t="s">
        <v>897</v>
      </c>
      <c r="D503" s="39" t="s">
        <v>888</v>
      </c>
      <c r="E503" s="39" t="s">
        <v>884</v>
      </c>
      <c r="F503" s="39"/>
      <c r="G503" s="58" t="n">
        <v>711</v>
      </c>
      <c r="H503" s="34" t="n">
        <f aca="false">G503*2</f>
        <v>1422</v>
      </c>
      <c r="I503" s="39" t="str">
        <f aca="false">A503&amp;"|"&amp;B503&amp;"|"&amp;D503&amp;"|"&amp;E503&amp;F503</f>
        <v>auto|Lawton|scenario E (age 70)|female</v>
      </c>
      <c r="J503" s="34" t="n">
        <f aca="false" t="array" ref="J503:J503">MEDIAN(IF($I$4:$I$1803=I503,$H$4:$H$1803))</f>
        <v>1396</v>
      </c>
      <c r="K503" s="59" t="n">
        <f aca="false">H503/J503</f>
        <v>1.01862464183381</v>
      </c>
    </row>
    <row r="504" customFormat="false" ht="15" hidden="false" customHeight="false" outlineLevel="0" collapsed="false">
      <c r="A504" s="39" t="s">
        <v>879</v>
      </c>
      <c r="B504" s="39" t="s">
        <v>909</v>
      </c>
      <c r="C504" s="39" t="s">
        <v>898</v>
      </c>
      <c r="D504" s="39" t="s">
        <v>882</v>
      </c>
      <c r="E504" s="39" t="s">
        <v>883</v>
      </c>
      <c r="F504" s="39"/>
      <c r="G504" s="58" t="n">
        <v>3969</v>
      </c>
      <c r="H504" s="34" t="n">
        <f aca="false">G504*2</f>
        <v>7938</v>
      </c>
      <c r="I504" s="39" t="str">
        <f aca="false">A504&amp;"|"&amp;B504&amp;"|"&amp;D504&amp;"|"&amp;E504&amp;F504</f>
        <v>auto|Lawton|scenario A (age 16)|male</v>
      </c>
      <c r="J504" s="34" t="n">
        <f aca="false" t="array" ref="J504:J504">MEDIAN(IF($I$4:$I$1803=I504,$H$4:$H$1803))</f>
        <v>7077</v>
      </c>
      <c r="K504" s="59" t="n">
        <f aca="false">H504/J504</f>
        <v>1.12166172106825</v>
      </c>
    </row>
    <row r="505" customFormat="false" ht="15" hidden="false" customHeight="false" outlineLevel="0" collapsed="false">
      <c r="A505" s="39" t="s">
        <v>879</v>
      </c>
      <c r="B505" s="39" t="s">
        <v>909</v>
      </c>
      <c r="C505" s="39" t="s">
        <v>898</v>
      </c>
      <c r="D505" s="39" t="s">
        <v>882</v>
      </c>
      <c r="E505" s="39" t="s">
        <v>884</v>
      </c>
      <c r="F505" s="39"/>
      <c r="G505" s="58" t="n">
        <v>3473</v>
      </c>
      <c r="H505" s="34" t="n">
        <f aca="false">G505*2</f>
        <v>6946</v>
      </c>
      <c r="I505" s="39" t="str">
        <f aca="false">A505&amp;"|"&amp;B505&amp;"|"&amp;D505&amp;"|"&amp;E505&amp;F505</f>
        <v>auto|Lawton|scenario A (age 16)|female</v>
      </c>
      <c r="J505" s="34" t="n">
        <f aca="false" t="array" ref="J505:J505">MEDIAN(IF($I$4:$I$1803=I505,$H$4:$H$1803))</f>
        <v>5882</v>
      </c>
      <c r="K505" s="59" t="n">
        <f aca="false">H505/J505</f>
        <v>1.18089085345121</v>
      </c>
    </row>
    <row r="506" customFormat="false" ht="15" hidden="false" customHeight="false" outlineLevel="0" collapsed="false">
      <c r="A506" s="39" t="s">
        <v>879</v>
      </c>
      <c r="B506" s="39" t="s">
        <v>909</v>
      </c>
      <c r="C506" s="39" t="s">
        <v>898</v>
      </c>
      <c r="D506" s="39" t="s">
        <v>885</v>
      </c>
      <c r="E506" s="39" t="s">
        <v>883</v>
      </c>
      <c r="F506" s="39"/>
      <c r="G506" s="58" t="n">
        <v>1482</v>
      </c>
      <c r="H506" s="34" t="n">
        <f aca="false">G506*2</f>
        <v>2964</v>
      </c>
      <c r="I506" s="39" t="str">
        <f aca="false">A506&amp;"|"&amp;B506&amp;"|"&amp;D506&amp;"|"&amp;E506&amp;F506</f>
        <v>auto|Lawton|scenario B (age 21)|male</v>
      </c>
      <c r="J506" s="34" t="n">
        <f aca="false" t="array" ref="J506:J506">MEDIAN(IF($I$4:$I$1803=I506,$H$4:$H$1803))</f>
        <v>3033</v>
      </c>
      <c r="K506" s="59" t="n">
        <f aca="false">H506/J506</f>
        <v>0.977250247279921</v>
      </c>
    </row>
    <row r="507" customFormat="false" ht="15" hidden="false" customHeight="false" outlineLevel="0" collapsed="false">
      <c r="A507" s="39" t="s">
        <v>879</v>
      </c>
      <c r="B507" s="39" t="s">
        <v>909</v>
      </c>
      <c r="C507" s="39" t="s">
        <v>898</v>
      </c>
      <c r="D507" s="39" t="s">
        <v>885</v>
      </c>
      <c r="E507" s="39" t="s">
        <v>884</v>
      </c>
      <c r="F507" s="39"/>
      <c r="G507" s="58" t="n">
        <v>1200</v>
      </c>
      <c r="H507" s="34" t="n">
        <f aca="false">G507*2</f>
        <v>2400</v>
      </c>
      <c r="I507" s="39" t="str">
        <f aca="false">A507&amp;"|"&amp;B507&amp;"|"&amp;D507&amp;"|"&amp;E507&amp;F507</f>
        <v>auto|Lawton|scenario B (age 21)|female</v>
      </c>
      <c r="J507" s="34" t="n">
        <f aca="false" t="array" ref="J507:J507">MEDIAN(IF($I$4:$I$1803=I507,$H$4:$H$1803))</f>
        <v>2769</v>
      </c>
      <c r="K507" s="59" t="n">
        <f aca="false">H507/J507</f>
        <v>0.866738894907909</v>
      </c>
    </row>
    <row r="508" customFormat="false" ht="15" hidden="false" customHeight="false" outlineLevel="0" collapsed="false">
      <c r="A508" s="39" t="s">
        <v>879</v>
      </c>
      <c r="B508" s="39" t="s">
        <v>909</v>
      </c>
      <c r="C508" s="39" t="s">
        <v>898</v>
      </c>
      <c r="D508" s="39" t="s">
        <v>886</v>
      </c>
      <c r="E508" s="39" t="s">
        <v>883</v>
      </c>
      <c r="F508" s="39"/>
      <c r="G508" s="58" t="n">
        <v>921</v>
      </c>
      <c r="H508" s="34" t="n">
        <f aca="false">G508*2</f>
        <v>1842</v>
      </c>
      <c r="I508" s="39" t="str">
        <f aca="false">A508&amp;"|"&amp;B508&amp;"|"&amp;D508&amp;"|"&amp;E508&amp;F508</f>
        <v>auto|Lawton|scenario C (age 36)|male</v>
      </c>
      <c r="J508" s="34" t="n">
        <f aca="false" t="array" ref="J508:J508">MEDIAN(IF($I$4:$I$1803=I508,$H$4:$H$1803))</f>
        <v>1878</v>
      </c>
      <c r="K508" s="59" t="n">
        <f aca="false">H508/J508</f>
        <v>0.980830670926518</v>
      </c>
    </row>
    <row r="509" customFormat="false" ht="15" hidden="false" customHeight="false" outlineLevel="0" collapsed="false">
      <c r="A509" s="39" t="s">
        <v>879</v>
      </c>
      <c r="B509" s="39" t="s">
        <v>909</v>
      </c>
      <c r="C509" s="39" t="s">
        <v>898</v>
      </c>
      <c r="D509" s="39" t="s">
        <v>886</v>
      </c>
      <c r="E509" s="39" t="s">
        <v>884</v>
      </c>
      <c r="F509" s="39"/>
      <c r="G509" s="58" t="n">
        <v>815</v>
      </c>
      <c r="H509" s="34" t="n">
        <f aca="false">G509*2</f>
        <v>1630</v>
      </c>
      <c r="I509" s="39" t="str">
        <f aca="false">A509&amp;"|"&amp;B509&amp;"|"&amp;D509&amp;"|"&amp;E509&amp;F509</f>
        <v>auto|Lawton|scenario C (age 36)|female</v>
      </c>
      <c r="J509" s="34" t="n">
        <f aca="false" t="array" ref="J509:J509">MEDIAN(IF($I$4:$I$1803=I509,$H$4:$H$1803))</f>
        <v>1834</v>
      </c>
      <c r="K509" s="59" t="n">
        <f aca="false">H509/J509</f>
        <v>0.88876772082879</v>
      </c>
    </row>
    <row r="510" customFormat="false" ht="15" hidden="false" customHeight="false" outlineLevel="0" collapsed="false">
      <c r="A510" s="39" t="s">
        <v>879</v>
      </c>
      <c r="B510" s="39" t="s">
        <v>909</v>
      </c>
      <c r="C510" s="39" t="s">
        <v>898</v>
      </c>
      <c r="D510" s="39" t="s">
        <v>887</v>
      </c>
      <c r="E510" s="39" t="s">
        <v>883</v>
      </c>
      <c r="F510" s="39"/>
      <c r="G510" s="58" t="n">
        <v>677</v>
      </c>
      <c r="H510" s="34" t="n">
        <f aca="false">G510*2</f>
        <v>1354</v>
      </c>
      <c r="I510" s="39" t="str">
        <f aca="false">A510&amp;"|"&amp;B510&amp;"|"&amp;D510&amp;"|"&amp;E510&amp;F510</f>
        <v>auto|Lawton|scenario D (age 55)|male</v>
      </c>
      <c r="J510" s="34" t="n">
        <f aca="false" t="array" ref="J510:J510">MEDIAN(IF($I$4:$I$1803=I510,$H$4:$H$1803))</f>
        <v>1582</v>
      </c>
      <c r="K510" s="59" t="n">
        <f aca="false">H510/J510</f>
        <v>0.855878634639697</v>
      </c>
    </row>
    <row r="511" customFormat="false" ht="15" hidden="false" customHeight="false" outlineLevel="0" collapsed="false">
      <c r="A511" s="39" t="s">
        <v>879</v>
      </c>
      <c r="B511" s="39" t="s">
        <v>909</v>
      </c>
      <c r="C511" s="39" t="s">
        <v>898</v>
      </c>
      <c r="D511" s="39" t="s">
        <v>887</v>
      </c>
      <c r="E511" s="39" t="s">
        <v>884</v>
      </c>
      <c r="F511" s="39"/>
      <c r="G511" s="58" t="n">
        <v>602</v>
      </c>
      <c r="H511" s="34" t="n">
        <f aca="false">G511*2</f>
        <v>1204</v>
      </c>
      <c r="I511" s="39" t="str">
        <f aca="false">A511&amp;"|"&amp;B511&amp;"|"&amp;D511&amp;"|"&amp;E511&amp;F511</f>
        <v>auto|Lawton|scenario D (age 55)|female</v>
      </c>
      <c r="J511" s="34" t="n">
        <f aca="false" t="array" ref="J511:J511">MEDIAN(IF($I$4:$I$1803=I511,$H$4:$H$1803))</f>
        <v>1515</v>
      </c>
      <c r="K511" s="59" t="n">
        <f aca="false">H511/J511</f>
        <v>0.794719471947195</v>
      </c>
    </row>
    <row r="512" customFormat="false" ht="15" hidden="false" customHeight="false" outlineLevel="0" collapsed="false">
      <c r="A512" s="39" t="s">
        <v>879</v>
      </c>
      <c r="B512" s="39" t="s">
        <v>909</v>
      </c>
      <c r="C512" s="39" t="s">
        <v>898</v>
      </c>
      <c r="D512" s="39" t="s">
        <v>888</v>
      </c>
      <c r="E512" s="39" t="s">
        <v>883</v>
      </c>
      <c r="F512" s="39"/>
      <c r="G512" s="58" t="n">
        <v>636</v>
      </c>
      <c r="H512" s="34" t="n">
        <f aca="false">G512*2</f>
        <v>1272</v>
      </c>
      <c r="I512" s="39" t="str">
        <f aca="false">A512&amp;"|"&amp;B512&amp;"|"&amp;D512&amp;"|"&amp;E512&amp;F512</f>
        <v>auto|Lawton|scenario E (age 70)|male</v>
      </c>
      <c r="J512" s="34" t="n">
        <f aca="false" t="array" ref="J512:J512">MEDIAN(IF($I$4:$I$1803=I512,$H$4:$H$1803))</f>
        <v>1386</v>
      </c>
      <c r="K512" s="59" t="n">
        <f aca="false">H512/J512</f>
        <v>0.917748917748918</v>
      </c>
    </row>
    <row r="513" customFormat="false" ht="15" hidden="false" customHeight="false" outlineLevel="0" collapsed="false">
      <c r="A513" s="39" t="s">
        <v>879</v>
      </c>
      <c r="B513" s="39" t="s">
        <v>909</v>
      </c>
      <c r="C513" s="39" t="s">
        <v>898</v>
      </c>
      <c r="D513" s="39" t="s">
        <v>888</v>
      </c>
      <c r="E513" s="39" t="s">
        <v>884</v>
      </c>
      <c r="F513" s="39"/>
      <c r="G513" s="58" t="n">
        <v>560</v>
      </c>
      <c r="H513" s="34" t="n">
        <f aca="false">G513*2</f>
        <v>1120</v>
      </c>
      <c r="I513" s="39" t="str">
        <f aca="false">A513&amp;"|"&amp;B513&amp;"|"&amp;D513&amp;"|"&amp;E513&amp;F513</f>
        <v>auto|Lawton|scenario E (age 70)|female</v>
      </c>
      <c r="J513" s="34" t="n">
        <f aca="false" t="array" ref="J513:J513">MEDIAN(IF($I$4:$I$1803=I513,$H$4:$H$1803))</f>
        <v>1396</v>
      </c>
      <c r="K513" s="59" t="n">
        <f aca="false">H513/J513</f>
        <v>0.802292263610315</v>
      </c>
    </row>
    <row r="514" customFormat="false" ht="15" hidden="false" customHeight="false" outlineLevel="0" collapsed="false">
      <c r="A514" s="39" t="s">
        <v>879</v>
      </c>
      <c r="B514" s="39" t="s">
        <v>909</v>
      </c>
      <c r="C514" s="39" t="s">
        <v>899</v>
      </c>
      <c r="D514" s="39" t="s">
        <v>882</v>
      </c>
      <c r="E514" s="39" t="s">
        <v>883</v>
      </c>
      <c r="F514" s="39"/>
      <c r="G514" s="58" t="n">
        <v>1593</v>
      </c>
      <c r="H514" s="34" t="n">
        <f aca="false">G514*2</f>
        <v>3186</v>
      </c>
      <c r="I514" s="39" t="str">
        <f aca="false">A514&amp;"|"&amp;B514&amp;"|"&amp;D514&amp;"|"&amp;E514&amp;F514</f>
        <v>auto|Lawton|scenario A (age 16)|male</v>
      </c>
      <c r="J514" s="34" t="n">
        <f aca="false" t="array" ref="J514:J514">MEDIAN(IF($I$4:$I$1803=I514,$H$4:$H$1803))</f>
        <v>7077</v>
      </c>
      <c r="K514" s="59" t="n">
        <f aca="false">H514/J514</f>
        <v>0.4501907587961</v>
      </c>
    </row>
    <row r="515" customFormat="false" ht="15" hidden="false" customHeight="false" outlineLevel="0" collapsed="false">
      <c r="A515" s="39" t="s">
        <v>879</v>
      </c>
      <c r="B515" s="39" t="s">
        <v>909</v>
      </c>
      <c r="C515" s="39" t="s">
        <v>899</v>
      </c>
      <c r="D515" s="39" t="s">
        <v>882</v>
      </c>
      <c r="E515" s="39" t="s">
        <v>884</v>
      </c>
      <c r="F515" s="39"/>
      <c r="G515" s="58" t="n">
        <v>1466</v>
      </c>
      <c r="H515" s="34" t="n">
        <f aca="false">G515*2</f>
        <v>2932</v>
      </c>
      <c r="I515" s="39" t="str">
        <f aca="false">A515&amp;"|"&amp;B515&amp;"|"&amp;D515&amp;"|"&amp;E515&amp;F515</f>
        <v>auto|Lawton|scenario A (age 16)|female</v>
      </c>
      <c r="J515" s="34" t="n">
        <f aca="false" t="array" ref="J515:J515">MEDIAN(IF($I$4:$I$1803=I515,$H$4:$H$1803))</f>
        <v>5882</v>
      </c>
      <c r="K515" s="59" t="n">
        <f aca="false">H515/J515</f>
        <v>0.498469908194492</v>
      </c>
    </row>
    <row r="516" customFormat="false" ht="15" hidden="false" customHeight="false" outlineLevel="0" collapsed="false">
      <c r="A516" s="39" t="s">
        <v>879</v>
      </c>
      <c r="B516" s="39" t="s">
        <v>909</v>
      </c>
      <c r="C516" s="39" t="s">
        <v>899</v>
      </c>
      <c r="D516" s="39" t="s">
        <v>885</v>
      </c>
      <c r="E516" s="39" t="s">
        <v>883</v>
      </c>
      <c r="F516" s="39"/>
      <c r="G516" s="58" t="n">
        <v>831</v>
      </c>
      <c r="H516" s="34" t="n">
        <f aca="false">G516*2</f>
        <v>1662</v>
      </c>
      <c r="I516" s="39" t="str">
        <f aca="false">A516&amp;"|"&amp;B516&amp;"|"&amp;D516&amp;"|"&amp;E516&amp;F516</f>
        <v>auto|Lawton|scenario B (age 21)|male</v>
      </c>
      <c r="J516" s="34" t="n">
        <f aca="false" t="array" ref="J516:J516">MEDIAN(IF($I$4:$I$1803=I516,$H$4:$H$1803))</f>
        <v>3033</v>
      </c>
      <c r="K516" s="59" t="n">
        <f aca="false">H516/J516</f>
        <v>0.547972304648863</v>
      </c>
    </row>
    <row r="517" customFormat="false" ht="15" hidden="false" customHeight="false" outlineLevel="0" collapsed="false">
      <c r="A517" s="39" t="s">
        <v>879</v>
      </c>
      <c r="B517" s="39" t="s">
        <v>909</v>
      </c>
      <c r="C517" s="39" t="s">
        <v>899</v>
      </c>
      <c r="D517" s="39" t="s">
        <v>885</v>
      </c>
      <c r="E517" s="39" t="s">
        <v>884</v>
      </c>
      <c r="F517" s="39"/>
      <c r="G517" s="58" t="n">
        <v>785</v>
      </c>
      <c r="H517" s="34" t="n">
        <f aca="false">G517*2</f>
        <v>1570</v>
      </c>
      <c r="I517" s="39" t="str">
        <f aca="false">A517&amp;"|"&amp;B517&amp;"|"&amp;D517&amp;"|"&amp;E517&amp;F517</f>
        <v>auto|Lawton|scenario B (age 21)|female</v>
      </c>
      <c r="J517" s="34" t="n">
        <f aca="false" t="array" ref="J517:J517">MEDIAN(IF($I$4:$I$1803=I517,$H$4:$H$1803))</f>
        <v>2769</v>
      </c>
      <c r="K517" s="59" t="n">
        <f aca="false">H517/J517</f>
        <v>0.566991693752257</v>
      </c>
    </row>
    <row r="518" customFormat="false" ht="15" hidden="false" customHeight="false" outlineLevel="0" collapsed="false">
      <c r="A518" s="39" t="s">
        <v>879</v>
      </c>
      <c r="B518" s="39" t="s">
        <v>909</v>
      </c>
      <c r="C518" s="39" t="s">
        <v>899</v>
      </c>
      <c r="D518" s="39" t="s">
        <v>886</v>
      </c>
      <c r="E518" s="39" t="s">
        <v>883</v>
      </c>
      <c r="F518" s="39"/>
      <c r="G518" s="58" t="n">
        <v>494</v>
      </c>
      <c r="H518" s="34" t="n">
        <f aca="false">G518*2</f>
        <v>988</v>
      </c>
      <c r="I518" s="39" t="str">
        <f aca="false">A518&amp;"|"&amp;B518&amp;"|"&amp;D518&amp;"|"&amp;E518&amp;F518</f>
        <v>auto|Lawton|scenario C (age 36)|male</v>
      </c>
      <c r="J518" s="34" t="n">
        <f aca="false" t="array" ref="J518:J518">MEDIAN(IF($I$4:$I$1803=I518,$H$4:$H$1803))</f>
        <v>1878</v>
      </c>
      <c r="K518" s="59" t="n">
        <f aca="false">H518/J518</f>
        <v>0.526091586794462</v>
      </c>
    </row>
    <row r="519" customFormat="false" ht="15" hidden="false" customHeight="false" outlineLevel="0" collapsed="false">
      <c r="A519" s="39" t="s">
        <v>879</v>
      </c>
      <c r="B519" s="39" t="s">
        <v>909</v>
      </c>
      <c r="C519" s="39" t="s">
        <v>899</v>
      </c>
      <c r="D519" s="39" t="s">
        <v>886</v>
      </c>
      <c r="E519" s="39" t="s">
        <v>884</v>
      </c>
      <c r="F519" s="39"/>
      <c r="G519" s="58" t="n">
        <v>465</v>
      </c>
      <c r="H519" s="34" t="n">
        <f aca="false">G519*2</f>
        <v>930</v>
      </c>
      <c r="I519" s="39" t="str">
        <f aca="false">A519&amp;"|"&amp;B519&amp;"|"&amp;D519&amp;"|"&amp;E519&amp;F519</f>
        <v>auto|Lawton|scenario C (age 36)|female</v>
      </c>
      <c r="J519" s="34" t="n">
        <f aca="false" t="array" ref="J519:J519">MEDIAN(IF($I$4:$I$1803=I519,$H$4:$H$1803))</f>
        <v>1834</v>
      </c>
      <c r="K519" s="59" t="n">
        <f aca="false">H519/J519</f>
        <v>0.507088331515813</v>
      </c>
    </row>
    <row r="520" customFormat="false" ht="15" hidden="false" customHeight="false" outlineLevel="0" collapsed="false">
      <c r="A520" s="39" t="s">
        <v>879</v>
      </c>
      <c r="B520" s="39" t="s">
        <v>909</v>
      </c>
      <c r="C520" s="39" t="s">
        <v>899</v>
      </c>
      <c r="D520" s="39" t="s">
        <v>887</v>
      </c>
      <c r="E520" s="39" t="s">
        <v>883</v>
      </c>
      <c r="F520" s="39"/>
      <c r="G520" s="58" t="n">
        <v>505</v>
      </c>
      <c r="H520" s="34" t="n">
        <f aca="false">G520*2</f>
        <v>1010</v>
      </c>
      <c r="I520" s="39" t="str">
        <f aca="false">A520&amp;"|"&amp;B520&amp;"|"&amp;D520&amp;"|"&amp;E520&amp;F520</f>
        <v>auto|Lawton|scenario D (age 55)|male</v>
      </c>
      <c r="J520" s="34" t="n">
        <f aca="false" t="array" ref="J520:J520">MEDIAN(IF($I$4:$I$1803=I520,$H$4:$H$1803))</f>
        <v>1582</v>
      </c>
      <c r="K520" s="59" t="n">
        <f aca="false">H520/J520</f>
        <v>0.638432364096081</v>
      </c>
    </row>
    <row r="521" customFormat="false" ht="15" hidden="false" customHeight="false" outlineLevel="0" collapsed="false">
      <c r="A521" s="39" t="s">
        <v>879</v>
      </c>
      <c r="B521" s="39" t="s">
        <v>909</v>
      </c>
      <c r="C521" s="39" t="s">
        <v>899</v>
      </c>
      <c r="D521" s="39" t="s">
        <v>887</v>
      </c>
      <c r="E521" s="39" t="s">
        <v>884</v>
      </c>
      <c r="F521" s="39"/>
      <c r="G521" s="58" t="n">
        <v>474</v>
      </c>
      <c r="H521" s="34" t="n">
        <f aca="false">G521*2</f>
        <v>948</v>
      </c>
      <c r="I521" s="39" t="str">
        <f aca="false">A521&amp;"|"&amp;B521&amp;"|"&amp;D521&amp;"|"&amp;E521&amp;F521</f>
        <v>auto|Lawton|scenario D (age 55)|female</v>
      </c>
      <c r="J521" s="34" t="n">
        <f aca="false" t="array" ref="J521:J521">MEDIAN(IF($I$4:$I$1803=I521,$H$4:$H$1803))</f>
        <v>1515</v>
      </c>
      <c r="K521" s="59" t="n">
        <f aca="false">H521/J521</f>
        <v>0.625742574257426</v>
      </c>
    </row>
    <row r="522" customFormat="false" ht="15" hidden="false" customHeight="false" outlineLevel="0" collapsed="false">
      <c r="A522" s="39" t="s">
        <v>879</v>
      </c>
      <c r="B522" s="39" t="s">
        <v>909</v>
      </c>
      <c r="C522" s="39" t="s">
        <v>899</v>
      </c>
      <c r="D522" s="39" t="s">
        <v>888</v>
      </c>
      <c r="E522" s="39" t="s">
        <v>883</v>
      </c>
      <c r="F522" s="39"/>
      <c r="G522" s="58" t="n">
        <v>489</v>
      </c>
      <c r="H522" s="34" t="n">
        <f aca="false">G522*2</f>
        <v>978</v>
      </c>
      <c r="I522" s="39" t="str">
        <f aca="false">A522&amp;"|"&amp;B522&amp;"|"&amp;D522&amp;"|"&amp;E522&amp;F522</f>
        <v>auto|Lawton|scenario E (age 70)|male</v>
      </c>
      <c r="J522" s="34" t="n">
        <f aca="false" t="array" ref="J522:J522">MEDIAN(IF($I$4:$I$1803=I522,$H$4:$H$1803))</f>
        <v>1386</v>
      </c>
      <c r="K522" s="59" t="n">
        <f aca="false">H522/J522</f>
        <v>0.705627705627706</v>
      </c>
    </row>
    <row r="523" customFormat="false" ht="15" hidden="false" customHeight="false" outlineLevel="0" collapsed="false">
      <c r="A523" s="39" t="s">
        <v>879</v>
      </c>
      <c r="B523" s="39" t="s">
        <v>909</v>
      </c>
      <c r="C523" s="39" t="s">
        <v>899</v>
      </c>
      <c r="D523" s="39" t="s">
        <v>888</v>
      </c>
      <c r="E523" s="39" t="s">
        <v>884</v>
      </c>
      <c r="F523" s="39"/>
      <c r="G523" s="58" t="n">
        <v>444</v>
      </c>
      <c r="H523" s="34" t="n">
        <f aca="false">G523*2</f>
        <v>888</v>
      </c>
      <c r="I523" s="39" t="str">
        <f aca="false">A523&amp;"|"&amp;B523&amp;"|"&amp;D523&amp;"|"&amp;E523&amp;F523</f>
        <v>auto|Lawton|scenario E (age 70)|female</v>
      </c>
      <c r="J523" s="34" t="n">
        <f aca="false" t="array" ref="J523:J523">MEDIAN(IF($I$4:$I$1803=I523,$H$4:$H$1803))</f>
        <v>1396</v>
      </c>
      <c r="K523" s="59" t="n">
        <f aca="false">H523/J523</f>
        <v>0.636103151862464</v>
      </c>
    </row>
    <row r="524" customFormat="false" ht="15" hidden="false" customHeight="false" outlineLevel="0" collapsed="false">
      <c r="A524" s="39" t="s">
        <v>879</v>
      </c>
      <c r="B524" s="39" t="s">
        <v>909</v>
      </c>
      <c r="C524" s="39" t="s">
        <v>900</v>
      </c>
      <c r="D524" s="39" t="s">
        <v>882</v>
      </c>
      <c r="E524" s="39" t="s">
        <v>883</v>
      </c>
      <c r="F524" s="39"/>
      <c r="G524" s="58" t="n">
        <v>2004</v>
      </c>
      <c r="H524" s="34" t="n">
        <f aca="false">G524*2</f>
        <v>4008</v>
      </c>
      <c r="I524" s="39" t="str">
        <f aca="false">A524&amp;"|"&amp;B524&amp;"|"&amp;D524&amp;"|"&amp;E524&amp;F524</f>
        <v>auto|Lawton|scenario A (age 16)|male</v>
      </c>
      <c r="J524" s="34" t="n">
        <f aca="false" t="array" ref="J524:J524">MEDIAN(IF($I$4:$I$1803=I524,$H$4:$H$1803))</f>
        <v>7077</v>
      </c>
      <c r="K524" s="59" t="n">
        <f aca="false">H524/J524</f>
        <v>0.566341670199237</v>
      </c>
    </row>
    <row r="525" customFormat="false" ht="15" hidden="false" customHeight="false" outlineLevel="0" collapsed="false">
      <c r="A525" s="39" t="s">
        <v>879</v>
      </c>
      <c r="B525" s="39" t="s">
        <v>909</v>
      </c>
      <c r="C525" s="39" t="s">
        <v>900</v>
      </c>
      <c r="D525" s="39" t="s">
        <v>882</v>
      </c>
      <c r="E525" s="39" t="s">
        <v>884</v>
      </c>
      <c r="F525" s="39"/>
      <c r="G525" s="58" t="n">
        <v>1468</v>
      </c>
      <c r="H525" s="34" t="n">
        <f aca="false">G525*2</f>
        <v>2936</v>
      </c>
      <c r="I525" s="39" t="str">
        <f aca="false">A525&amp;"|"&amp;B525&amp;"|"&amp;D525&amp;"|"&amp;E525&amp;F525</f>
        <v>auto|Lawton|scenario A (age 16)|female</v>
      </c>
      <c r="J525" s="34" t="n">
        <f aca="false" t="array" ref="J525:J525">MEDIAN(IF($I$4:$I$1803=I525,$H$4:$H$1803))</f>
        <v>5882</v>
      </c>
      <c r="K525" s="59" t="n">
        <f aca="false">H525/J525</f>
        <v>0.49914994899694</v>
      </c>
    </row>
    <row r="526" customFormat="false" ht="15" hidden="false" customHeight="false" outlineLevel="0" collapsed="false">
      <c r="A526" s="39" t="s">
        <v>879</v>
      </c>
      <c r="B526" s="39" t="s">
        <v>909</v>
      </c>
      <c r="C526" s="39" t="s">
        <v>900</v>
      </c>
      <c r="D526" s="39" t="s">
        <v>885</v>
      </c>
      <c r="E526" s="39" t="s">
        <v>883</v>
      </c>
      <c r="F526" s="39"/>
      <c r="G526" s="58" t="n">
        <v>1299</v>
      </c>
      <c r="H526" s="34" t="n">
        <f aca="false">G526*2</f>
        <v>2598</v>
      </c>
      <c r="I526" s="39" t="str">
        <f aca="false">A526&amp;"|"&amp;B526&amp;"|"&amp;D526&amp;"|"&amp;E526&amp;F526</f>
        <v>auto|Lawton|scenario B (age 21)|male</v>
      </c>
      <c r="J526" s="34" t="n">
        <f aca="false" t="array" ref="J526:J526">MEDIAN(IF($I$4:$I$1803=I526,$H$4:$H$1803))</f>
        <v>3033</v>
      </c>
      <c r="K526" s="59" t="n">
        <f aca="false">H526/J526</f>
        <v>0.856577645895153</v>
      </c>
    </row>
    <row r="527" customFormat="false" ht="15" hidden="false" customHeight="false" outlineLevel="0" collapsed="false">
      <c r="A527" s="39" t="s">
        <v>879</v>
      </c>
      <c r="B527" s="39" t="s">
        <v>909</v>
      </c>
      <c r="C527" s="39" t="s">
        <v>900</v>
      </c>
      <c r="D527" s="39" t="s">
        <v>885</v>
      </c>
      <c r="E527" s="39" t="s">
        <v>884</v>
      </c>
      <c r="F527" s="39"/>
      <c r="G527" s="58" t="n">
        <v>1064</v>
      </c>
      <c r="H527" s="34" t="n">
        <f aca="false">G527*2</f>
        <v>2128</v>
      </c>
      <c r="I527" s="39" t="str">
        <f aca="false">A527&amp;"|"&amp;B527&amp;"|"&amp;D527&amp;"|"&amp;E527&amp;F527</f>
        <v>auto|Lawton|scenario B (age 21)|female</v>
      </c>
      <c r="J527" s="34" t="n">
        <f aca="false" t="array" ref="J527:J527">MEDIAN(IF($I$4:$I$1803=I527,$H$4:$H$1803))</f>
        <v>2769</v>
      </c>
      <c r="K527" s="59" t="n">
        <f aca="false">H527/J527</f>
        <v>0.768508486818346</v>
      </c>
    </row>
    <row r="528" customFormat="false" ht="15" hidden="false" customHeight="false" outlineLevel="0" collapsed="false">
      <c r="A528" s="39" t="s">
        <v>879</v>
      </c>
      <c r="B528" s="39" t="s">
        <v>909</v>
      </c>
      <c r="C528" s="39" t="s">
        <v>900</v>
      </c>
      <c r="D528" s="39" t="s">
        <v>886</v>
      </c>
      <c r="E528" s="39" t="s">
        <v>883</v>
      </c>
      <c r="F528" s="39"/>
      <c r="G528" s="58" t="n">
        <v>632</v>
      </c>
      <c r="H528" s="34" t="n">
        <f aca="false">G528*2</f>
        <v>1264</v>
      </c>
      <c r="I528" s="39" t="str">
        <f aca="false">A528&amp;"|"&amp;B528&amp;"|"&amp;D528&amp;"|"&amp;E528&amp;F528</f>
        <v>auto|Lawton|scenario C (age 36)|male</v>
      </c>
      <c r="J528" s="34" t="n">
        <f aca="false" t="array" ref="J528:J528">MEDIAN(IF($I$4:$I$1803=I528,$H$4:$H$1803))</f>
        <v>1878</v>
      </c>
      <c r="K528" s="59" t="n">
        <f aca="false">H528/J528</f>
        <v>0.673056443024494</v>
      </c>
    </row>
    <row r="529" customFormat="false" ht="15" hidden="false" customHeight="false" outlineLevel="0" collapsed="false">
      <c r="A529" s="39" t="s">
        <v>879</v>
      </c>
      <c r="B529" s="39" t="s">
        <v>909</v>
      </c>
      <c r="C529" s="39" t="s">
        <v>900</v>
      </c>
      <c r="D529" s="39" t="s">
        <v>886</v>
      </c>
      <c r="E529" s="39" t="s">
        <v>884</v>
      </c>
      <c r="F529" s="39"/>
      <c r="G529" s="58" t="n">
        <v>628</v>
      </c>
      <c r="H529" s="34" t="n">
        <f aca="false">G529*2</f>
        <v>1256</v>
      </c>
      <c r="I529" s="39" t="str">
        <f aca="false">A529&amp;"|"&amp;B529&amp;"|"&amp;D529&amp;"|"&amp;E529&amp;F529</f>
        <v>auto|Lawton|scenario C (age 36)|female</v>
      </c>
      <c r="J529" s="34" t="n">
        <f aca="false" t="array" ref="J529:J529">MEDIAN(IF($I$4:$I$1803=I529,$H$4:$H$1803))</f>
        <v>1834</v>
      </c>
      <c r="K529" s="59" t="n">
        <f aca="false">H529/J529</f>
        <v>0.68484187568157</v>
      </c>
    </row>
    <row r="530" customFormat="false" ht="15" hidden="false" customHeight="false" outlineLevel="0" collapsed="false">
      <c r="A530" s="39" t="s">
        <v>879</v>
      </c>
      <c r="B530" s="39" t="s">
        <v>909</v>
      </c>
      <c r="C530" s="39" t="s">
        <v>900</v>
      </c>
      <c r="D530" s="39" t="s">
        <v>887</v>
      </c>
      <c r="E530" s="39" t="s">
        <v>883</v>
      </c>
      <c r="F530" s="39"/>
      <c r="G530" s="58" t="n">
        <v>519</v>
      </c>
      <c r="H530" s="34" t="n">
        <f aca="false">G530*2</f>
        <v>1038</v>
      </c>
      <c r="I530" s="39" t="str">
        <f aca="false">A530&amp;"|"&amp;B530&amp;"|"&amp;D530&amp;"|"&amp;E530&amp;F530</f>
        <v>auto|Lawton|scenario D (age 55)|male</v>
      </c>
      <c r="J530" s="34" t="n">
        <f aca="false" t="array" ref="J530:J530">MEDIAN(IF($I$4:$I$1803=I530,$H$4:$H$1803))</f>
        <v>1582</v>
      </c>
      <c r="K530" s="59" t="n">
        <f aca="false">H530/J530</f>
        <v>0.656131479140329</v>
      </c>
    </row>
    <row r="531" customFormat="false" ht="15" hidden="false" customHeight="false" outlineLevel="0" collapsed="false">
      <c r="A531" s="39" t="s">
        <v>879</v>
      </c>
      <c r="B531" s="39" t="s">
        <v>909</v>
      </c>
      <c r="C531" s="39" t="s">
        <v>900</v>
      </c>
      <c r="D531" s="39" t="s">
        <v>887</v>
      </c>
      <c r="E531" s="39" t="s">
        <v>884</v>
      </c>
      <c r="F531" s="39"/>
      <c r="G531" s="58" t="n">
        <v>492</v>
      </c>
      <c r="H531" s="34" t="n">
        <f aca="false">G531*2</f>
        <v>984</v>
      </c>
      <c r="I531" s="39" t="str">
        <f aca="false">A531&amp;"|"&amp;B531&amp;"|"&amp;D531&amp;"|"&amp;E531&amp;F531</f>
        <v>auto|Lawton|scenario D (age 55)|female</v>
      </c>
      <c r="J531" s="34" t="n">
        <f aca="false" t="array" ref="J531:J531">MEDIAN(IF($I$4:$I$1803=I531,$H$4:$H$1803))</f>
        <v>1515</v>
      </c>
      <c r="K531" s="59" t="n">
        <f aca="false">H531/J531</f>
        <v>0.64950495049505</v>
      </c>
    </row>
    <row r="532" customFormat="false" ht="15" hidden="false" customHeight="false" outlineLevel="0" collapsed="false">
      <c r="A532" s="39" t="s">
        <v>879</v>
      </c>
      <c r="B532" s="39" t="s">
        <v>909</v>
      </c>
      <c r="C532" s="39" t="s">
        <v>900</v>
      </c>
      <c r="D532" s="39" t="s">
        <v>888</v>
      </c>
      <c r="E532" s="39" t="s">
        <v>883</v>
      </c>
      <c r="F532" s="39"/>
      <c r="G532" s="58" t="n">
        <v>511</v>
      </c>
      <c r="H532" s="34" t="n">
        <f aca="false">G532*2</f>
        <v>1022</v>
      </c>
      <c r="I532" s="39" t="str">
        <f aca="false">A532&amp;"|"&amp;B532&amp;"|"&amp;D532&amp;"|"&amp;E532&amp;F532</f>
        <v>auto|Lawton|scenario E (age 70)|male</v>
      </c>
      <c r="J532" s="34" t="n">
        <f aca="false" t="array" ref="J532:J532">MEDIAN(IF($I$4:$I$1803=I532,$H$4:$H$1803))</f>
        <v>1386</v>
      </c>
      <c r="K532" s="59" t="n">
        <f aca="false">H532/J532</f>
        <v>0.737373737373737</v>
      </c>
    </row>
    <row r="533" customFormat="false" ht="15" hidden="false" customHeight="false" outlineLevel="0" collapsed="false">
      <c r="A533" s="39" t="s">
        <v>879</v>
      </c>
      <c r="B533" s="39" t="s">
        <v>909</v>
      </c>
      <c r="C533" s="39" t="s">
        <v>900</v>
      </c>
      <c r="D533" s="39" t="s">
        <v>888</v>
      </c>
      <c r="E533" s="39" t="s">
        <v>884</v>
      </c>
      <c r="F533" s="39"/>
      <c r="G533" s="58" t="n">
        <v>489</v>
      </c>
      <c r="H533" s="34" t="n">
        <f aca="false">G533*2</f>
        <v>978</v>
      </c>
      <c r="I533" s="39" t="str">
        <f aca="false">A533&amp;"|"&amp;B533&amp;"|"&amp;D533&amp;"|"&amp;E533&amp;F533</f>
        <v>auto|Lawton|scenario E (age 70)|female</v>
      </c>
      <c r="J533" s="34" t="n">
        <f aca="false" t="array" ref="J533:J533">MEDIAN(IF($I$4:$I$1803=I533,$H$4:$H$1803))</f>
        <v>1396</v>
      </c>
      <c r="K533" s="59" t="n">
        <f aca="false">H533/J533</f>
        <v>0.700573065902579</v>
      </c>
    </row>
    <row r="534" customFormat="false" ht="15" hidden="false" customHeight="false" outlineLevel="0" collapsed="false">
      <c r="A534" s="39" t="s">
        <v>879</v>
      </c>
      <c r="B534" s="39" t="s">
        <v>909</v>
      </c>
      <c r="C534" s="39" t="s">
        <v>901</v>
      </c>
      <c r="D534" s="39" t="s">
        <v>882</v>
      </c>
      <c r="E534" s="39" t="s">
        <v>883</v>
      </c>
      <c r="F534" s="39"/>
      <c r="G534" s="58" t="n">
        <v>3503</v>
      </c>
      <c r="H534" s="34" t="n">
        <f aca="false">G534*2</f>
        <v>7006</v>
      </c>
      <c r="I534" s="39" t="str">
        <f aca="false">A534&amp;"|"&amp;B534&amp;"|"&amp;D534&amp;"|"&amp;E534&amp;F534</f>
        <v>auto|Lawton|scenario A (age 16)|male</v>
      </c>
      <c r="J534" s="34" t="n">
        <f aca="false" t="array" ref="J534:J534">MEDIAN(IF($I$4:$I$1803=I534,$H$4:$H$1803))</f>
        <v>7077</v>
      </c>
      <c r="K534" s="59" t="n">
        <f aca="false">H534/J534</f>
        <v>0.989967500353257</v>
      </c>
    </row>
    <row r="535" customFormat="false" ht="15" hidden="false" customHeight="false" outlineLevel="0" collapsed="false">
      <c r="A535" s="39" t="s">
        <v>879</v>
      </c>
      <c r="B535" s="39" t="s">
        <v>909</v>
      </c>
      <c r="C535" s="39" t="s">
        <v>901</v>
      </c>
      <c r="D535" s="39" t="s">
        <v>882</v>
      </c>
      <c r="E535" s="39" t="s">
        <v>884</v>
      </c>
      <c r="F535" s="39"/>
      <c r="G535" s="58" t="n">
        <v>2778</v>
      </c>
      <c r="H535" s="34" t="n">
        <f aca="false">G535*2</f>
        <v>5556</v>
      </c>
      <c r="I535" s="39" t="str">
        <f aca="false">A535&amp;"|"&amp;B535&amp;"|"&amp;D535&amp;"|"&amp;E535&amp;F535</f>
        <v>auto|Lawton|scenario A (age 16)|female</v>
      </c>
      <c r="J535" s="34" t="n">
        <f aca="false" t="array" ref="J535:J535">MEDIAN(IF($I$4:$I$1803=I535,$H$4:$H$1803))</f>
        <v>5882</v>
      </c>
      <c r="K535" s="59" t="n">
        <f aca="false">H535/J535</f>
        <v>0.944576674600476</v>
      </c>
    </row>
    <row r="536" customFormat="false" ht="15" hidden="false" customHeight="false" outlineLevel="0" collapsed="false">
      <c r="A536" s="39" t="s">
        <v>879</v>
      </c>
      <c r="B536" s="39" t="s">
        <v>909</v>
      </c>
      <c r="C536" s="39" t="s">
        <v>901</v>
      </c>
      <c r="D536" s="39" t="s">
        <v>885</v>
      </c>
      <c r="E536" s="39" t="s">
        <v>883</v>
      </c>
      <c r="F536" s="39"/>
      <c r="G536" s="58" t="n">
        <v>1622</v>
      </c>
      <c r="H536" s="34" t="n">
        <f aca="false">G536*2</f>
        <v>3244</v>
      </c>
      <c r="I536" s="39" t="str">
        <f aca="false">A536&amp;"|"&amp;B536&amp;"|"&amp;D536&amp;"|"&amp;E536&amp;F536</f>
        <v>auto|Lawton|scenario B (age 21)|male</v>
      </c>
      <c r="J536" s="34" t="n">
        <f aca="false" t="array" ref="J536:J536">MEDIAN(IF($I$4:$I$1803=I536,$H$4:$H$1803))</f>
        <v>3033</v>
      </c>
      <c r="K536" s="59" t="n">
        <f aca="false">H536/J536</f>
        <v>1.06956808440488</v>
      </c>
    </row>
    <row r="537" customFormat="false" ht="15" hidden="false" customHeight="false" outlineLevel="0" collapsed="false">
      <c r="A537" s="39" t="s">
        <v>879</v>
      </c>
      <c r="B537" s="39" t="s">
        <v>909</v>
      </c>
      <c r="C537" s="39" t="s">
        <v>901</v>
      </c>
      <c r="D537" s="39" t="s">
        <v>885</v>
      </c>
      <c r="E537" s="39" t="s">
        <v>884</v>
      </c>
      <c r="F537" s="39"/>
      <c r="G537" s="58" t="n">
        <v>1383</v>
      </c>
      <c r="H537" s="34" t="n">
        <f aca="false">G537*2</f>
        <v>2766</v>
      </c>
      <c r="I537" s="39" t="str">
        <f aca="false">A537&amp;"|"&amp;B537&amp;"|"&amp;D537&amp;"|"&amp;E537&amp;F537</f>
        <v>auto|Lawton|scenario B (age 21)|female</v>
      </c>
      <c r="J537" s="34" t="n">
        <f aca="false" t="array" ref="J537:J537">MEDIAN(IF($I$4:$I$1803=I537,$H$4:$H$1803))</f>
        <v>2769</v>
      </c>
      <c r="K537" s="59" t="n">
        <f aca="false">H537/J537</f>
        <v>0.998916576381365</v>
      </c>
    </row>
    <row r="538" customFormat="false" ht="15" hidden="false" customHeight="false" outlineLevel="0" collapsed="false">
      <c r="A538" s="39" t="s">
        <v>879</v>
      </c>
      <c r="B538" s="39" t="s">
        <v>909</v>
      </c>
      <c r="C538" s="39" t="s">
        <v>901</v>
      </c>
      <c r="D538" s="39" t="s">
        <v>886</v>
      </c>
      <c r="E538" s="39" t="s">
        <v>883</v>
      </c>
      <c r="F538" s="39"/>
      <c r="G538" s="58" t="n">
        <v>1065</v>
      </c>
      <c r="H538" s="34" t="n">
        <f aca="false">G538*2</f>
        <v>2130</v>
      </c>
      <c r="I538" s="39" t="str">
        <f aca="false">A538&amp;"|"&amp;B538&amp;"|"&amp;D538&amp;"|"&amp;E538&amp;F538</f>
        <v>auto|Lawton|scenario C (age 36)|male</v>
      </c>
      <c r="J538" s="34" t="n">
        <f aca="false" t="array" ref="J538:J538">MEDIAN(IF($I$4:$I$1803=I538,$H$4:$H$1803))</f>
        <v>1878</v>
      </c>
      <c r="K538" s="59" t="n">
        <f aca="false">H538/J538</f>
        <v>1.13418530351438</v>
      </c>
    </row>
    <row r="539" customFormat="false" ht="15" hidden="false" customHeight="false" outlineLevel="0" collapsed="false">
      <c r="A539" s="39" t="s">
        <v>879</v>
      </c>
      <c r="B539" s="39" t="s">
        <v>909</v>
      </c>
      <c r="C539" s="39" t="s">
        <v>901</v>
      </c>
      <c r="D539" s="39" t="s">
        <v>886</v>
      </c>
      <c r="E539" s="39" t="s">
        <v>884</v>
      </c>
      <c r="F539" s="39"/>
      <c r="G539" s="58" t="n">
        <v>1011</v>
      </c>
      <c r="H539" s="34" t="n">
        <f aca="false">G539*2</f>
        <v>2022</v>
      </c>
      <c r="I539" s="39" t="str">
        <f aca="false">A539&amp;"|"&amp;B539&amp;"|"&amp;D539&amp;"|"&amp;E539&amp;F539</f>
        <v>auto|Lawton|scenario C (age 36)|female</v>
      </c>
      <c r="J539" s="34" t="n">
        <f aca="false" t="array" ref="J539:J539">MEDIAN(IF($I$4:$I$1803=I539,$H$4:$H$1803))</f>
        <v>1834</v>
      </c>
      <c r="K539" s="59" t="n">
        <f aca="false">H539/J539</f>
        <v>1.10250817884406</v>
      </c>
    </row>
    <row r="540" customFormat="false" ht="15" hidden="false" customHeight="false" outlineLevel="0" collapsed="false">
      <c r="A540" s="39" t="s">
        <v>879</v>
      </c>
      <c r="B540" s="39" t="s">
        <v>909</v>
      </c>
      <c r="C540" s="39" t="s">
        <v>901</v>
      </c>
      <c r="D540" s="39" t="s">
        <v>887</v>
      </c>
      <c r="E540" s="39" t="s">
        <v>883</v>
      </c>
      <c r="F540" s="39"/>
      <c r="G540" s="58" t="n">
        <v>847</v>
      </c>
      <c r="H540" s="34" t="n">
        <f aca="false">G540*2</f>
        <v>1694</v>
      </c>
      <c r="I540" s="39" t="str">
        <f aca="false">A540&amp;"|"&amp;B540&amp;"|"&amp;D540&amp;"|"&amp;E540&amp;F540</f>
        <v>auto|Lawton|scenario D (age 55)|male</v>
      </c>
      <c r="J540" s="34" t="n">
        <f aca="false" t="array" ref="J540:J540">MEDIAN(IF($I$4:$I$1803=I540,$H$4:$H$1803))</f>
        <v>1582</v>
      </c>
      <c r="K540" s="59" t="n">
        <f aca="false">H540/J540</f>
        <v>1.07079646017699</v>
      </c>
    </row>
    <row r="541" customFormat="false" ht="15" hidden="false" customHeight="false" outlineLevel="0" collapsed="false">
      <c r="A541" s="39" t="s">
        <v>879</v>
      </c>
      <c r="B541" s="39" t="s">
        <v>909</v>
      </c>
      <c r="C541" s="39" t="s">
        <v>901</v>
      </c>
      <c r="D541" s="39" t="s">
        <v>887</v>
      </c>
      <c r="E541" s="39" t="s">
        <v>884</v>
      </c>
      <c r="F541" s="39"/>
      <c r="G541" s="58" t="n">
        <v>800</v>
      </c>
      <c r="H541" s="34" t="n">
        <f aca="false">G541*2</f>
        <v>1600</v>
      </c>
      <c r="I541" s="39" t="str">
        <f aca="false">A541&amp;"|"&amp;B541&amp;"|"&amp;D541&amp;"|"&amp;E541&amp;F541</f>
        <v>auto|Lawton|scenario D (age 55)|female</v>
      </c>
      <c r="J541" s="34" t="n">
        <f aca="false" t="array" ref="J541:J541">MEDIAN(IF($I$4:$I$1803=I541,$H$4:$H$1803))</f>
        <v>1515</v>
      </c>
      <c r="K541" s="59" t="n">
        <f aca="false">H541/J541</f>
        <v>1.05610561056106</v>
      </c>
    </row>
    <row r="542" customFormat="false" ht="15" hidden="false" customHeight="false" outlineLevel="0" collapsed="false">
      <c r="A542" s="39" t="s">
        <v>879</v>
      </c>
      <c r="B542" s="39" t="s">
        <v>909</v>
      </c>
      <c r="C542" s="39" t="s">
        <v>901</v>
      </c>
      <c r="D542" s="39" t="s">
        <v>888</v>
      </c>
      <c r="E542" s="39" t="s">
        <v>883</v>
      </c>
      <c r="F542" s="39"/>
      <c r="G542" s="58" t="n">
        <v>916</v>
      </c>
      <c r="H542" s="34" t="n">
        <f aca="false">G542*2</f>
        <v>1832</v>
      </c>
      <c r="I542" s="39" t="str">
        <f aca="false">A542&amp;"|"&amp;B542&amp;"|"&amp;D542&amp;"|"&amp;E542&amp;F542</f>
        <v>auto|Lawton|scenario E (age 70)|male</v>
      </c>
      <c r="J542" s="34" t="n">
        <f aca="false" t="array" ref="J542:J542">MEDIAN(IF($I$4:$I$1803=I542,$H$4:$H$1803))</f>
        <v>1386</v>
      </c>
      <c r="K542" s="59" t="n">
        <f aca="false">H542/J542</f>
        <v>1.32178932178932</v>
      </c>
    </row>
    <row r="543" customFormat="false" ht="15" hidden="false" customHeight="false" outlineLevel="0" collapsed="false">
      <c r="A543" s="39" t="s">
        <v>879</v>
      </c>
      <c r="B543" s="39" t="s">
        <v>909</v>
      </c>
      <c r="C543" s="39" t="s">
        <v>901</v>
      </c>
      <c r="D543" s="39" t="s">
        <v>888</v>
      </c>
      <c r="E543" s="39" t="s">
        <v>884</v>
      </c>
      <c r="F543" s="39"/>
      <c r="G543" s="58" t="n">
        <v>832</v>
      </c>
      <c r="H543" s="34" t="n">
        <f aca="false">G543*2</f>
        <v>1664</v>
      </c>
      <c r="I543" s="39" t="str">
        <f aca="false">A543&amp;"|"&amp;B543&amp;"|"&amp;D543&amp;"|"&amp;E543&amp;F543</f>
        <v>auto|Lawton|scenario E (age 70)|female</v>
      </c>
      <c r="J543" s="34" t="n">
        <f aca="false" t="array" ref="J543:J543">MEDIAN(IF($I$4:$I$1803=I543,$H$4:$H$1803))</f>
        <v>1396</v>
      </c>
      <c r="K543" s="59" t="n">
        <f aca="false">H543/J543</f>
        <v>1.1919770773639</v>
      </c>
    </row>
    <row r="544" customFormat="false" ht="15" hidden="false" customHeight="false" outlineLevel="0" collapsed="false">
      <c r="A544" s="39" t="s">
        <v>879</v>
      </c>
      <c r="B544" s="39" t="s">
        <v>909</v>
      </c>
      <c r="C544" s="39" t="s">
        <v>902</v>
      </c>
      <c r="D544" s="39" t="s">
        <v>882</v>
      </c>
      <c r="E544" s="39" t="s">
        <v>883</v>
      </c>
      <c r="F544" s="39"/>
      <c r="G544" s="58" t="n">
        <v>950</v>
      </c>
      <c r="H544" s="34" t="n">
        <f aca="false">G544*2</f>
        <v>1900</v>
      </c>
      <c r="I544" s="39" t="str">
        <f aca="false">A544&amp;"|"&amp;B544&amp;"|"&amp;D544&amp;"|"&amp;E544&amp;F544</f>
        <v>auto|Lawton|scenario A (age 16)|male</v>
      </c>
      <c r="J544" s="34" t="n">
        <f aca="false" t="array" ref="J544:J544">MEDIAN(IF($I$4:$I$1803=I544,$H$4:$H$1803))</f>
        <v>7077</v>
      </c>
      <c r="K544" s="59" t="n">
        <f aca="false">H544/J544</f>
        <v>0.268475342659319</v>
      </c>
    </row>
    <row r="545" customFormat="false" ht="15" hidden="false" customHeight="false" outlineLevel="0" collapsed="false">
      <c r="A545" s="39" t="s">
        <v>879</v>
      </c>
      <c r="B545" s="39" t="s">
        <v>909</v>
      </c>
      <c r="C545" s="39" t="s">
        <v>902</v>
      </c>
      <c r="D545" s="39" t="s">
        <v>882</v>
      </c>
      <c r="E545" s="39" t="s">
        <v>884</v>
      </c>
      <c r="F545" s="39"/>
      <c r="G545" s="58" t="n">
        <v>953</v>
      </c>
      <c r="H545" s="34" t="n">
        <f aca="false">G545*2</f>
        <v>1906</v>
      </c>
      <c r="I545" s="39" t="str">
        <f aca="false">A545&amp;"|"&amp;B545&amp;"|"&amp;D545&amp;"|"&amp;E545&amp;F545</f>
        <v>auto|Lawton|scenario A (age 16)|female</v>
      </c>
      <c r="J545" s="34" t="n">
        <f aca="false" t="array" ref="J545:J545">MEDIAN(IF($I$4:$I$1803=I545,$H$4:$H$1803))</f>
        <v>5882</v>
      </c>
      <c r="K545" s="59" t="n">
        <f aca="false">H545/J545</f>
        <v>0.324039442366542</v>
      </c>
    </row>
    <row r="546" customFormat="false" ht="15" hidden="false" customHeight="false" outlineLevel="0" collapsed="false">
      <c r="A546" s="39" t="s">
        <v>879</v>
      </c>
      <c r="B546" s="39" t="s">
        <v>909</v>
      </c>
      <c r="C546" s="39" t="s">
        <v>902</v>
      </c>
      <c r="D546" s="39" t="s">
        <v>885</v>
      </c>
      <c r="E546" s="39" t="s">
        <v>883</v>
      </c>
      <c r="F546" s="39"/>
      <c r="G546" s="58" t="n">
        <v>1769</v>
      </c>
      <c r="H546" s="34" t="n">
        <f aca="false">G546*2</f>
        <v>3538</v>
      </c>
      <c r="I546" s="39" t="str">
        <f aca="false">A546&amp;"|"&amp;B546&amp;"|"&amp;D546&amp;"|"&amp;E546&amp;F546</f>
        <v>auto|Lawton|scenario B (age 21)|male</v>
      </c>
      <c r="J546" s="34" t="n">
        <f aca="false" t="array" ref="J546:J546">MEDIAN(IF($I$4:$I$1803=I546,$H$4:$H$1803))</f>
        <v>3033</v>
      </c>
      <c r="K546" s="59" t="n">
        <f aca="false">H546/J546</f>
        <v>1.16650181338609</v>
      </c>
    </row>
    <row r="547" customFormat="false" ht="15" hidden="false" customHeight="false" outlineLevel="0" collapsed="false">
      <c r="A547" s="39" t="s">
        <v>879</v>
      </c>
      <c r="B547" s="39" t="s">
        <v>909</v>
      </c>
      <c r="C547" s="39" t="s">
        <v>902</v>
      </c>
      <c r="D547" s="39" t="s">
        <v>885</v>
      </c>
      <c r="E547" s="39" t="s">
        <v>884</v>
      </c>
      <c r="F547" s="39"/>
      <c r="G547" s="58" t="n">
        <v>1788</v>
      </c>
      <c r="H547" s="34" t="n">
        <f aca="false">G547*2</f>
        <v>3576</v>
      </c>
      <c r="I547" s="39" t="str">
        <f aca="false">A547&amp;"|"&amp;B547&amp;"|"&amp;D547&amp;"|"&amp;E547&amp;F547</f>
        <v>auto|Lawton|scenario B (age 21)|female</v>
      </c>
      <c r="J547" s="34" t="n">
        <f aca="false" t="array" ref="J547:J547">MEDIAN(IF($I$4:$I$1803=I547,$H$4:$H$1803))</f>
        <v>2769</v>
      </c>
      <c r="K547" s="59" t="n">
        <f aca="false">H547/J547</f>
        <v>1.29144095341278</v>
      </c>
    </row>
    <row r="548" customFormat="false" ht="15" hidden="false" customHeight="false" outlineLevel="0" collapsed="false">
      <c r="A548" s="39" t="s">
        <v>879</v>
      </c>
      <c r="B548" s="39" t="s">
        <v>909</v>
      </c>
      <c r="C548" s="39" t="s">
        <v>902</v>
      </c>
      <c r="D548" s="39" t="s">
        <v>886</v>
      </c>
      <c r="E548" s="39" t="s">
        <v>883</v>
      </c>
      <c r="F548" s="39"/>
      <c r="G548" s="58" t="n">
        <v>1498</v>
      </c>
      <c r="H548" s="34" t="n">
        <f aca="false">G548*2</f>
        <v>2996</v>
      </c>
      <c r="I548" s="39" t="str">
        <f aca="false">A548&amp;"|"&amp;B548&amp;"|"&amp;D548&amp;"|"&amp;E548&amp;F548</f>
        <v>auto|Lawton|scenario C (age 36)|male</v>
      </c>
      <c r="J548" s="34" t="n">
        <f aca="false" t="array" ref="J548:J548">MEDIAN(IF($I$4:$I$1803=I548,$H$4:$H$1803))</f>
        <v>1878</v>
      </c>
      <c r="K548" s="59" t="n">
        <f aca="false">H548/J548</f>
        <v>1.59531416400426</v>
      </c>
    </row>
    <row r="549" customFormat="false" ht="15" hidden="false" customHeight="false" outlineLevel="0" collapsed="false">
      <c r="A549" s="39" t="s">
        <v>879</v>
      </c>
      <c r="B549" s="39" t="s">
        <v>909</v>
      </c>
      <c r="C549" s="39" t="s">
        <v>902</v>
      </c>
      <c r="D549" s="39" t="s">
        <v>886</v>
      </c>
      <c r="E549" s="39" t="s">
        <v>884</v>
      </c>
      <c r="F549" s="39"/>
      <c r="G549" s="58" t="n">
        <v>1512</v>
      </c>
      <c r="H549" s="34" t="n">
        <f aca="false">G549*2</f>
        <v>3024</v>
      </c>
      <c r="I549" s="39" t="str">
        <f aca="false">A549&amp;"|"&amp;B549&amp;"|"&amp;D549&amp;"|"&amp;E549&amp;F549</f>
        <v>auto|Lawton|scenario C (age 36)|female</v>
      </c>
      <c r="J549" s="34" t="n">
        <f aca="false" t="array" ref="J549:J549">MEDIAN(IF($I$4:$I$1803=I549,$H$4:$H$1803))</f>
        <v>1834</v>
      </c>
      <c r="K549" s="59" t="n">
        <f aca="false">H549/J549</f>
        <v>1.64885496183206</v>
      </c>
    </row>
    <row r="550" customFormat="false" ht="15" hidden="false" customHeight="false" outlineLevel="0" collapsed="false">
      <c r="A550" s="39" t="s">
        <v>879</v>
      </c>
      <c r="B550" s="39" t="s">
        <v>909</v>
      </c>
      <c r="C550" s="39" t="s">
        <v>902</v>
      </c>
      <c r="D550" s="39" t="s">
        <v>887</v>
      </c>
      <c r="E550" s="39" t="s">
        <v>883</v>
      </c>
      <c r="F550" s="39"/>
      <c r="G550" s="58" t="n">
        <v>1415</v>
      </c>
      <c r="H550" s="34" t="n">
        <f aca="false">G550*2</f>
        <v>2830</v>
      </c>
      <c r="I550" s="39" t="str">
        <f aca="false">A550&amp;"|"&amp;B550&amp;"|"&amp;D550&amp;"|"&amp;E550&amp;F550</f>
        <v>auto|Lawton|scenario D (age 55)|male</v>
      </c>
      <c r="J550" s="34" t="n">
        <f aca="false" t="array" ref="J550:J550">MEDIAN(IF($I$4:$I$1803=I550,$H$4:$H$1803))</f>
        <v>1582</v>
      </c>
      <c r="K550" s="59" t="n">
        <f aca="false">H550/J550</f>
        <v>1.78887484197219</v>
      </c>
    </row>
    <row r="551" customFormat="false" ht="15" hidden="false" customHeight="false" outlineLevel="0" collapsed="false">
      <c r="A551" s="39" t="s">
        <v>879</v>
      </c>
      <c r="B551" s="39" t="s">
        <v>909</v>
      </c>
      <c r="C551" s="39" t="s">
        <v>902</v>
      </c>
      <c r="D551" s="39" t="s">
        <v>887</v>
      </c>
      <c r="E551" s="39" t="s">
        <v>884</v>
      </c>
      <c r="F551" s="39"/>
      <c r="G551" s="58" t="n">
        <v>1416</v>
      </c>
      <c r="H551" s="34" t="n">
        <f aca="false">G551*2</f>
        <v>2832</v>
      </c>
      <c r="I551" s="39" t="str">
        <f aca="false">A551&amp;"|"&amp;B551&amp;"|"&amp;D551&amp;"|"&amp;E551&amp;F551</f>
        <v>auto|Lawton|scenario D (age 55)|female</v>
      </c>
      <c r="J551" s="34" t="n">
        <f aca="false" t="array" ref="J551:J551">MEDIAN(IF($I$4:$I$1803=I551,$H$4:$H$1803))</f>
        <v>1515</v>
      </c>
      <c r="K551" s="59" t="n">
        <f aca="false">H551/J551</f>
        <v>1.86930693069307</v>
      </c>
    </row>
    <row r="552" customFormat="false" ht="15" hidden="false" customHeight="false" outlineLevel="0" collapsed="false">
      <c r="A552" s="39" t="s">
        <v>879</v>
      </c>
      <c r="B552" s="39" t="s">
        <v>909</v>
      </c>
      <c r="C552" s="39" t="s">
        <v>902</v>
      </c>
      <c r="D552" s="39" t="s">
        <v>888</v>
      </c>
      <c r="E552" s="39" t="s">
        <v>883</v>
      </c>
      <c r="F552" s="39"/>
      <c r="G552" s="58" t="n">
        <v>652</v>
      </c>
      <c r="H552" s="34" t="n">
        <f aca="false">G552*2</f>
        <v>1304</v>
      </c>
      <c r="I552" s="39" t="str">
        <f aca="false">A552&amp;"|"&amp;B552&amp;"|"&amp;D552&amp;"|"&amp;E552&amp;F552</f>
        <v>auto|Lawton|scenario E (age 70)|male</v>
      </c>
      <c r="J552" s="34" t="n">
        <f aca="false" t="array" ref="J552:J552">MEDIAN(IF($I$4:$I$1803=I552,$H$4:$H$1803))</f>
        <v>1386</v>
      </c>
      <c r="K552" s="59" t="n">
        <f aca="false">H552/J552</f>
        <v>0.940836940836941</v>
      </c>
    </row>
    <row r="553" customFormat="false" ht="15" hidden="false" customHeight="false" outlineLevel="0" collapsed="false">
      <c r="A553" s="39" t="s">
        <v>879</v>
      </c>
      <c r="B553" s="39" t="s">
        <v>909</v>
      </c>
      <c r="C553" s="39" t="s">
        <v>902</v>
      </c>
      <c r="D553" s="39" t="s">
        <v>888</v>
      </c>
      <c r="E553" s="39" t="s">
        <v>884</v>
      </c>
      <c r="F553" s="39"/>
      <c r="G553" s="58" t="n">
        <v>685</v>
      </c>
      <c r="H553" s="34" t="n">
        <f aca="false">G553*2</f>
        <v>1370</v>
      </c>
      <c r="I553" s="39" t="str">
        <f aca="false">A553&amp;"|"&amp;B553&amp;"|"&amp;D553&amp;"|"&amp;E553&amp;F553</f>
        <v>auto|Lawton|scenario E (age 70)|female</v>
      </c>
      <c r="J553" s="34" t="n">
        <f aca="false" t="array" ref="J553:J553">MEDIAN(IF($I$4:$I$1803=I553,$H$4:$H$1803))</f>
        <v>1396</v>
      </c>
      <c r="K553" s="59" t="n">
        <f aca="false">H553/J553</f>
        <v>0.981375358166189</v>
      </c>
    </row>
    <row r="554" customFormat="false" ht="15" hidden="false" customHeight="false" outlineLevel="0" collapsed="false">
      <c r="A554" s="39" t="s">
        <v>879</v>
      </c>
      <c r="B554" s="39" t="s">
        <v>909</v>
      </c>
      <c r="C554" s="39" t="s">
        <v>903</v>
      </c>
      <c r="D554" s="39" t="s">
        <v>882</v>
      </c>
      <c r="E554" s="39" t="s">
        <v>883</v>
      </c>
      <c r="F554" s="39"/>
      <c r="G554" s="58" t="n">
        <v>698</v>
      </c>
      <c r="H554" s="34" t="n">
        <f aca="false">G554*2</f>
        <v>1396</v>
      </c>
      <c r="I554" s="39" t="str">
        <f aca="false">A554&amp;"|"&amp;B554&amp;"|"&amp;D554&amp;"|"&amp;E554&amp;F554</f>
        <v>auto|Lawton|scenario A (age 16)|male</v>
      </c>
      <c r="J554" s="34" t="n">
        <f aca="false" t="array" ref="J554:J554">MEDIAN(IF($I$4:$I$1803=I554,$H$4:$H$1803))</f>
        <v>7077</v>
      </c>
      <c r="K554" s="59" t="n">
        <f aca="false">H554/J554</f>
        <v>0.197258725448636</v>
      </c>
    </row>
    <row r="555" customFormat="false" ht="15" hidden="false" customHeight="false" outlineLevel="0" collapsed="false">
      <c r="A555" s="39" t="s">
        <v>879</v>
      </c>
      <c r="B555" s="39" t="s">
        <v>909</v>
      </c>
      <c r="C555" s="39" t="s">
        <v>903</v>
      </c>
      <c r="D555" s="39" t="s">
        <v>882</v>
      </c>
      <c r="E555" s="39" t="s">
        <v>884</v>
      </c>
      <c r="F555" s="39"/>
      <c r="G555" s="58" t="n">
        <v>700</v>
      </c>
      <c r="H555" s="34" t="n">
        <f aca="false">G555*2</f>
        <v>1400</v>
      </c>
      <c r="I555" s="39" t="str">
        <f aca="false">A555&amp;"|"&amp;B555&amp;"|"&amp;D555&amp;"|"&amp;E555&amp;F555</f>
        <v>auto|Lawton|scenario A (age 16)|female</v>
      </c>
      <c r="J555" s="34" t="n">
        <f aca="false" t="array" ref="J555:J555">MEDIAN(IF($I$4:$I$1803=I555,$H$4:$H$1803))</f>
        <v>5882</v>
      </c>
      <c r="K555" s="59" t="n">
        <f aca="false">H555/J555</f>
        <v>0.238014280856851</v>
      </c>
    </row>
    <row r="556" customFormat="false" ht="15" hidden="false" customHeight="false" outlineLevel="0" collapsed="false">
      <c r="A556" s="39" t="s">
        <v>879</v>
      </c>
      <c r="B556" s="39" t="s">
        <v>909</v>
      </c>
      <c r="C556" s="39" t="s">
        <v>903</v>
      </c>
      <c r="D556" s="39" t="s">
        <v>885</v>
      </c>
      <c r="E556" s="39" t="s">
        <v>883</v>
      </c>
      <c r="F556" s="39"/>
      <c r="G556" s="58" t="n">
        <v>1299</v>
      </c>
      <c r="H556" s="34" t="n">
        <f aca="false">G556*2</f>
        <v>2598</v>
      </c>
      <c r="I556" s="39" t="str">
        <f aca="false">A556&amp;"|"&amp;B556&amp;"|"&amp;D556&amp;"|"&amp;E556&amp;F556</f>
        <v>auto|Lawton|scenario B (age 21)|male</v>
      </c>
      <c r="J556" s="34" t="n">
        <f aca="false" t="array" ref="J556:J556">MEDIAN(IF($I$4:$I$1803=I556,$H$4:$H$1803))</f>
        <v>3033</v>
      </c>
      <c r="K556" s="59" t="n">
        <f aca="false">H556/J556</f>
        <v>0.856577645895153</v>
      </c>
    </row>
    <row r="557" customFormat="false" ht="15" hidden="false" customHeight="false" outlineLevel="0" collapsed="false">
      <c r="A557" s="39" t="s">
        <v>879</v>
      </c>
      <c r="B557" s="39" t="s">
        <v>909</v>
      </c>
      <c r="C557" s="39" t="s">
        <v>903</v>
      </c>
      <c r="D557" s="39" t="s">
        <v>885</v>
      </c>
      <c r="E557" s="39" t="s">
        <v>884</v>
      </c>
      <c r="F557" s="39"/>
      <c r="G557" s="58" t="n">
        <v>1313</v>
      </c>
      <c r="H557" s="34" t="n">
        <f aca="false">G557*2</f>
        <v>2626</v>
      </c>
      <c r="I557" s="39" t="str">
        <f aca="false">A557&amp;"|"&amp;B557&amp;"|"&amp;D557&amp;"|"&amp;E557&amp;F557</f>
        <v>auto|Lawton|scenario B (age 21)|female</v>
      </c>
      <c r="J557" s="34" t="n">
        <f aca="false" t="array" ref="J557:J557">MEDIAN(IF($I$4:$I$1803=I557,$H$4:$H$1803))</f>
        <v>2769</v>
      </c>
      <c r="K557" s="59" t="n">
        <f aca="false">H557/J557</f>
        <v>0.948356807511737</v>
      </c>
    </row>
    <row r="558" customFormat="false" ht="15" hidden="false" customHeight="false" outlineLevel="0" collapsed="false">
      <c r="A558" s="39" t="s">
        <v>879</v>
      </c>
      <c r="B558" s="39" t="s">
        <v>909</v>
      </c>
      <c r="C558" s="39" t="s">
        <v>903</v>
      </c>
      <c r="D558" s="39" t="s">
        <v>886</v>
      </c>
      <c r="E558" s="39" t="s">
        <v>883</v>
      </c>
      <c r="F558" s="39"/>
      <c r="G558" s="58" t="n">
        <v>1100</v>
      </c>
      <c r="H558" s="34" t="n">
        <f aca="false">G558*2</f>
        <v>2200</v>
      </c>
      <c r="I558" s="39" t="str">
        <f aca="false">A558&amp;"|"&amp;B558&amp;"|"&amp;D558&amp;"|"&amp;E558&amp;F558</f>
        <v>auto|Lawton|scenario C (age 36)|male</v>
      </c>
      <c r="J558" s="34" t="n">
        <f aca="false" t="array" ref="J558:J558">MEDIAN(IF($I$4:$I$1803=I558,$H$4:$H$1803))</f>
        <v>1878</v>
      </c>
      <c r="K558" s="59" t="n">
        <f aca="false">H558/J558</f>
        <v>1.17145899893504</v>
      </c>
    </row>
    <row r="559" customFormat="false" ht="15" hidden="false" customHeight="false" outlineLevel="0" collapsed="false">
      <c r="A559" s="39" t="s">
        <v>879</v>
      </c>
      <c r="B559" s="39" t="s">
        <v>909</v>
      </c>
      <c r="C559" s="39" t="s">
        <v>903</v>
      </c>
      <c r="D559" s="39" t="s">
        <v>886</v>
      </c>
      <c r="E559" s="39" t="s">
        <v>884</v>
      </c>
      <c r="F559" s="39"/>
      <c r="G559" s="58" t="n">
        <v>1111</v>
      </c>
      <c r="H559" s="34" t="n">
        <f aca="false">G559*2</f>
        <v>2222</v>
      </c>
      <c r="I559" s="39" t="str">
        <f aca="false">A559&amp;"|"&amp;B559&amp;"|"&amp;D559&amp;"|"&amp;E559&amp;F559</f>
        <v>auto|Lawton|scenario C (age 36)|female</v>
      </c>
      <c r="J559" s="34" t="n">
        <f aca="false" t="array" ref="J559:J559">MEDIAN(IF($I$4:$I$1803=I559,$H$4:$H$1803))</f>
        <v>1834</v>
      </c>
      <c r="K559" s="59" t="n">
        <f aca="false">H559/J559</f>
        <v>1.21155943293348</v>
      </c>
    </row>
    <row r="560" customFormat="false" ht="15" hidden="false" customHeight="false" outlineLevel="0" collapsed="false">
      <c r="A560" s="39" t="s">
        <v>879</v>
      </c>
      <c r="B560" s="39" t="s">
        <v>909</v>
      </c>
      <c r="C560" s="39" t="s">
        <v>903</v>
      </c>
      <c r="D560" s="39" t="s">
        <v>887</v>
      </c>
      <c r="E560" s="39" t="s">
        <v>883</v>
      </c>
      <c r="F560" s="39"/>
      <c r="G560" s="58" t="n">
        <v>1039</v>
      </c>
      <c r="H560" s="34" t="n">
        <f aca="false">G560*2</f>
        <v>2078</v>
      </c>
      <c r="I560" s="39" t="str">
        <f aca="false">A560&amp;"|"&amp;B560&amp;"|"&amp;D560&amp;"|"&amp;E560&amp;F560</f>
        <v>auto|Lawton|scenario D (age 55)|male</v>
      </c>
      <c r="J560" s="34" t="n">
        <f aca="false" t="array" ref="J560:J560">MEDIAN(IF($I$4:$I$1803=I560,$H$4:$H$1803))</f>
        <v>1582</v>
      </c>
      <c r="K560" s="59" t="n">
        <f aca="false">H560/J560</f>
        <v>1.31352718078382</v>
      </c>
    </row>
    <row r="561" customFormat="false" ht="15" hidden="false" customHeight="false" outlineLevel="0" collapsed="false">
      <c r="A561" s="39" t="s">
        <v>879</v>
      </c>
      <c r="B561" s="39" t="s">
        <v>909</v>
      </c>
      <c r="C561" s="39" t="s">
        <v>903</v>
      </c>
      <c r="D561" s="39" t="s">
        <v>887</v>
      </c>
      <c r="E561" s="39" t="s">
        <v>884</v>
      </c>
      <c r="F561" s="39"/>
      <c r="G561" s="58" t="n">
        <v>1040</v>
      </c>
      <c r="H561" s="34" t="n">
        <f aca="false">G561*2</f>
        <v>2080</v>
      </c>
      <c r="I561" s="39" t="str">
        <f aca="false">A561&amp;"|"&amp;B561&amp;"|"&amp;D561&amp;"|"&amp;E561&amp;F561</f>
        <v>auto|Lawton|scenario D (age 55)|female</v>
      </c>
      <c r="J561" s="34" t="n">
        <f aca="false" t="array" ref="J561:J561">MEDIAN(IF($I$4:$I$1803=I561,$H$4:$H$1803))</f>
        <v>1515</v>
      </c>
      <c r="K561" s="59" t="n">
        <f aca="false">H561/J561</f>
        <v>1.37293729372937</v>
      </c>
    </row>
    <row r="562" customFormat="false" ht="15" hidden="false" customHeight="false" outlineLevel="0" collapsed="false">
      <c r="A562" s="39" t="s">
        <v>879</v>
      </c>
      <c r="B562" s="39" t="s">
        <v>909</v>
      </c>
      <c r="C562" s="39" t="s">
        <v>903</v>
      </c>
      <c r="D562" s="39" t="s">
        <v>888</v>
      </c>
      <c r="E562" s="39" t="s">
        <v>883</v>
      </c>
      <c r="F562" s="39"/>
      <c r="G562" s="58" t="n">
        <v>479</v>
      </c>
      <c r="H562" s="34" t="n">
        <f aca="false">G562*2</f>
        <v>958</v>
      </c>
      <c r="I562" s="39" t="str">
        <f aca="false">A562&amp;"|"&amp;B562&amp;"|"&amp;D562&amp;"|"&amp;E562&amp;F562</f>
        <v>auto|Lawton|scenario E (age 70)|male</v>
      </c>
      <c r="J562" s="34" t="n">
        <f aca="false" t="array" ref="J562:J562">MEDIAN(IF($I$4:$I$1803=I562,$H$4:$H$1803))</f>
        <v>1386</v>
      </c>
      <c r="K562" s="59" t="n">
        <f aca="false">H562/J562</f>
        <v>0.691197691197691</v>
      </c>
    </row>
    <row r="563" customFormat="false" ht="15" hidden="false" customHeight="false" outlineLevel="0" collapsed="false">
      <c r="A563" s="39" t="s">
        <v>879</v>
      </c>
      <c r="B563" s="39" t="s">
        <v>909</v>
      </c>
      <c r="C563" s="39" t="s">
        <v>903</v>
      </c>
      <c r="D563" s="39" t="s">
        <v>888</v>
      </c>
      <c r="E563" s="39" t="s">
        <v>884</v>
      </c>
      <c r="F563" s="39"/>
      <c r="G563" s="58" t="n">
        <v>503</v>
      </c>
      <c r="H563" s="34" t="n">
        <f aca="false">G563*2</f>
        <v>1006</v>
      </c>
      <c r="I563" s="39" t="str">
        <f aca="false">A563&amp;"|"&amp;B563&amp;"|"&amp;D563&amp;"|"&amp;E563&amp;F563</f>
        <v>auto|Lawton|scenario E (age 70)|female</v>
      </c>
      <c r="J563" s="34" t="n">
        <f aca="false" t="array" ref="J563:J563">MEDIAN(IF($I$4:$I$1803=I563,$H$4:$H$1803))</f>
        <v>1396</v>
      </c>
      <c r="K563" s="59" t="n">
        <f aca="false">H563/J563</f>
        <v>0.720630372492837</v>
      </c>
    </row>
    <row r="564" customFormat="false" ht="15" hidden="false" customHeight="false" outlineLevel="0" collapsed="false">
      <c r="A564" s="39" t="s">
        <v>879</v>
      </c>
      <c r="B564" s="39" t="s">
        <v>909</v>
      </c>
      <c r="C564" s="39" t="s">
        <v>904</v>
      </c>
      <c r="D564" s="39" t="s">
        <v>882</v>
      </c>
      <c r="E564" s="39" t="s">
        <v>883</v>
      </c>
      <c r="F564" s="39"/>
      <c r="G564" s="58" t="n">
        <v>4365</v>
      </c>
      <c r="H564" s="34" t="n">
        <f aca="false">G564*2</f>
        <v>8730</v>
      </c>
      <c r="I564" s="39" t="str">
        <f aca="false">A564&amp;"|"&amp;B564&amp;"|"&amp;D564&amp;"|"&amp;E564&amp;F564</f>
        <v>auto|Lawton|scenario A (age 16)|male</v>
      </c>
      <c r="J564" s="34" t="n">
        <f aca="false" t="array" ref="J564:J564">MEDIAN(IF($I$4:$I$1803=I564,$H$4:$H$1803))</f>
        <v>7077</v>
      </c>
      <c r="K564" s="59" t="n">
        <f aca="false">H564/J564</f>
        <v>1.23357354811361</v>
      </c>
    </row>
    <row r="565" customFormat="false" ht="15" hidden="false" customHeight="false" outlineLevel="0" collapsed="false">
      <c r="A565" s="39" t="s">
        <v>879</v>
      </c>
      <c r="B565" s="39" t="s">
        <v>909</v>
      </c>
      <c r="C565" s="39" t="s">
        <v>904</v>
      </c>
      <c r="D565" s="39" t="s">
        <v>882</v>
      </c>
      <c r="E565" s="39" t="s">
        <v>884</v>
      </c>
      <c r="F565" s="39"/>
      <c r="G565" s="58" t="n">
        <v>3376</v>
      </c>
      <c r="H565" s="34" t="n">
        <f aca="false">G565*2</f>
        <v>6752</v>
      </c>
      <c r="I565" s="39" t="str">
        <f aca="false">A565&amp;"|"&amp;B565&amp;"|"&amp;D565&amp;"|"&amp;E565&amp;F565</f>
        <v>auto|Lawton|scenario A (age 16)|female</v>
      </c>
      <c r="J565" s="34" t="n">
        <f aca="false" t="array" ref="J565:J565">MEDIAN(IF($I$4:$I$1803=I565,$H$4:$H$1803))</f>
        <v>5882</v>
      </c>
      <c r="K565" s="59" t="n">
        <f aca="false">H565/J565</f>
        <v>1.14790887453247</v>
      </c>
    </row>
    <row r="566" customFormat="false" ht="15" hidden="false" customHeight="false" outlineLevel="0" collapsed="false">
      <c r="A566" s="39" t="s">
        <v>879</v>
      </c>
      <c r="B566" s="39" t="s">
        <v>909</v>
      </c>
      <c r="C566" s="39" t="s">
        <v>904</v>
      </c>
      <c r="D566" s="39" t="s">
        <v>885</v>
      </c>
      <c r="E566" s="39" t="s">
        <v>883</v>
      </c>
      <c r="F566" s="39"/>
      <c r="G566" s="58" t="n">
        <v>3108</v>
      </c>
      <c r="H566" s="34" t="n">
        <f aca="false">G566*2</f>
        <v>6216</v>
      </c>
      <c r="I566" s="39" t="str">
        <f aca="false">A566&amp;"|"&amp;B566&amp;"|"&amp;D566&amp;"|"&amp;E566&amp;F566</f>
        <v>auto|Lawton|scenario B (age 21)|male</v>
      </c>
      <c r="J566" s="34" t="n">
        <f aca="false" t="array" ref="J566:J566">MEDIAN(IF($I$4:$I$1803=I566,$H$4:$H$1803))</f>
        <v>3033</v>
      </c>
      <c r="K566" s="59" t="n">
        <f aca="false">H566/J566</f>
        <v>2.04945598417409</v>
      </c>
    </row>
    <row r="567" customFormat="false" ht="15" hidden="false" customHeight="false" outlineLevel="0" collapsed="false">
      <c r="A567" s="39" t="s">
        <v>879</v>
      </c>
      <c r="B567" s="39" t="s">
        <v>909</v>
      </c>
      <c r="C567" s="39" t="s">
        <v>904</v>
      </c>
      <c r="D567" s="39" t="s">
        <v>885</v>
      </c>
      <c r="E567" s="39" t="s">
        <v>884</v>
      </c>
      <c r="F567" s="39"/>
      <c r="G567" s="58" t="n">
        <v>2335</v>
      </c>
      <c r="H567" s="34" t="n">
        <f aca="false">G567*2</f>
        <v>4670</v>
      </c>
      <c r="I567" s="39" t="str">
        <f aca="false">A567&amp;"|"&amp;B567&amp;"|"&amp;D567&amp;"|"&amp;E567&amp;F567</f>
        <v>auto|Lawton|scenario B (age 21)|female</v>
      </c>
      <c r="J567" s="34" t="n">
        <f aca="false" t="array" ref="J567:J567">MEDIAN(IF($I$4:$I$1803=I567,$H$4:$H$1803))</f>
        <v>2769</v>
      </c>
      <c r="K567" s="59" t="n">
        <f aca="false">H567/J567</f>
        <v>1.68652943300831</v>
      </c>
    </row>
    <row r="568" customFormat="false" ht="15" hidden="false" customHeight="false" outlineLevel="0" collapsed="false">
      <c r="A568" s="39" t="s">
        <v>879</v>
      </c>
      <c r="B568" s="39" t="s">
        <v>909</v>
      </c>
      <c r="C568" s="39" t="s">
        <v>904</v>
      </c>
      <c r="D568" s="39" t="s">
        <v>886</v>
      </c>
      <c r="E568" s="39" t="s">
        <v>883</v>
      </c>
      <c r="F568" s="39"/>
      <c r="G568" s="58" t="n">
        <v>1040</v>
      </c>
      <c r="H568" s="34" t="n">
        <f aca="false">G568*2</f>
        <v>2080</v>
      </c>
      <c r="I568" s="39" t="str">
        <f aca="false">A568&amp;"|"&amp;B568&amp;"|"&amp;D568&amp;"|"&amp;E568&amp;F568</f>
        <v>auto|Lawton|scenario C (age 36)|male</v>
      </c>
      <c r="J568" s="34" t="n">
        <f aca="false" t="array" ref="J568:J568">MEDIAN(IF($I$4:$I$1803=I568,$H$4:$H$1803))</f>
        <v>1878</v>
      </c>
      <c r="K568" s="59" t="n">
        <f aca="false">H568/J568</f>
        <v>1.10756123535676</v>
      </c>
    </row>
    <row r="569" customFormat="false" ht="15" hidden="false" customHeight="false" outlineLevel="0" collapsed="false">
      <c r="A569" s="39" t="s">
        <v>879</v>
      </c>
      <c r="B569" s="39" t="s">
        <v>909</v>
      </c>
      <c r="C569" s="39" t="s">
        <v>904</v>
      </c>
      <c r="D569" s="39" t="s">
        <v>886</v>
      </c>
      <c r="E569" s="39" t="s">
        <v>884</v>
      </c>
      <c r="F569" s="39"/>
      <c r="G569" s="58" t="n">
        <v>1021</v>
      </c>
      <c r="H569" s="34" t="n">
        <f aca="false">G569*2</f>
        <v>2042</v>
      </c>
      <c r="I569" s="39" t="str">
        <f aca="false">A569&amp;"|"&amp;B569&amp;"|"&amp;D569&amp;"|"&amp;E569&amp;F569</f>
        <v>auto|Lawton|scenario C (age 36)|female</v>
      </c>
      <c r="J569" s="34" t="n">
        <f aca="false" t="array" ref="J569:J569">MEDIAN(IF($I$4:$I$1803=I569,$H$4:$H$1803))</f>
        <v>1834</v>
      </c>
      <c r="K569" s="59" t="n">
        <f aca="false">H569/J569</f>
        <v>1.113413304253</v>
      </c>
    </row>
    <row r="570" customFormat="false" ht="15" hidden="false" customHeight="false" outlineLevel="0" collapsed="false">
      <c r="A570" s="39" t="s">
        <v>879</v>
      </c>
      <c r="B570" s="39" t="s">
        <v>909</v>
      </c>
      <c r="C570" s="39" t="s">
        <v>904</v>
      </c>
      <c r="D570" s="39" t="s">
        <v>887</v>
      </c>
      <c r="E570" s="39" t="s">
        <v>883</v>
      </c>
      <c r="F570" s="39"/>
      <c r="G570" s="58" t="n">
        <v>1018</v>
      </c>
      <c r="H570" s="34" t="n">
        <f aca="false">G570*2</f>
        <v>2036</v>
      </c>
      <c r="I570" s="39" t="str">
        <f aca="false">A570&amp;"|"&amp;B570&amp;"|"&amp;D570&amp;"|"&amp;E570&amp;F570</f>
        <v>auto|Lawton|scenario D (age 55)|male</v>
      </c>
      <c r="J570" s="34" t="n">
        <f aca="false" t="array" ref="J570:J570">MEDIAN(IF($I$4:$I$1803=I570,$H$4:$H$1803))</f>
        <v>1582</v>
      </c>
      <c r="K570" s="59" t="n">
        <f aca="false">H570/J570</f>
        <v>1.28697850821745</v>
      </c>
    </row>
    <row r="571" customFormat="false" ht="15" hidden="false" customHeight="false" outlineLevel="0" collapsed="false">
      <c r="A571" s="39" t="s">
        <v>879</v>
      </c>
      <c r="B571" s="39" t="s">
        <v>909</v>
      </c>
      <c r="C571" s="39" t="s">
        <v>904</v>
      </c>
      <c r="D571" s="39" t="s">
        <v>887</v>
      </c>
      <c r="E571" s="39" t="s">
        <v>884</v>
      </c>
      <c r="F571" s="39"/>
      <c r="G571" s="58" t="n">
        <v>966</v>
      </c>
      <c r="H571" s="34" t="n">
        <f aca="false">G571*2</f>
        <v>1932</v>
      </c>
      <c r="I571" s="39" t="str">
        <f aca="false">A571&amp;"|"&amp;B571&amp;"|"&amp;D571&amp;"|"&amp;E571&amp;F571</f>
        <v>auto|Lawton|scenario D (age 55)|female</v>
      </c>
      <c r="J571" s="34" t="n">
        <f aca="false" t="array" ref="J571:J571">MEDIAN(IF($I$4:$I$1803=I571,$H$4:$H$1803))</f>
        <v>1515</v>
      </c>
      <c r="K571" s="59" t="n">
        <f aca="false">H571/J571</f>
        <v>1.27524752475248</v>
      </c>
    </row>
    <row r="572" customFormat="false" ht="15" hidden="false" customHeight="false" outlineLevel="0" collapsed="false">
      <c r="A572" s="39" t="s">
        <v>879</v>
      </c>
      <c r="B572" s="39" t="s">
        <v>909</v>
      </c>
      <c r="C572" s="39" t="s">
        <v>904</v>
      </c>
      <c r="D572" s="39" t="s">
        <v>888</v>
      </c>
      <c r="E572" s="39" t="s">
        <v>883</v>
      </c>
      <c r="F572" s="39"/>
      <c r="G572" s="58" t="n">
        <v>1212</v>
      </c>
      <c r="H572" s="34" t="n">
        <f aca="false">G572*2</f>
        <v>2424</v>
      </c>
      <c r="I572" s="39" t="str">
        <f aca="false">A572&amp;"|"&amp;B572&amp;"|"&amp;D572&amp;"|"&amp;E572&amp;F572</f>
        <v>auto|Lawton|scenario E (age 70)|male</v>
      </c>
      <c r="J572" s="34" t="n">
        <f aca="false" t="array" ref="J572:J572">MEDIAN(IF($I$4:$I$1803=I572,$H$4:$H$1803))</f>
        <v>1386</v>
      </c>
      <c r="K572" s="59" t="n">
        <f aca="false">H572/J572</f>
        <v>1.74891774891775</v>
      </c>
    </row>
    <row r="573" customFormat="false" ht="15" hidden="false" customHeight="false" outlineLevel="0" collapsed="false">
      <c r="A573" s="39" t="s">
        <v>879</v>
      </c>
      <c r="B573" s="39" t="s">
        <v>909</v>
      </c>
      <c r="C573" s="39" t="s">
        <v>904</v>
      </c>
      <c r="D573" s="39" t="s">
        <v>888</v>
      </c>
      <c r="E573" s="39" t="s">
        <v>884</v>
      </c>
      <c r="F573" s="39"/>
      <c r="G573" s="58" t="n">
        <v>1118</v>
      </c>
      <c r="H573" s="34" t="n">
        <f aca="false">G573*2</f>
        <v>2236</v>
      </c>
      <c r="I573" s="39" t="str">
        <f aca="false">A573&amp;"|"&amp;B573&amp;"|"&amp;D573&amp;"|"&amp;E573&amp;F573</f>
        <v>auto|Lawton|scenario E (age 70)|female</v>
      </c>
      <c r="J573" s="34" t="n">
        <f aca="false" t="array" ref="J573:J573">MEDIAN(IF($I$4:$I$1803=I573,$H$4:$H$1803))</f>
        <v>1396</v>
      </c>
      <c r="K573" s="59" t="n">
        <f aca="false">H573/J573</f>
        <v>1.60171919770774</v>
      </c>
    </row>
    <row r="574" customFormat="false" ht="15" hidden="false" customHeight="false" outlineLevel="0" collapsed="false">
      <c r="A574" s="39" t="s">
        <v>879</v>
      </c>
      <c r="B574" s="39" t="s">
        <v>909</v>
      </c>
      <c r="C574" s="39" t="s">
        <v>905</v>
      </c>
      <c r="D574" s="39" t="s">
        <v>882</v>
      </c>
      <c r="E574" s="39" t="s">
        <v>883</v>
      </c>
      <c r="F574" s="39"/>
      <c r="G574" s="58" t="n">
        <v>3044</v>
      </c>
      <c r="H574" s="34" t="n">
        <f aca="false">G574*2</f>
        <v>6088</v>
      </c>
      <c r="I574" s="39" t="str">
        <f aca="false">A574&amp;"|"&amp;B574&amp;"|"&amp;D574&amp;"|"&amp;E574&amp;F574</f>
        <v>auto|Lawton|scenario A (age 16)|male</v>
      </c>
      <c r="J574" s="34" t="n">
        <f aca="false" t="array" ref="J574:J574">MEDIAN(IF($I$4:$I$1803=I574,$H$4:$H$1803))</f>
        <v>7077</v>
      </c>
      <c r="K574" s="59" t="n">
        <f aca="false">H574/J574</f>
        <v>0.860251519005228</v>
      </c>
    </row>
    <row r="575" customFormat="false" ht="15" hidden="false" customHeight="false" outlineLevel="0" collapsed="false">
      <c r="A575" s="39" t="s">
        <v>879</v>
      </c>
      <c r="B575" s="39" t="s">
        <v>909</v>
      </c>
      <c r="C575" s="39" t="s">
        <v>905</v>
      </c>
      <c r="D575" s="39" t="s">
        <v>882</v>
      </c>
      <c r="E575" s="39" t="s">
        <v>884</v>
      </c>
      <c r="F575" s="39"/>
      <c r="G575" s="58" t="n">
        <v>2900</v>
      </c>
      <c r="H575" s="34" t="n">
        <f aca="false">G575*2</f>
        <v>5800</v>
      </c>
      <c r="I575" s="39" t="str">
        <f aca="false">A575&amp;"|"&amp;B575&amp;"|"&amp;D575&amp;"|"&amp;E575&amp;F575</f>
        <v>auto|Lawton|scenario A (age 16)|female</v>
      </c>
      <c r="J575" s="34" t="n">
        <f aca="false" t="array" ref="J575:J575">MEDIAN(IF($I$4:$I$1803=I575,$H$4:$H$1803))</f>
        <v>5882</v>
      </c>
      <c r="K575" s="59" t="n">
        <f aca="false">H575/J575</f>
        <v>0.986059163549813</v>
      </c>
    </row>
    <row r="576" customFormat="false" ht="15" hidden="false" customHeight="false" outlineLevel="0" collapsed="false">
      <c r="A576" s="39" t="s">
        <v>879</v>
      </c>
      <c r="B576" s="39" t="s">
        <v>909</v>
      </c>
      <c r="C576" s="39" t="s">
        <v>905</v>
      </c>
      <c r="D576" s="39" t="s">
        <v>885</v>
      </c>
      <c r="E576" s="39" t="s">
        <v>883</v>
      </c>
      <c r="F576" s="39"/>
      <c r="G576" s="58" t="n">
        <v>1147</v>
      </c>
      <c r="H576" s="34" t="n">
        <f aca="false">G576*2</f>
        <v>2294</v>
      </c>
      <c r="I576" s="39" t="str">
        <f aca="false">A576&amp;"|"&amp;B576&amp;"|"&amp;D576&amp;"|"&amp;E576&amp;F576</f>
        <v>auto|Lawton|scenario B (age 21)|male</v>
      </c>
      <c r="J576" s="34" t="n">
        <f aca="false" t="array" ref="J576:J576">MEDIAN(IF($I$4:$I$1803=I576,$H$4:$H$1803))</f>
        <v>3033</v>
      </c>
      <c r="K576" s="59" t="n">
        <f aca="false">H576/J576</f>
        <v>0.756346851302341</v>
      </c>
    </row>
    <row r="577" customFormat="false" ht="15" hidden="false" customHeight="false" outlineLevel="0" collapsed="false">
      <c r="A577" s="39" t="s">
        <v>879</v>
      </c>
      <c r="B577" s="39" t="s">
        <v>909</v>
      </c>
      <c r="C577" s="39" t="s">
        <v>905</v>
      </c>
      <c r="D577" s="39" t="s">
        <v>885</v>
      </c>
      <c r="E577" s="39" t="s">
        <v>884</v>
      </c>
      <c r="F577" s="39"/>
      <c r="G577" s="58" t="n">
        <v>1079</v>
      </c>
      <c r="H577" s="34" t="n">
        <f aca="false">G577*2</f>
        <v>2158</v>
      </c>
      <c r="I577" s="39" t="str">
        <f aca="false">A577&amp;"|"&amp;B577&amp;"|"&amp;D577&amp;"|"&amp;E577&amp;F577</f>
        <v>auto|Lawton|scenario B (age 21)|female</v>
      </c>
      <c r="J577" s="34" t="n">
        <f aca="false" t="array" ref="J577:J577">MEDIAN(IF($I$4:$I$1803=I577,$H$4:$H$1803))</f>
        <v>2769</v>
      </c>
      <c r="K577" s="59" t="n">
        <f aca="false">H577/J577</f>
        <v>0.779342723004695</v>
      </c>
    </row>
    <row r="578" customFormat="false" ht="15" hidden="false" customHeight="false" outlineLevel="0" collapsed="false">
      <c r="A578" s="39" t="s">
        <v>879</v>
      </c>
      <c r="B578" s="39" t="s">
        <v>909</v>
      </c>
      <c r="C578" s="39" t="s">
        <v>905</v>
      </c>
      <c r="D578" s="39" t="s">
        <v>886</v>
      </c>
      <c r="E578" s="39" t="s">
        <v>883</v>
      </c>
      <c r="F578" s="39"/>
      <c r="G578" s="58" t="n">
        <v>644</v>
      </c>
      <c r="H578" s="34" t="n">
        <f aca="false">G578*2</f>
        <v>1288</v>
      </c>
      <c r="I578" s="39" t="str">
        <f aca="false">A578&amp;"|"&amp;B578&amp;"|"&amp;D578&amp;"|"&amp;E578&amp;F578</f>
        <v>auto|Lawton|scenario C (age 36)|male</v>
      </c>
      <c r="J578" s="34" t="n">
        <f aca="false" t="array" ref="J578:J578">MEDIAN(IF($I$4:$I$1803=I578,$H$4:$H$1803))</f>
        <v>1878</v>
      </c>
      <c r="K578" s="59" t="n">
        <f aca="false">H578/J578</f>
        <v>0.685835995740149</v>
      </c>
    </row>
    <row r="579" customFormat="false" ht="15" hidden="false" customHeight="false" outlineLevel="0" collapsed="false">
      <c r="A579" s="39" t="s">
        <v>879</v>
      </c>
      <c r="B579" s="39" t="s">
        <v>909</v>
      </c>
      <c r="C579" s="39" t="s">
        <v>905</v>
      </c>
      <c r="D579" s="39" t="s">
        <v>886</v>
      </c>
      <c r="E579" s="39" t="s">
        <v>884</v>
      </c>
      <c r="F579" s="39"/>
      <c r="G579" s="58" t="n">
        <v>637</v>
      </c>
      <c r="H579" s="34" t="n">
        <f aca="false">G579*2</f>
        <v>1274</v>
      </c>
      <c r="I579" s="39" t="str">
        <f aca="false">A579&amp;"|"&amp;B579&amp;"|"&amp;D579&amp;"|"&amp;E579&amp;F579</f>
        <v>auto|Lawton|scenario C (age 36)|female</v>
      </c>
      <c r="J579" s="34" t="n">
        <f aca="false" t="array" ref="J579:J579">MEDIAN(IF($I$4:$I$1803=I579,$H$4:$H$1803))</f>
        <v>1834</v>
      </c>
      <c r="K579" s="59" t="n">
        <f aca="false">H579/J579</f>
        <v>0.694656488549618</v>
      </c>
    </row>
    <row r="580" customFormat="false" ht="15" hidden="false" customHeight="false" outlineLevel="0" collapsed="false">
      <c r="A580" s="39" t="s">
        <v>879</v>
      </c>
      <c r="B580" s="39" t="s">
        <v>909</v>
      </c>
      <c r="C580" s="39" t="s">
        <v>905</v>
      </c>
      <c r="D580" s="39" t="s">
        <v>887</v>
      </c>
      <c r="E580" s="39" t="s">
        <v>883</v>
      </c>
      <c r="F580" s="39"/>
      <c r="G580" s="58" t="n">
        <v>588</v>
      </c>
      <c r="H580" s="34" t="n">
        <f aca="false">G580*2</f>
        <v>1176</v>
      </c>
      <c r="I580" s="39" t="str">
        <f aca="false">A580&amp;"|"&amp;B580&amp;"|"&amp;D580&amp;"|"&amp;E580&amp;F580</f>
        <v>auto|Lawton|scenario D (age 55)|male</v>
      </c>
      <c r="J580" s="34" t="n">
        <f aca="false" t="array" ref="J580:J580">MEDIAN(IF($I$4:$I$1803=I580,$H$4:$H$1803))</f>
        <v>1582</v>
      </c>
      <c r="K580" s="59" t="n">
        <f aca="false">H580/J580</f>
        <v>0.743362831858407</v>
      </c>
    </row>
    <row r="581" customFormat="false" ht="15" hidden="false" customHeight="false" outlineLevel="0" collapsed="false">
      <c r="A581" s="39" t="s">
        <v>879</v>
      </c>
      <c r="B581" s="39" t="s">
        <v>909</v>
      </c>
      <c r="C581" s="39" t="s">
        <v>905</v>
      </c>
      <c r="D581" s="39" t="s">
        <v>887</v>
      </c>
      <c r="E581" s="39" t="s">
        <v>884</v>
      </c>
      <c r="F581" s="39"/>
      <c r="G581" s="58" t="n">
        <v>585</v>
      </c>
      <c r="H581" s="34" t="n">
        <f aca="false">G581*2</f>
        <v>1170</v>
      </c>
      <c r="I581" s="39" t="str">
        <f aca="false">A581&amp;"|"&amp;B581&amp;"|"&amp;D581&amp;"|"&amp;E581&amp;F581</f>
        <v>auto|Lawton|scenario D (age 55)|female</v>
      </c>
      <c r="J581" s="34" t="n">
        <f aca="false" t="array" ref="J581:J581">MEDIAN(IF($I$4:$I$1803=I581,$H$4:$H$1803))</f>
        <v>1515</v>
      </c>
      <c r="K581" s="59" t="n">
        <f aca="false">H581/J581</f>
        <v>0.772277227722772</v>
      </c>
    </row>
    <row r="582" customFormat="false" ht="15" hidden="false" customHeight="false" outlineLevel="0" collapsed="false">
      <c r="A582" s="39" t="s">
        <v>879</v>
      </c>
      <c r="B582" s="39" t="s">
        <v>909</v>
      </c>
      <c r="C582" s="39" t="s">
        <v>905</v>
      </c>
      <c r="D582" s="39" t="s">
        <v>888</v>
      </c>
      <c r="E582" s="39" t="s">
        <v>883</v>
      </c>
      <c r="F582" s="39"/>
      <c r="G582" s="58" t="n">
        <v>599</v>
      </c>
      <c r="H582" s="34" t="n">
        <f aca="false">G582*2</f>
        <v>1198</v>
      </c>
      <c r="I582" s="39" t="str">
        <f aca="false">A582&amp;"|"&amp;B582&amp;"|"&amp;D582&amp;"|"&amp;E582&amp;F582</f>
        <v>auto|Lawton|scenario E (age 70)|male</v>
      </c>
      <c r="J582" s="34" t="n">
        <f aca="false" t="array" ref="J582:J582">MEDIAN(IF($I$4:$I$1803=I582,$H$4:$H$1803))</f>
        <v>1386</v>
      </c>
      <c r="K582" s="59" t="n">
        <f aca="false">H582/J582</f>
        <v>0.864357864357864</v>
      </c>
    </row>
    <row r="583" customFormat="false" ht="15" hidden="false" customHeight="false" outlineLevel="0" collapsed="false">
      <c r="A583" s="39" t="s">
        <v>879</v>
      </c>
      <c r="B583" s="39" t="s">
        <v>909</v>
      </c>
      <c r="C583" s="39" t="s">
        <v>905</v>
      </c>
      <c r="D583" s="39" t="s">
        <v>888</v>
      </c>
      <c r="E583" s="39" t="s">
        <v>884</v>
      </c>
      <c r="F583" s="39"/>
      <c r="G583" s="58" t="n">
        <v>606</v>
      </c>
      <c r="H583" s="34" t="n">
        <f aca="false">G583*2</f>
        <v>1212</v>
      </c>
      <c r="I583" s="39" t="str">
        <f aca="false">A583&amp;"|"&amp;B583&amp;"|"&amp;D583&amp;"|"&amp;E583&amp;F583</f>
        <v>auto|Lawton|scenario E (age 70)|female</v>
      </c>
      <c r="J583" s="34" t="n">
        <f aca="false" t="array" ref="J583:J583">MEDIAN(IF($I$4:$I$1803=I583,$H$4:$H$1803))</f>
        <v>1396</v>
      </c>
      <c r="K583" s="59" t="n">
        <f aca="false">H583/J583</f>
        <v>0.868194842406877</v>
      </c>
    </row>
    <row r="584" customFormat="false" ht="15" hidden="false" customHeight="false" outlineLevel="0" collapsed="false">
      <c r="A584" s="39" t="s">
        <v>879</v>
      </c>
      <c r="B584" s="39" t="s">
        <v>909</v>
      </c>
      <c r="C584" s="39" t="s">
        <v>906</v>
      </c>
      <c r="D584" s="39" t="s">
        <v>882</v>
      </c>
      <c r="E584" s="39" t="s">
        <v>883</v>
      </c>
      <c r="F584" s="39"/>
      <c r="G584" s="58" t="n">
        <v>3087</v>
      </c>
      <c r="H584" s="34" t="n">
        <f aca="false">G584*2</f>
        <v>6174</v>
      </c>
      <c r="I584" s="39" t="str">
        <f aca="false">A584&amp;"|"&amp;B584&amp;"|"&amp;D584&amp;"|"&amp;E584&amp;F584</f>
        <v>auto|Lawton|scenario A (age 16)|male</v>
      </c>
      <c r="J584" s="34" t="n">
        <f aca="false" t="array" ref="J584:J584">MEDIAN(IF($I$4:$I$1803=I584,$H$4:$H$1803))</f>
        <v>7077</v>
      </c>
      <c r="K584" s="59" t="n">
        <f aca="false">H584/J584</f>
        <v>0.872403560830861</v>
      </c>
    </row>
    <row r="585" customFormat="false" ht="15" hidden="false" customHeight="false" outlineLevel="0" collapsed="false">
      <c r="A585" s="39" t="s">
        <v>879</v>
      </c>
      <c r="B585" s="39" t="s">
        <v>909</v>
      </c>
      <c r="C585" s="39" t="s">
        <v>906</v>
      </c>
      <c r="D585" s="39" t="s">
        <v>882</v>
      </c>
      <c r="E585" s="39" t="s">
        <v>884</v>
      </c>
      <c r="F585" s="39"/>
      <c r="G585" s="58" t="n">
        <v>2982</v>
      </c>
      <c r="H585" s="34" t="n">
        <f aca="false">G585*2</f>
        <v>5964</v>
      </c>
      <c r="I585" s="39" t="str">
        <f aca="false">A585&amp;"|"&amp;B585&amp;"|"&amp;D585&amp;"|"&amp;E585&amp;F585</f>
        <v>auto|Lawton|scenario A (age 16)|female</v>
      </c>
      <c r="J585" s="34" t="n">
        <f aca="false" t="array" ref="J585:J585">MEDIAN(IF($I$4:$I$1803=I585,$H$4:$H$1803))</f>
        <v>5882</v>
      </c>
      <c r="K585" s="59" t="n">
        <f aca="false">H585/J585</f>
        <v>1.01394083645019</v>
      </c>
    </row>
    <row r="586" customFormat="false" ht="15" hidden="false" customHeight="false" outlineLevel="0" collapsed="false">
      <c r="A586" s="39" t="s">
        <v>879</v>
      </c>
      <c r="B586" s="39" t="s">
        <v>909</v>
      </c>
      <c r="C586" s="39" t="s">
        <v>906</v>
      </c>
      <c r="D586" s="39" t="s">
        <v>885</v>
      </c>
      <c r="E586" s="39" t="s">
        <v>883</v>
      </c>
      <c r="F586" s="39"/>
      <c r="G586" s="58" t="n">
        <v>1161</v>
      </c>
      <c r="H586" s="34" t="n">
        <f aca="false">G586*2</f>
        <v>2322</v>
      </c>
      <c r="I586" s="39" t="str">
        <f aca="false">A586&amp;"|"&amp;B586&amp;"|"&amp;D586&amp;"|"&amp;E586&amp;F586</f>
        <v>auto|Lawton|scenario B (age 21)|male</v>
      </c>
      <c r="J586" s="34" t="n">
        <f aca="false" t="array" ref="J586:J586">MEDIAN(IF($I$4:$I$1803=I586,$H$4:$H$1803))</f>
        <v>3033</v>
      </c>
      <c r="K586" s="59" t="n">
        <f aca="false">H586/J586</f>
        <v>0.765578635014837</v>
      </c>
    </row>
    <row r="587" customFormat="false" ht="15" hidden="false" customHeight="false" outlineLevel="0" collapsed="false">
      <c r="A587" s="39" t="s">
        <v>879</v>
      </c>
      <c r="B587" s="39" t="s">
        <v>909</v>
      </c>
      <c r="C587" s="39" t="s">
        <v>906</v>
      </c>
      <c r="D587" s="39" t="s">
        <v>885</v>
      </c>
      <c r="E587" s="39" t="s">
        <v>884</v>
      </c>
      <c r="F587" s="39"/>
      <c r="G587" s="58" t="n">
        <v>1118</v>
      </c>
      <c r="H587" s="34" t="n">
        <f aca="false">G587*2</f>
        <v>2236</v>
      </c>
      <c r="I587" s="39" t="str">
        <f aca="false">A587&amp;"|"&amp;B587&amp;"|"&amp;D587&amp;"|"&amp;E587&amp;F587</f>
        <v>auto|Lawton|scenario B (age 21)|female</v>
      </c>
      <c r="J587" s="34" t="n">
        <f aca="false" t="array" ref="J587:J587">MEDIAN(IF($I$4:$I$1803=I587,$H$4:$H$1803))</f>
        <v>2769</v>
      </c>
      <c r="K587" s="59" t="n">
        <f aca="false">H587/J587</f>
        <v>0.807511737089202</v>
      </c>
    </row>
    <row r="588" customFormat="false" ht="15" hidden="false" customHeight="false" outlineLevel="0" collapsed="false">
      <c r="A588" s="39" t="s">
        <v>879</v>
      </c>
      <c r="B588" s="39" t="s">
        <v>909</v>
      </c>
      <c r="C588" s="39" t="s">
        <v>906</v>
      </c>
      <c r="D588" s="39" t="s">
        <v>886</v>
      </c>
      <c r="E588" s="39" t="s">
        <v>883</v>
      </c>
      <c r="F588" s="39"/>
      <c r="G588" s="58" t="n">
        <v>664</v>
      </c>
      <c r="H588" s="34" t="n">
        <f aca="false">G588*2</f>
        <v>1328</v>
      </c>
      <c r="I588" s="39" t="str">
        <f aca="false">A588&amp;"|"&amp;B588&amp;"|"&amp;D588&amp;"|"&amp;E588&amp;F588</f>
        <v>auto|Lawton|scenario C (age 36)|male</v>
      </c>
      <c r="J588" s="34" t="n">
        <f aca="false" t="array" ref="J588:J588">MEDIAN(IF($I$4:$I$1803=I588,$H$4:$H$1803))</f>
        <v>1878</v>
      </c>
      <c r="K588" s="59" t="n">
        <f aca="false">H588/J588</f>
        <v>0.707135250266241</v>
      </c>
    </row>
    <row r="589" customFormat="false" ht="15" hidden="false" customHeight="false" outlineLevel="0" collapsed="false">
      <c r="A589" s="39" t="s">
        <v>879</v>
      </c>
      <c r="B589" s="39" t="s">
        <v>909</v>
      </c>
      <c r="C589" s="39" t="s">
        <v>906</v>
      </c>
      <c r="D589" s="39" t="s">
        <v>886</v>
      </c>
      <c r="E589" s="39" t="s">
        <v>884</v>
      </c>
      <c r="F589" s="39"/>
      <c r="G589" s="58" t="n">
        <v>648</v>
      </c>
      <c r="H589" s="34" t="n">
        <f aca="false">G589*2</f>
        <v>1296</v>
      </c>
      <c r="I589" s="39" t="str">
        <f aca="false">A589&amp;"|"&amp;B589&amp;"|"&amp;D589&amp;"|"&amp;E589&amp;F589</f>
        <v>auto|Lawton|scenario C (age 36)|female</v>
      </c>
      <c r="J589" s="34" t="n">
        <f aca="false" t="array" ref="J589:J589">MEDIAN(IF($I$4:$I$1803=I589,$H$4:$H$1803))</f>
        <v>1834</v>
      </c>
      <c r="K589" s="59" t="n">
        <f aca="false">H589/J589</f>
        <v>0.706652126499455</v>
      </c>
    </row>
    <row r="590" customFormat="false" ht="15" hidden="false" customHeight="false" outlineLevel="0" collapsed="false">
      <c r="A590" s="39" t="s">
        <v>879</v>
      </c>
      <c r="B590" s="39" t="s">
        <v>909</v>
      </c>
      <c r="C590" s="39" t="s">
        <v>906</v>
      </c>
      <c r="D590" s="39" t="s">
        <v>887</v>
      </c>
      <c r="E590" s="39" t="s">
        <v>883</v>
      </c>
      <c r="F590" s="39"/>
      <c r="G590" s="58" t="n">
        <v>569</v>
      </c>
      <c r="H590" s="34" t="n">
        <f aca="false">G590*2</f>
        <v>1138</v>
      </c>
      <c r="I590" s="39" t="str">
        <f aca="false">A590&amp;"|"&amp;B590&amp;"|"&amp;D590&amp;"|"&amp;E590&amp;F590</f>
        <v>auto|Lawton|scenario D (age 55)|male</v>
      </c>
      <c r="J590" s="34" t="n">
        <f aca="false" t="array" ref="J590:J590">MEDIAN(IF($I$4:$I$1803=I590,$H$4:$H$1803))</f>
        <v>1582</v>
      </c>
      <c r="K590" s="59" t="n">
        <f aca="false">H590/J590</f>
        <v>0.719342604298357</v>
      </c>
    </row>
    <row r="591" customFormat="false" ht="15" hidden="false" customHeight="false" outlineLevel="0" collapsed="false">
      <c r="A591" s="39" t="s">
        <v>879</v>
      </c>
      <c r="B591" s="39" t="s">
        <v>909</v>
      </c>
      <c r="C591" s="39" t="s">
        <v>906</v>
      </c>
      <c r="D591" s="39" t="s">
        <v>887</v>
      </c>
      <c r="E591" s="39" t="s">
        <v>884</v>
      </c>
      <c r="F591" s="39"/>
      <c r="G591" s="58" t="n">
        <v>568</v>
      </c>
      <c r="H591" s="34" t="n">
        <f aca="false">G591*2</f>
        <v>1136</v>
      </c>
      <c r="I591" s="39" t="str">
        <f aca="false">A591&amp;"|"&amp;B591&amp;"|"&amp;D591&amp;"|"&amp;E591&amp;F591</f>
        <v>auto|Lawton|scenario D (age 55)|female</v>
      </c>
      <c r="J591" s="34" t="n">
        <f aca="false" t="array" ref="J591:J591">MEDIAN(IF($I$4:$I$1803=I591,$H$4:$H$1803))</f>
        <v>1515</v>
      </c>
      <c r="K591" s="59" t="n">
        <f aca="false">H591/J591</f>
        <v>0.74983498349835</v>
      </c>
    </row>
    <row r="592" customFormat="false" ht="15" hidden="false" customHeight="false" outlineLevel="0" collapsed="false">
      <c r="A592" s="39" t="s">
        <v>879</v>
      </c>
      <c r="B592" s="39" t="s">
        <v>909</v>
      </c>
      <c r="C592" s="39" t="s">
        <v>906</v>
      </c>
      <c r="D592" s="39" t="s">
        <v>888</v>
      </c>
      <c r="E592" s="39" t="s">
        <v>883</v>
      </c>
      <c r="F592" s="39"/>
      <c r="G592" s="58" t="n">
        <v>582</v>
      </c>
      <c r="H592" s="34" t="n">
        <f aca="false">G592*2</f>
        <v>1164</v>
      </c>
      <c r="I592" s="39" t="str">
        <f aca="false">A592&amp;"|"&amp;B592&amp;"|"&amp;D592&amp;"|"&amp;E592&amp;F592</f>
        <v>auto|Lawton|scenario E (age 70)|male</v>
      </c>
      <c r="J592" s="34" t="n">
        <f aca="false" t="array" ref="J592:J592">MEDIAN(IF($I$4:$I$1803=I592,$H$4:$H$1803))</f>
        <v>1386</v>
      </c>
      <c r="K592" s="59" t="n">
        <f aca="false">H592/J592</f>
        <v>0.83982683982684</v>
      </c>
    </row>
    <row r="593" customFormat="false" ht="15" hidden="false" customHeight="false" outlineLevel="0" collapsed="false">
      <c r="A593" s="39" t="s">
        <v>879</v>
      </c>
      <c r="B593" s="39" t="s">
        <v>909</v>
      </c>
      <c r="C593" s="39" t="s">
        <v>906</v>
      </c>
      <c r="D593" s="39" t="s">
        <v>888</v>
      </c>
      <c r="E593" s="39" t="s">
        <v>884</v>
      </c>
      <c r="F593" s="39"/>
      <c r="G593" s="58" t="n">
        <v>586</v>
      </c>
      <c r="H593" s="34" t="n">
        <f aca="false">G593*2</f>
        <v>1172</v>
      </c>
      <c r="I593" s="39" t="str">
        <f aca="false">A593&amp;"|"&amp;B593&amp;"|"&amp;D593&amp;"|"&amp;E593&amp;F593</f>
        <v>auto|Lawton|scenario E (age 70)|female</v>
      </c>
      <c r="J593" s="34" t="n">
        <f aca="false" t="array" ref="J593:J593">MEDIAN(IF($I$4:$I$1803=I593,$H$4:$H$1803))</f>
        <v>1396</v>
      </c>
      <c r="K593" s="59" t="n">
        <f aca="false">H593/J593</f>
        <v>0.839541547277937</v>
      </c>
    </row>
    <row r="594" customFormat="false" ht="15" hidden="false" customHeight="false" outlineLevel="0" collapsed="false">
      <c r="A594" s="39" t="s">
        <v>879</v>
      </c>
      <c r="B594" s="39" t="s">
        <v>909</v>
      </c>
      <c r="C594" s="39" t="s">
        <v>907</v>
      </c>
      <c r="D594" s="39" t="s">
        <v>882</v>
      </c>
      <c r="E594" s="39" t="s">
        <v>883</v>
      </c>
      <c r="F594" s="39"/>
      <c r="G594" s="58" t="n">
        <v>4057</v>
      </c>
      <c r="H594" s="34" t="n">
        <f aca="false">G594*2</f>
        <v>8114</v>
      </c>
      <c r="I594" s="39" t="str">
        <f aca="false">A594&amp;"|"&amp;B594&amp;"|"&amp;D594&amp;"|"&amp;E594&amp;F594</f>
        <v>auto|Lawton|scenario A (age 16)|male</v>
      </c>
      <c r="J594" s="34" t="n">
        <f aca="false" t="array" ref="J594:J594">MEDIAN(IF($I$4:$I$1803=I594,$H$4:$H$1803))</f>
        <v>7077</v>
      </c>
      <c r="K594" s="59" t="n">
        <f aca="false">H594/J594</f>
        <v>1.14653101596722</v>
      </c>
    </row>
    <row r="595" customFormat="false" ht="15" hidden="false" customHeight="false" outlineLevel="0" collapsed="false">
      <c r="A595" s="39" t="s">
        <v>879</v>
      </c>
      <c r="B595" s="39" t="s">
        <v>909</v>
      </c>
      <c r="C595" s="39" t="s">
        <v>907</v>
      </c>
      <c r="D595" s="39" t="s">
        <v>882</v>
      </c>
      <c r="E595" s="39" t="s">
        <v>884</v>
      </c>
      <c r="F595" s="39"/>
      <c r="G595" s="58" t="n">
        <v>3906</v>
      </c>
      <c r="H595" s="34" t="n">
        <f aca="false">G595*2</f>
        <v>7812</v>
      </c>
      <c r="I595" s="39" t="str">
        <f aca="false">A595&amp;"|"&amp;B595&amp;"|"&amp;D595&amp;"|"&amp;E595&amp;F595</f>
        <v>auto|Lawton|scenario A (age 16)|female</v>
      </c>
      <c r="J595" s="34" t="n">
        <f aca="false" t="array" ref="J595:J595">MEDIAN(IF($I$4:$I$1803=I595,$H$4:$H$1803))</f>
        <v>5882</v>
      </c>
      <c r="K595" s="59" t="n">
        <f aca="false">H595/J595</f>
        <v>1.32811968718123</v>
      </c>
    </row>
    <row r="596" customFormat="false" ht="15" hidden="false" customHeight="false" outlineLevel="0" collapsed="false">
      <c r="A596" s="39" t="s">
        <v>879</v>
      </c>
      <c r="B596" s="39" t="s">
        <v>909</v>
      </c>
      <c r="C596" s="39" t="s">
        <v>907</v>
      </c>
      <c r="D596" s="39" t="s">
        <v>885</v>
      </c>
      <c r="E596" s="39" t="s">
        <v>883</v>
      </c>
      <c r="F596" s="39"/>
      <c r="G596" s="58" t="n">
        <v>1442</v>
      </c>
      <c r="H596" s="34" t="n">
        <f aca="false">G596*2</f>
        <v>2884</v>
      </c>
      <c r="I596" s="39" t="str">
        <f aca="false">A596&amp;"|"&amp;B596&amp;"|"&amp;D596&amp;"|"&amp;E596&amp;F596</f>
        <v>auto|Lawton|scenario B (age 21)|male</v>
      </c>
      <c r="J596" s="34" t="n">
        <f aca="false" t="array" ref="J596:J596">MEDIAN(IF($I$4:$I$1803=I596,$H$4:$H$1803))</f>
        <v>3033</v>
      </c>
      <c r="K596" s="59" t="n">
        <f aca="false">H596/J596</f>
        <v>0.950873722387076</v>
      </c>
    </row>
    <row r="597" customFormat="false" ht="15" hidden="false" customHeight="false" outlineLevel="0" collapsed="false">
      <c r="A597" s="39" t="s">
        <v>879</v>
      </c>
      <c r="B597" s="39" t="s">
        <v>909</v>
      </c>
      <c r="C597" s="39" t="s">
        <v>907</v>
      </c>
      <c r="D597" s="39" t="s">
        <v>885</v>
      </c>
      <c r="E597" s="39" t="s">
        <v>884</v>
      </c>
      <c r="F597" s="39"/>
      <c r="G597" s="58" t="n">
        <v>1389</v>
      </c>
      <c r="H597" s="34" t="n">
        <f aca="false">G597*2</f>
        <v>2778</v>
      </c>
      <c r="I597" s="39" t="str">
        <f aca="false">A597&amp;"|"&amp;B597&amp;"|"&amp;D597&amp;"|"&amp;E597&amp;F597</f>
        <v>auto|Lawton|scenario B (age 21)|female</v>
      </c>
      <c r="J597" s="34" t="n">
        <f aca="false" t="array" ref="J597:J597">MEDIAN(IF($I$4:$I$1803=I597,$H$4:$H$1803))</f>
        <v>2769</v>
      </c>
      <c r="K597" s="59" t="n">
        <f aca="false">H597/J597</f>
        <v>1.0032502708559</v>
      </c>
    </row>
    <row r="598" customFormat="false" ht="15" hidden="false" customHeight="false" outlineLevel="0" collapsed="false">
      <c r="A598" s="39" t="s">
        <v>879</v>
      </c>
      <c r="B598" s="39" t="s">
        <v>909</v>
      </c>
      <c r="C598" s="39" t="s">
        <v>907</v>
      </c>
      <c r="D598" s="39" t="s">
        <v>886</v>
      </c>
      <c r="E598" s="39" t="s">
        <v>883</v>
      </c>
      <c r="F598" s="39"/>
      <c r="G598" s="58" t="n">
        <v>806</v>
      </c>
      <c r="H598" s="34" t="n">
        <f aca="false">G598*2</f>
        <v>1612</v>
      </c>
      <c r="I598" s="39" t="str">
        <f aca="false">A598&amp;"|"&amp;B598&amp;"|"&amp;D598&amp;"|"&amp;E598&amp;F598</f>
        <v>auto|Lawton|scenario C (age 36)|male</v>
      </c>
      <c r="J598" s="34" t="n">
        <f aca="false" t="array" ref="J598:J598">MEDIAN(IF($I$4:$I$1803=I598,$H$4:$H$1803))</f>
        <v>1878</v>
      </c>
      <c r="K598" s="59" t="n">
        <f aca="false">H598/J598</f>
        <v>0.858359957401491</v>
      </c>
    </row>
    <row r="599" customFormat="false" ht="15" hidden="false" customHeight="false" outlineLevel="0" collapsed="false">
      <c r="A599" s="39" t="s">
        <v>879</v>
      </c>
      <c r="B599" s="39" t="s">
        <v>909</v>
      </c>
      <c r="C599" s="39" t="s">
        <v>907</v>
      </c>
      <c r="D599" s="39" t="s">
        <v>886</v>
      </c>
      <c r="E599" s="39" t="s">
        <v>884</v>
      </c>
      <c r="F599" s="39"/>
      <c r="G599" s="58" t="n">
        <v>787</v>
      </c>
      <c r="H599" s="34" t="n">
        <f aca="false">G599*2</f>
        <v>1574</v>
      </c>
      <c r="I599" s="39" t="str">
        <f aca="false">A599&amp;"|"&amp;B599&amp;"|"&amp;D599&amp;"|"&amp;E599&amp;F599</f>
        <v>auto|Lawton|scenario C (age 36)|female</v>
      </c>
      <c r="J599" s="34" t="n">
        <f aca="false" t="array" ref="J599:J599">MEDIAN(IF($I$4:$I$1803=I599,$H$4:$H$1803))</f>
        <v>1834</v>
      </c>
      <c r="K599" s="59" t="n">
        <f aca="false">H599/J599</f>
        <v>0.858233369683751</v>
      </c>
    </row>
    <row r="600" customFormat="false" ht="15" hidden="false" customHeight="false" outlineLevel="0" collapsed="false">
      <c r="A600" s="39" t="s">
        <v>879</v>
      </c>
      <c r="B600" s="39" t="s">
        <v>909</v>
      </c>
      <c r="C600" s="39" t="s">
        <v>907</v>
      </c>
      <c r="D600" s="39" t="s">
        <v>887</v>
      </c>
      <c r="E600" s="39" t="s">
        <v>883</v>
      </c>
      <c r="F600" s="39"/>
      <c r="G600" s="58" t="n">
        <v>715</v>
      </c>
      <c r="H600" s="34" t="n">
        <f aca="false">G600*2</f>
        <v>1430</v>
      </c>
      <c r="I600" s="39" t="str">
        <f aca="false">A600&amp;"|"&amp;B600&amp;"|"&amp;D600&amp;"|"&amp;E600&amp;F600</f>
        <v>auto|Lawton|scenario D (age 55)|male</v>
      </c>
      <c r="J600" s="34" t="n">
        <f aca="false" t="array" ref="J600:J600">MEDIAN(IF($I$4:$I$1803=I600,$H$4:$H$1803))</f>
        <v>1582</v>
      </c>
      <c r="K600" s="59" t="n">
        <f aca="false">H600/J600</f>
        <v>0.903919089759798</v>
      </c>
    </row>
    <row r="601" customFormat="false" ht="15" hidden="false" customHeight="false" outlineLevel="0" collapsed="false">
      <c r="A601" s="39" t="s">
        <v>879</v>
      </c>
      <c r="B601" s="39" t="s">
        <v>909</v>
      </c>
      <c r="C601" s="39" t="s">
        <v>907</v>
      </c>
      <c r="D601" s="39" t="s">
        <v>887</v>
      </c>
      <c r="E601" s="39" t="s">
        <v>884</v>
      </c>
      <c r="F601" s="39"/>
      <c r="G601" s="58" t="n">
        <v>713</v>
      </c>
      <c r="H601" s="34" t="n">
        <f aca="false">G601*2</f>
        <v>1426</v>
      </c>
      <c r="I601" s="39" t="str">
        <f aca="false">A601&amp;"|"&amp;B601&amp;"|"&amp;D601&amp;"|"&amp;E601&amp;F601</f>
        <v>auto|Lawton|scenario D (age 55)|female</v>
      </c>
      <c r="J601" s="34" t="n">
        <f aca="false" t="array" ref="J601:J601">MEDIAN(IF($I$4:$I$1803=I601,$H$4:$H$1803))</f>
        <v>1515</v>
      </c>
      <c r="K601" s="59" t="n">
        <f aca="false">H601/J601</f>
        <v>0.941254125412541</v>
      </c>
    </row>
    <row r="602" customFormat="false" ht="15" hidden="false" customHeight="false" outlineLevel="0" collapsed="false">
      <c r="A602" s="39" t="s">
        <v>879</v>
      </c>
      <c r="B602" s="39" t="s">
        <v>909</v>
      </c>
      <c r="C602" s="39" t="s">
        <v>907</v>
      </c>
      <c r="D602" s="39" t="s">
        <v>888</v>
      </c>
      <c r="E602" s="39" t="s">
        <v>883</v>
      </c>
      <c r="F602" s="39"/>
      <c r="G602" s="58" t="n">
        <v>731</v>
      </c>
      <c r="H602" s="34" t="n">
        <f aca="false">G602*2</f>
        <v>1462</v>
      </c>
      <c r="I602" s="39" t="str">
        <f aca="false">A602&amp;"|"&amp;B602&amp;"|"&amp;D602&amp;"|"&amp;E602&amp;F602</f>
        <v>auto|Lawton|scenario E (age 70)|male</v>
      </c>
      <c r="J602" s="34" t="n">
        <f aca="false" t="array" ref="J602:J602">MEDIAN(IF($I$4:$I$1803=I602,$H$4:$H$1803))</f>
        <v>1386</v>
      </c>
      <c r="K602" s="59" t="n">
        <f aca="false">H602/J602</f>
        <v>1.05483405483406</v>
      </c>
    </row>
    <row r="603" customFormat="false" ht="15" hidden="false" customHeight="false" outlineLevel="0" collapsed="false">
      <c r="A603" s="39" t="s">
        <v>879</v>
      </c>
      <c r="B603" s="39" t="s">
        <v>909</v>
      </c>
      <c r="C603" s="39" t="s">
        <v>907</v>
      </c>
      <c r="D603" s="39" t="s">
        <v>888</v>
      </c>
      <c r="E603" s="39" t="s">
        <v>884</v>
      </c>
      <c r="F603" s="39"/>
      <c r="G603" s="58" t="n">
        <v>736</v>
      </c>
      <c r="H603" s="34" t="n">
        <f aca="false">G603*2</f>
        <v>1472</v>
      </c>
      <c r="I603" s="39" t="str">
        <f aca="false">A603&amp;"|"&amp;B603&amp;"|"&amp;D603&amp;"|"&amp;E603&amp;F603</f>
        <v>auto|Lawton|scenario E (age 70)|female</v>
      </c>
      <c r="J603" s="34" t="n">
        <f aca="false" t="array" ref="J603:J603">MEDIAN(IF($I$4:$I$1803=I603,$H$4:$H$1803))</f>
        <v>1396</v>
      </c>
      <c r="K603" s="59" t="n">
        <f aca="false">H603/J603</f>
        <v>1.05444126074499</v>
      </c>
    </row>
    <row r="604" customFormat="false" ht="15" hidden="false" customHeight="false" outlineLevel="0" collapsed="false">
      <c r="A604" s="39" t="s">
        <v>879</v>
      </c>
      <c r="B604" s="39" t="s">
        <v>910</v>
      </c>
      <c r="C604" s="39" t="s">
        <v>881</v>
      </c>
      <c r="D604" s="39" t="s">
        <v>882</v>
      </c>
      <c r="E604" s="39" t="s">
        <v>883</v>
      </c>
      <c r="F604" s="39"/>
      <c r="G604" s="58" t="n">
        <v>4981</v>
      </c>
      <c r="H604" s="34" t="n">
        <f aca="false">G604*2</f>
        <v>9962</v>
      </c>
      <c r="I604" s="39" t="str">
        <f aca="false">A604&amp;"|"&amp;B604&amp;"|"&amp;D604&amp;"|"&amp;E604&amp;F604</f>
        <v>auto|Woodward|scenario A (age 16)|male</v>
      </c>
      <c r="J604" s="34" t="n">
        <f aca="false" t="array" ref="J604:J604">MEDIAN(IF($I$4:$I$1803=I604,$H$4:$H$1803))</f>
        <v>6758</v>
      </c>
      <c r="K604" s="59" t="n">
        <f aca="false">H604/J604</f>
        <v>1.47410476472329</v>
      </c>
    </row>
    <row r="605" customFormat="false" ht="15" hidden="false" customHeight="false" outlineLevel="0" collapsed="false">
      <c r="A605" s="39" t="s">
        <v>879</v>
      </c>
      <c r="B605" s="39" t="s">
        <v>910</v>
      </c>
      <c r="C605" s="39" t="s">
        <v>881</v>
      </c>
      <c r="D605" s="39" t="s">
        <v>882</v>
      </c>
      <c r="E605" s="39" t="s">
        <v>884</v>
      </c>
      <c r="F605" s="39"/>
      <c r="G605" s="58" t="n">
        <v>4557</v>
      </c>
      <c r="H605" s="34" t="n">
        <f aca="false">G605*2</f>
        <v>9114</v>
      </c>
      <c r="I605" s="39" t="str">
        <f aca="false">A605&amp;"|"&amp;B605&amp;"|"&amp;D605&amp;"|"&amp;E605&amp;F605</f>
        <v>auto|Woodward|scenario A (age 16)|female</v>
      </c>
      <c r="J605" s="34" t="n">
        <f aca="false" t="array" ref="J605:J605">MEDIAN(IF($I$4:$I$1803=I605,$H$4:$H$1803))</f>
        <v>5463</v>
      </c>
      <c r="K605" s="59" t="n">
        <f aca="false">H605/J605</f>
        <v>1.66831411312466</v>
      </c>
    </row>
    <row r="606" customFormat="false" ht="15" hidden="false" customHeight="false" outlineLevel="0" collapsed="false">
      <c r="A606" s="39" t="s">
        <v>879</v>
      </c>
      <c r="B606" s="39" t="s">
        <v>910</v>
      </c>
      <c r="C606" s="39" t="s">
        <v>881</v>
      </c>
      <c r="D606" s="39" t="s">
        <v>885</v>
      </c>
      <c r="E606" s="39" t="s">
        <v>883</v>
      </c>
      <c r="F606" s="39"/>
      <c r="G606" s="58" t="n">
        <v>1660</v>
      </c>
      <c r="H606" s="34" t="n">
        <f aca="false">G606*2</f>
        <v>3320</v>
      </c>
      <c r="I606" s="39" t="str">
        <f aca="false">A606&amp;"|"&amp;B606&amp;"|"&amp;D606&amp;"|"&amp;E606&amp;F606</f>
        <v>auto|Woodward|scenario B (age 21)|male</v>
      </c>
      <c r="J606" s="34" t="n">
        <f aca="false" t="array" ref="J606:J606">MEDIAN(IF($I$4:$I$1803=I606,$H$4:$H$1803))</f>
        <v>3072</v>
      </c>
      <c r="K606" s="59" t="n">
        <f aca="false">H606/J606</f>
        <v>1.08072916666667</v>
      </c>
    </row>
    <row r="607" customFormat="false" ht="15" hidden="false" customHeight="false" outlineLevel="0" collapsed="false">
      <c r="A607" s="39" t="s">
        <v>879</v>
      </c>
      <c r="B607" s="39" t="s">
        <v>910</v>
      </c>
      <c r="C607" s="39" t="s">
        <v>881</v>
      </c>
      <c r="D607" s="39" t="s">
        <v>885</v>
      </c>
      <c r="E607" s="39" t="s">
        <v>884</v>
      </c>
      <c r="F607" s="39"/>
      <c r="G607" s="58" t="n">
        <v>1357</v>
      </c>
      <c r="H607" s="34" t="n">
        <f aca="false">G607*2</f>
        <v>2714</v>
      </c>
      <c r="I607" s="39" t="str">
        <f aca="false">A607&amp;"|"&amp;B607&amp;"|"&amp;D607&amp;"|"&amp;E607&amp;F607</f>
        <v>auto|Woodward|scenario B (age 21)|female</v>
      </c>
      <c r="J607" s="34" t="n">
        <f aca="false" t="array" ref="J607:J607">MEDIAN(IF($I$4:$I$1803=I607,$H$4:$H$1803))</f>
        <v>2716</v>
      </c>
      <c r="K607" s="59" t="n">
        <f aca="false">H607/J607</f>
        <v>0.999263622974963</v>
      </c>
    </row>
    <row r="608" customFormat="false" ht="15" hidden="false" customHeight="false" outlineLevel="0" collapsed="false">
      <c r="A608" s="39" t="s">
        <v>879</v>
      </c>
      <c r="B608" s="39" t="s">
        <v>910</v>
      </c>
      <c r="C608" s="39" t="s">
        <v>881</v>
      </c>
      <c r="D608" s="39" t="s">
        <v>886</v>
      </c>
      <c r="E608" s="39" t="s">
        <v>883</v>
      </c>
      <c r="F608" s="39"/>
      <c r="G608" s="58" t="n">
        <v>898</v>
      </c>
      <c r="H608" s="34" t="n">
        <f aca="false">G608*2</f>
        <v>1796</v>
      </c>
      <c r="I608" s="39" t="str">
        <f aca="false">A608&amp;"|"&amp;B608&amp;"|"&amp;D608&amp;"|"&amp;E608&amp;F608</f>
        <v>auto|Woodward|scenario C (age 36)|male</v>
      </c>
      <c r="J608" s="34" t="n">
        <f aca="false" t="array" ref="J608:J608">MEDIAN(IF($I$4:$I$1803=I608,$H$4:$H$1803))</f>
        <v>1834</v>
      </c>
      <c r="K608" s="59" t="n">
        <f aca="false">H608/J608</f>
        <v>0.97928026172301</v>
      </c>
    </row>
    <row r="609" customFormat="false" ht="15" hidden="false" customHeight="false" outlineLevel="0" collapsed="false">
      <c r="A609" s="39" t="s">
        <v>879</v>
      </c>
      <c r="B609" s="39" t="s">
        <v>910</v>
      </c>
      <c r="C609" s="39" t="s">
        <v>881</v>
      </c>
      <c r="D609" s="39" t="s">
        <v>886</v>
      </c>
      <c r="E609" s="39" t="s">
        <v>884</v>
      </c>
      <c r="F609" s="39"/>
      <c r="G609" s="58" t="n">
        <v>890</v>
      </c>
      <c r="H609" s="34" t="n">
        <f aca="false">G609*2</f>
        <v>1780</v>
      </c>
      <c r="I609" s="39" t="str">
        <f aca="false">A609&amp;"|"&amp;B609&amp;"|"&amp;D609&amp;"|"&amp;E609&amp;F609</f>
        <v>auto|Woodward|scenario C (age 36)|female</v>
      </c>
      <c r="J609" s="34" t="n">
        <f aca="false" t="array" ref="J609:J609">MEDIAN(IF($I$4:$I$1803=I609,$H$4:$H$1803))</f>
        <v>1768</v>
      </c>
      <c r="K609" s="59" t="n">
        <f aca="false">H609/J609</f>
        <v>1.00678733031674</v>
      </c>
    </row>
    <row r="610" customFormat="false" ht="15" hidden="false" customHeight="false" outlineLevel="0" collapsed="false">
      <c r="A610" s="39" t="s">
        <v>879</v>
      </c>
      <c r="B610" s="39" t="s">
        <v>910</v>
      </c>
      <c r="C610" s="39" t="s">
        <v>881</v>
      </c>
      <c r="D610" s="39" t="s">
        <v>887</v>
      </c>
      <c r="E610" s="39" t="s">
        <v>883</v>
      </c>
      <c r="F610" s="39"/>
      <c r="G610" s="58" t="n">
        <v>870</v>
      </c>
      <c r="H610" s="34" t="n">
        <f aca="false">G610*2</f>
        <v>1740</v>
      </c>
      <c r="I610" s="39" t="str">
        <f aca="false">A610&amp;"|"&amp;B610&amp;"|"&amp;D610&amp;"|"&amp;E610&amp;F610</f>
        <v>auto|Woodward|scenario D (age 55)|male</v>
      </c>
      <c r="J610" s="34" t="n">
        <f aca="false" t="array" ref="J610:J610">MEDIAN(IF($I$4:$I$1803=I610,$H$4:$H$1803))</f>
        <v>1551</v>
      </c>
      <c r="K610" s="59" t="n">
        <f aca="false">H610/J610</f>
        <v>1.12185686653772</v>
      </c>
    </row>
    <row r="611" customFormat="false" ht="15" hidden="false" customHeight="false" outlineLevel="0" collapsed="false">
      <c r="A611" s="39" t="s">
        <v>879</v>
      </c>
      <c r="B611" s="39" t="s">
        <v>910</v>
      </c>
      <c r="C611" s="39" t="s">
        <v>881</v>
      </c>
      <c r="D611" s="39" t="s">
        <v>887</v>
      </c>
      <c r="E611" s="39" t="s">
        <v>884</v>
      </c>
      <c r="F611" s="39"/>
      <c r="G611" s="58" t="n">
        <v>823</v>
      </c>
      <c r="H611" s="34" t="n">
        <f aca="false">G611*2</f>
        <v>1646</v>
      </c>
      <c r="I611" s="39" t="str">
        <f aca="false">A611&amp;"|"&amp;B611&amp;"|"&amp;D611&amp;"|"&amp;E611&amp;F611</f>
        <v>auto|Woodward|scenario D (age 55)|female</v>
      </c>
      <c r="J611" s="34" t="n">
        <f aca="false" t="array" ref="J611:J611">MEDIAN(IF($I$4:$I$1803=I611,$H$4:$H$1803))</f>
        <v>1551</v>
      </c>
      <c r="K611" s="59" t="n">
        <f aca="false">H611/J611</f>
        <v>1.06125080593166</v>
      </c>
    </row>
    <row r="612" customFormat="false" ht="15" hidden="false" customHeight="false" outlineLevel="0" collapsed="false">
      <c r="A612" s="39" t="s">
        <v>879</v>
      </c>
      <c r="B612" s="39" t="s">
        <v>910</v>
      </c>
      <c r="C612" s="39" t="s">
        <v>881</v>
      </c>
      <c r="D612" s="39" t="s">
        <v>888</v>
      </c>
      <c r="E612" s="39" t="s">
        <v>883</v>
      </c>
      <c r="F612" s="39"/>
      <c r="G612" s="58" t="n">
        <v>904</v>
      </c>
      <c r="H612" s="34" t="n">
        <f aca="false">G612*2</f>
        <v>1808</v>
      </c>
      <c r="I612" s="39" t="str">
        <f aca="false">A612&amp;"|"&amp;B612&amp;"|"&amp;D612&amp;"|"&amp;E612&amp;F612</f>
        <v>auto|Woodward|scenario E (age 70)|male</v>
      </c>
      <c r="J612" s="34" t="n">
        <f aca="false" t="array" ref="J612:J612">MEDIAN(IF($I$4:$I$1803=I612,$H$4:$H$1803))</f>
        <v>1442</v>
      </c>
      <c r="K612" s="59" t="n">
        <f aca="false">H612/J612</f>
        <v>1.25381414701803</v>
      </c>
    </row>
    <row r="613" customFormat="false" ht="15" hidden="false" customHeight="false" outlineLevel="0" collapsed="false">
      <c r="A613" s="39" t="s">
        <v>879</v>
      </c>
      <c r="B613" s="39" t="s">
        <v>910</v>
      </c>
      <c r="C613" s="39" t="s">
        <v>881</v>
      </c>
      <c r="D613" s="39" t="s">
        <v>888</v>
      </c>
      <c r="E613" s="39" t="s">
        <v>884</v>
      </c>
      <c r="F613" s="39"/>
      <c r="G613" s="58" t="n">
        <v>856</v>
      </c>
      <c r="H613" s="34" t="n">
        <f aca="false">G613*2</f>
        <v>1712</v>
      </c>
      <c r="I613" s="39" t="str">
        <f aca="false">A613&amp;"|"&amp;B613&amp;"|"&amp;D613&amp;"|"&amp;E613&amp;F613</f>
        <v>auto|Woodward|scenario E (age 70)|female</v>
      </c>
      <c r="J613" s="34" t="n">
        <f aca="false" t="array" ref="J613:J613">MEDIAN(IF($I$4:$I$1803=I613,$H$4:$H$1803))</f>
        <v>1425</v>
      </c>
      <c r="K613" s="59" t="n">
        <f aca="false">H613/J613</f>
        <v>1.20140350877193</v>
      </c>
    </row>
    <row r="614" customFormat="false" ht="15" hidden="false" customHeight="false" outlineLevel="0" collapsed="false">
      <c r="A614" s="39" t="s">
        <v>879</v>
      </c>
      <c r="B614" s="39" t="s">
        <v>910</v>
      </c>
      <c r="C614" s="39" t="s">
        <v>889</v>
      </c>
      <c r="D614" s="39" t="s">
        <v>882</v>
      </c>
      <c r="E614" s="39" t="s">
        <v>883</v>
      </c>
      <c r="F614" s="39"/>
      <c r="G614" s="58" t="n">
        <v>2656</v>
      </c>
      <c r="H614" s="34" t="n">
        <f aca="false">G614*2</f>
        <v>5312</v>
      </c>
      <c r="I614" s="39" t="str">
        <f aca="false">A614&amp;"|"&amp;B614&amp;"|"&amp;D614&amp;"|"&amp;E614&amp;F614</f>
        <v>auto|Woodward|scenario A (age 16)|male</v>
      </c>
      <c r="J614" s="34" t="n">
        <f aca="false" t="array" ref="J614:J614">MEDIAN(IF($I$4:$I$1803=I614,$H$4:$H$1803))</f>
        <v>6758</v>
      </c>
      <c r="K614" s="59" t="n">
        <f aca="false">H614/J614</f>
        <v>0.786031370227878</v>
      </c>
    </row>
    <row r="615" customFormat="false" ht="15" hidden="false" customHeight="false" outlineLevel="0" collapsed="false">
      <c r="A615" s="39" t="s">
        <v>879</v>
      </c>
      <c r="B615" s="39" t="s">
        <v>910</v>
      </c>
      <c r="C615" s="39" t="s">
        <v>889</v>
      </c>
      <c r="D615" s="39" t="s">
        <v>882</v>
      </c>
      <c r="E615" s="39" t="s">
        <v>884</v>
      </c>
      <c r="F615" s="39"/>
      <c r="G615" s="58" t="n">
        <v>2554</v>
      </c>
      <c r="H615" s="34" t="n">
        <f aca="false">G615*2</f>
        <v>5108</v>
      </c>
      <c r="I615" s="39" t="str">
        <f aca="false">A615&amp;"|"&amp;B615&amp;"|"&amp;D615&amp;"|"&amp;E615&amp;F615</f>
        <v>auto|Woodward|scenario A (age 16)|female</v>
      </c>
      <c r="J615" s="34" t="n">
        <f aca="false" t="array" ref="J615:J615">MEDIAN(IF($I$4:$I$1803=I615,$H$4:$H$1803))</f>
        <v>5463</v>
      </c>
      <c r="K615" s="59" t="n">
        <f aca="false">H615/J615</f>
        <v>0.935017389712612</v>
      </c>
    </row>
    <row r="616" customFormat="false" ht="15" hidden="false" customHeight="false" outlineLevel="0" collapsed="false">
      <c r="A616" s="39" t="s">
        <v>879</v>
      </c>
      <c r="B616" s="39" t="s">
        <v>910</v>
      </c>
      <c r="C616" s="39" t="s">
        <v>889</v>
      </c>
      <c r="D616" s="39" t="s">
        <v>885</v>
      </c>
      <c r="E616" s="39" t="s">
        <v>883</v>
      </c>
      <c r="F616" s="39"/>
      <c r="G616" s="58" t="n">
        <v>1896</v>
      </c>
      <c r="H616" s="34" t="n">
        <f aca="false">G616*2</f>
        <v>3792</v>
      </c>
      <c r="I616" s="39" t="str">
        <f aca="false">A616&amp;"|"&amp;B616&amp;"|"&amp;D616&amp;"|"&amp;E616&amp;F616</f>
        <v>auto|Woodward|scenario B (age 21)|male</v>
      </c>
      <c r="J616" s="34" t="n">
        <f aca="false" t="array" ref="J616:J616">MEDIAN(IF($I$4:$I$1803=I616,$H$4:$H$1803))</f>
        <v>3072</v>
      </c>
      <c r="K616" s="59" t="n">
        <f aca="false">H616/J616</f>
        <v>1.234375</v>
      </c>
    </row>
    <row r="617" customFormat="false" ht="15" hidden="false" customHeight="false" outlineLevel="0" collapsed="false">
      <c r="A617" s="39" t="s">
        <v>879</v>
      </c>
      <c r="B617" s="39" t="s">
        <v>910</v>
      </c>
      <c r="C617" s="39" t="s">
        <v>889</v>
      </c>
      <c r="D617" s="39" t="s">
        <v>885</v>
      </c>
      <c r="E617" s="39" t="s">
        <v>884</v>
      </c>
      <c r="F617" s="39"/>
      <c r="G617" s="58" t="n">
        <v>1829</v>
      </c>
      <c r="H617" s="34" t="n">
        <f aca="false">G617*2</f>
        <v>3658</v>
      </c>
      <c r="I617" s="39" t="str">
        <f aca="false">A617&amp;"|"&amp;B617&amp;"|"&amp;D617&amp;"|"&amp;E617&amp;F617</f>
        <v>auto|Woodward|scenario B (age 21)|female</v>
      </c>
      <c r="J617" s="34" t="n">
        <f aca="false" t="array" ref="J617:J617">MEDIAN(IF($I$4:$I$1803=I617,$H$4:$H$1803))</f>
        <v>2716</v>
      </c>
      <c r="K617" s="59" t="n">
        <f aca="false">H617/J617</f>
        <v>1.34683357879234</v>
      </c>
    </row>
    <row r="618" customFormat="false" ht="15" hidden="false" customHeight="false" outlineLevel="0" collapsed="false">
      <c r="A618" s="39" t="s">
        <v>879</v>
      </c>
      <c r="B618" s="39" t="s">
        <v>910</v>
      </c>
      <c r="C618" s="39" t="s">
        <v>889</v>
      </c>
      <c r="D618" s="39" t="s">
        <v>886</v>
      </c>
      <c r="E618" s="39" t="s">
        <v>883</v>
      </c>
      <c r="F618" s="39"/>
      <c r="G618" s="58" t="n">
        <v>1312</v>
      </c>
      <c r="H618" s="34" t="n">
        <f aca="false">G618*2</f>
        <v>2624</v>
      </c>
      <c r="I618" s="39" t="str">
        <f aca="false">A618&amp;"|"&amp;B618&amp;"|"&amp;D618&amp;"|"&amp;E618&amp;F618</f>
        <v>auto|Woodward|scenario C (age 36)|male</v>
      </c>
      <c r="J618" s="34" t="n">
        <f aca="false" t="array" ref="J618:J618">MEDIAN(IF($I$4:$I$1803=I618,$H$4:$H$1803))</f>
        <v>1834</v>
      </c>
      <c r="K618" s="59" t="n">
        <f aca="false">H618/J618</f>
        <v>1.43075245365322</v>
      </c>
    </row>
    <row r="619" customFormat="false" ht="15" hidden="false" customHeight="false" outlineLevel="0" collapsed="false">
      <c r="A619" s="39" t="s">
        <v>879</v>
      </c>
      <c r="B619" s="39" t="s">
        <v>910</v>
      </c>
      <c r="C619" s="39" t="s">
        <v>889</v>
      </c>
      <c r="D619" s="39" t="s">
        <v>886</v>
      </c>
      <c r="E619" s="39" t="s">
        <v>884</v>
      </c>
      <c r="F619" s="39"/>
      <c r="G619" s="58" t="n">
        <v>1273</v>
      </c>
      <c r="H619" s="34" t="n">
        <f aca="false">G619*2</f>
        <v>2546</v>
      </c>
      <c r="I619" s="39" t="str">
        <f aca="false">A619&amp;"|"&amp;B619&amp;"|"&amp;D619&amp;"|"&amp;E619&amp;F619</f>
        <v>auto|Woodward|scenario C (age 36)|female</v>
      </c>
      <c r="J619" s="34" t="n">
        <f aca="false" t="array" ref="J619:J619">MEDIAN(IF($I$4:$I$1803=I619,$H$4:$H$1803))</f>
        <v>1768</v>
      </c>
      <c r="K619" s="59" t="n">
        <f aca="false">H619/J619</f>
        <v>1.44004524886878</v>
      </c>
    </row>
    <row r="620" customFormat="false" ht="15" hidden="false" customHeight="false" outlineLevel="0" collapsed="false">
      <c r="A620" s="39" t="s">
        <v>879</v>
      </c>
      <c r="B620" s="39" t="s">
        <v>910</v>
      </c>
      <c r="C620" s="39" t="s">
        <v>889</v>
      </c>
      <c r="D620" s="39" t="s">
        <v>887</v>
      </c>
      <c r="E620" s="39" t="s">
        <v>883</v>
      </c>
      <c r="F620" s="39"/>
      <c r="G620" s="58" t="n">
        <v>1292</v>
      </c>
      <c r="H620" s="34" t="n">
        <f aca="false">G620*2</f>
        <v>2584</v>
      </c>
      <c r="I620" s="39" t="str">
        <f aca="false">A620&amp;"|"&amp;B620&amp;"|"&amp;D620&amp;"|"&amp;E620&amp;F620</f>
        <v>auto|Woodward|scenario D (age 55)|male</v>
      </c>
      <c r="J620" s="34" t="n">
        <f aca="false" t="array" ref="J620:J620">MEDIAN(IF($I$4:$I$1803=I620,$H$4:$H$1803))</f>
        <v>1551</v>
      </c>
      <c r="K620" s="59" t="n">
        <f aca="false">H620/J620</f>
        <v>1.66602192134107</v>
      </c>
    </row>
    <row r="621" customFormat="false" ht="15" hidden="false" customHeight="false" outlineLevel="0" collapsed="false">
      <c r="A621" s="39" t="s">
        <v>879</v>
      </c>
      <c r="B621" s="39" t="s">
        <v>910</v>
      </c>
      <c r="C621" s="39" t="s">
        <v>889</v>
      </c>
      <c r="D621" s="39" t="s">
        <v>887</v>
      </c>
      <c r="E621" s="39" t="s">
        <v>884</v>
      </c>
      <c r="F621" s="39"/>
      <c r="G621" s="58" t="n">
        <v>1255</v>
      </c>
      <c r="H621" s="34" t="n">
        <f aca="false">G621*2</f>
        <v>2510</v>
      </c>
      <c r="I621" s="39" t="str">
        <f aca="false">A621&amp;"|"&amp;B621&amp;"|"&amp;D621&amp;"|"&amp;E621&amp;F621</f>
        <v>auto|Woodward|scenario D (age 55)|female</v>
      </c>
      <c r="J621" s="34" t="n">
        <f aca="false" t="array" ref="J621:J621">MEDIAN(IF($I$4:$I$1803=I621,$H$4:$H$1803))</f>
        <v>1551</v>
      </c>
      <c r="K621" s="59" t="n">
        <f aca="false">H621/J621</f>
        <v>1.61831076724694</v>
      </c>
    </row>
    <row r="622" customFormat="false" ht="15" hidden="false" customHeight="false" outlineLevel="0" collapsed="false">
      <c r="A622" s="39" t="s">
        <v>879</v>
      </c>
      <c r="B622" s="39" t="s">
        <v>910</v>
      </c>
      <c r="C622" s="39" t="s">
        <v>889</v>
      </c>
      <c r="D622" s="39" t="s">
        <v>888</v>
      </c>
      <c r="E622" s="39" t="s">
        <v>883</v>
      </c>
      <c r="F622" s="39"/>
      <c r="G622" s="58" t="n">
        <v>1273</v>
      </c>
      <c r="H622" s="34" t="n">
        <f aca="false">G622*2</f>
        <v>2546</v>
      </c>
      <c r="I622" s="39" t="str">
        <f aca="false">A622&amp;"|"&amp;B622&amp;"|"&amp;D622&amp;"|"&amp;E622&amp;F622</f>
        <v>auto|Woodward|scenario E (age 70)|male</v>
      </c>
      <c r="J622" s="34" t="n">
        <f aca="false" t="array" ref="J622:J622">MEDIAN(IF($I$4:$I$1803=I622,$H$4:$H$1803))</f>
        <v>1442</v>
      </c>
      <c r="K622" s="59" t="n">
        <f aca="false">H622/J622</f>
        <v>1.76560332871013</v>
      </c>
    </row>
    <row r="623" customFormat="false" ht="15" hidden="false" customHeight="false" outlineLevel="0" collapsed="false">
      <c r="A623" s="39" t="s">
        <v>879</v>
      </c>
      <c r="B623" s="39" t="s">
        <v>910</v>
      </c>
      <c r="C623" s="39" t="s">
        <v>889</v>
      </c>
      <c r="D623" s="39" t="s">
        <v>888</v>
      </c>
      <c r="E623" s="39" t="s">
        <v>884</v>
      </c>
      <c r="F623" s="39"/>
      <c r="G623" s="58" t="n">
        <v>1237</v>
      </c>
      <c r="H623" s="34" t="n">
        <f aca="false">G623*2</f>
        <v>2474</v>
      </c>
      <c r="I623" s="39" t="str">
        <f aca="false">A623&amp;"|"&amp;B623&amp;"|"&amp;D623&amp;"|"&amp;E623&amp;F623</f>
        <v>auto|Woodward|scenario E (age 70)|female</v>
      </c>
      <c r="J623" s="34" t="n">
        <f aca="false" t="array" ref="J623:J623">MEDIAN(IF($I$4:$I$1803=I623,$H$4:$H$1803))</f>
        <v>1425</v>
      </c>
      <c r="K623" s="59" t="n">
        <f aca="false">H623/J623</f>
        <v>1.73614035087719</v>
      </c>
    </row>
    <row r="624" customFormat="false" ht="15" hidden="false" customHeight="false" outlineLevel="0" collapsed="false">
      <c r="A624" s="39" t="s">
        <v>879</v>
      </c>
      <c r="B624" s="39" t="s">
        <v>910</v>
      </c>
      <c r="C624" s="39" t="s">
        <v>890</v>
      </c>
      <c r="D624" s="39" t="s">
        <v>882</v>
      </c>
      <c r="E624" s="39" t="s">
        <v>883</v>
      </c>
      <c r="F624" s="39"/>
      <c r="G624" s="58" t="n">
        <v>3420</v>
      </c>
      <c r="H624" s="34" t="n">
        <f aca="false">G624*2</f>
        <v>6840</v>
      </c>
      <c r="I624" s="39" t="str">
        <f aca="false">A624&amp;"|"&amp;B624&amp;"|"&amp;D624&amp;"|"&amp;E624&amp;F624</f>
        <v>auto|Woodward|scenario A (age 16)|male</v>
      </c>
      <c r="J624" s="34" t="n">
        <f aca="false" t="array" ref="J624:J624">MEDIAN(IF($I$4:$I$1803=I624,$H$4:$H$1803))</f>
        <v>6758</v>
      </c>
      <c r="K624" s="59" t="n">
        <f aca="false">H624/J624</f>
        <v>1.0121337673868</v>
      </c>
    </row>
    <row r="625" customFormat="false" ht="15" hidden="false" customHeight="false" outlineLevel="0" collapsed="false">
      <c r="A625" s="39" t="s">
        <v>879</v>
      </c>
      <c r="B625" s="39" t="s">
        <v>910</v>
      </c>
      <c r="C625" s="39" t="s">
        <v>890</v>
      </c>
      <c r="D625" s="39" t="s">
        <v>882</v>
      </c>
      <c r="E625" s="39" t="s">
        <v>884</v>
      </c>
      <c r="F625" s="39"/>
      <c r="G625" s="58" t="n">
        <v>2961</v>
      </c>
      <c r="H625" s="34" t="n">
        <f aca="false">G625*2</f>
        <v>5922</v>
      </c>
      <c r="I625" s="39" t="str">
        <f aca="false">A625&amp;"|"&amp;B625&amp;"|"&amp;D625&amp;"|"&amp;E625&amp;F625</f>
        <v>auto|Woodward|scenario A (age 16)|female</v>
      </c>
      <c r="J625" s="34" t="n">
        <f aca="false" t="array" ref="J625:J625">MEDIAN(IF($I$4:$I$1803=I625,$H$4:$H$1803))</f>
        <v>5463</v>
      </c>
      <c r="K625" s="59" t="n">
        <f aca="false">H625/J625</f>
        <v>1.0840197693575</v>
      </c>
    </row>
    <row r="626" customFormat="false" ht="15" hidden="false" customHeight="false" outlineLevel="0" collapsed="false">
      <c r="A626" s="39" t="s">
        <v>879</v>
      </c>
      <c r="B626" s="39" t="s">
        <v>910</v>
      </c>
      <c r="C626" s="39" t="s">
        <v>890</v>
      </c>
      <c r="D626" s="39" t="s">
        <v>885</v>
      </c>
      <c r="E626" s="39" t="s">
        <v>883</v>
      </c>
      <c r="F626" s="39"/>
      <c r="G626" s="58" t="n">
        <v>2278</v>
      </c>
      <c r="H626" s="34" t="n">
        <f aca="false">G626*2</f>
        <v>4556</v>
      </c>
      <c r="I626" s="39" t="str">
        <f aca="false">A626&amp;"|"&amp;B626&amp;"|"&amp;D626&amp;"|"&amp;E626&amp;F626</f>
        <v>auto|Woodward|scenario B (age 21)|male</v>
      </c>
      <c r="J626" s="34" t="n">
        <f aca="false" t="array" ref="J626:J626">MEDIAN(IF($I$4:$I$1803=I626,$H$4:$H$1803))</f>
        <v>3072</v>
      </c>
      <c r="K626" s="59" t="n">
        <f aca="false">H626/J626</f>
        <v>1.48307291666667</v>
      </c>
    </row>
    <row r="627" customFormat="false" ht="15" hidden="false" customHeight="false" outlineLevel="0" collapsed="false">
      <c r="A627" s="39" t="s">
        <v>879</v>
      </c>
      <c r="B627" s="39" t="s">
        <v>910</v>
      </c>
      <c r="C627" s="39" t="s">
        <v>890</v>
      </c>
      <c r="D627" s="39" t="s">
        <v>885</v>
      </c>
      <c r="E627" s="39" t="s">
        <v>884</v>
      </c>
      <c r="F627" s="39"/>
      <c r="G627" s="58" t="n">
        <v>1767</v>
      </c>
      <c r="H627" s="34" t="n">
        <f aca="false">G627*2</f>
        <v>3534</v>
      </c>
      <c r="I627" s="39" t="str">
        <f aca="false">A627&amp;"|"&amp;B627&amp;"|"&amp;D627&amp;"|"&amp;E627&amp;F627</f>
        <v>auto|Woodward|scenario B (age 21)|female</v>
      </c>
      <c r="J627" s="34" t="n">
        <f aca="false" t="array" ref="J627:J627">MEDIAN(IF($I$4:$I$1803=I627,$H$4:$H$1803))</f>
        <v>2716</v>
      </c>
      <c r="K627" s="59" t="n">
        <f aca="false">H627/J627</f>
        <v>1.30117820324006</v>
      </c>
    </row>
    <row r="628" customFormat="false" ht="15" hidden="false" customHeight="false" outlineLevel="0" collapsed="false">
      <c r="A628" s="39" t="s">
        <v>879</v>
      </c>
      <c r="B628" s="39" t="s">
        <v>910</v>
      </c>
      <c r="C628" s="39" t="s">
        <v>890</v>
      </c>
      <c r="D628" s="39" t="s">
        <v>886</v>
      </c>
      <c r="E628" s="39" t="s">
        <v>883</v>
      </c>
      <c r="F628" s="39"/>
      <c r="G628" s="58" t="n">
        <v>1003</v>
      </c>
      <c r="H628" s="34" t="n">
        <f aca="false">G628*2</f>
        <v>2006</v>
      </c>
      <c r="I628" s="39" t="str">
        <f aca="false">A628&amp;"|"&amp;B628&amp;"|"&amp;D628&amp;"|"&amp;E628&amp;F628</f>
        <v>auto|Woodward|scenario C (age 36)|male</v>
      </c>
      <c r="J628" s="34" t="n">
        <f aca="false" t="array" ref="J628:J628">MEDIAN(IF($I$4:$I$1803=I628,$H$4:$H$1803))</f>
        <v>1834</v>
      </c>
      <c r="K628" s="59" t="n">
        <f aca="false">H628/J628</f>
        <v>1.0937840785169</v>
      </c>
    </row>
    <row r="629" customFormat="false" ht="15" hidden="false" customHeight="false" outlineLevel="0" collapsed="false">
      <c r="A629" s="39" t="s">
        <v>879</v>
      </c>
      <c r="B629" s="39" t="s">
        <v>910</v>
      </c>
      <c r="C629" s="39" t="s">
        <v>890</v>
      </c>
      <c r="D629" s="39" t="s">
        <v>886</v>
      </c>
      <c r="E629" s="39" t="s">
        <v>884</v>
      </c>
      <c r="F629" s="39"/>
      <c r="G629" s="58" t="n">
        <v>996</v>
      </c>
      <c r="H629" s="34" t="n">
        <f aca="false">G629*2</f>
        <v>1992</v>
      </c>
      <c r="I629" s="39" t="str">
        <f aca="false">A629&amp;"|"&amp;B629&amp;"|"&amp;D629&amp;"|"&amp;E629&amp;F629</f>
        <v>auto|Woodward|scenario C (age 36)|female</v>
      </c>
      <c r="J629" s="34" t="n">
        <f aca="false" t="array" ref="J629:J629">MEDIAN(IF($I$4:$I$1803=I629,$H$4:$H$1803))</f>
        <v>1768</v>
      </c>
      <c r="K629" s="59" t="n">
        <f aca="false">H629/J629</f>
        <v>1.12669683257919</v>
      </c>
    </row>
    <row r="630" customFormat="false" ht="15" hidden="false" customHeight="false" outlineLevel="0" collapsed="false">
      <c r="A630" s="39" t="s">
        <v>879</v>
      </c>
      <c r="B630" s="39" t="s">
        <v>910</v>
      </c>
      <c r="C630" s="39" t="s">
        <v>890</v>
      </c>
      <c r="D630" s="39" t="s">
        <v>887</v>
      </c>
      <c r="E630" s="39" t="s">
        <v>883</v>
      </c>
      <c r="F630" s="39"/>
      <c r="G630" s="58" t="n">
        <v>778</v>
      </c>
      <c r="H630" s="34" t="n">
        <f aca="false">G630*2</f>
        <v>1556</v>
      </c>
      <c r="I630" s="39" t="str">
        <f aca="false">A630&amp;"|"&amp;B630&amp;"|"&amp;D630&amp;"|"&amp;E630&amp;F630</f>
        <v>auto|Woodward|scenario D (age 55)|male</v>
      </c>
      <c r="J630" s="34" t="n">
        <f aca="false" t="array" ref="J630:J630">MEDIAN(IF($I$4:$I$1803=I630,$H$4:$H$1803))</f>
        <v>1551</v>
      </c>
      <c r="K630" s="59" t="n">
        <f aca="false">H630/J630</f>
        <v>1.00322372662798</v>
      </c>
    </row>
    <row r="631" customFormat="false" ht="15" hidden="false" customHeight="false" outlineLevel="0" collapsed="false">
      <c r="A631" s="39" t="s">
        <v>879</v>
      </c>
      <c r="B631" s="39" t="s">
        <v>910</v>
      </c>
      <c r="C631" s="39" t="s">
        <v>890</v>
      </c>
      <c r="D631" s="39" t="s">
        <v>887</v>
      </c>
      <c r="E631" s="39" t="s">
        <v>884</v>
      </c>
      <c r="F631" s="39"/>
      <c r="G631" s="58" t="n">
        <v>800</v>
      </c>
      <c r="H631" s="34" t="n">
        <f aca="false">G631*2</f>
        <v>1600</v>
      </c>
      <c r="I631" s="39" t="str">
        <f aca="false">A631&amp;"|"&amp;B631&amp;"|"&amp;D631&amp;"|"&amp;E631&amp;F631</f>
        <v>auto|Woodward|scenario D (age 55)|female</v>
      </c>
      <c r="J631" s="34" t="n">
        <f aca="false" t="array" ref="J631:J631">MEDIAN(IF($I$4:$I$1803=I631,$H$4:$H$1803))</f>
        <v>1551</v>
      </c>
      <c r="K631" s="59" t="n">
        <f aca="false">H631/J631</f>
        <v>1.03159252095422</v>
      </c>
    </row>
    <row r="632" customFormat="false" ht="15" hidden="false" customHeight="false" outlineLevel="0" collapsed="false">
      <c r="A632" s="39" t="s">
        <v>879</v>
      </c>
      <c r="B632" s="39" t="s">
        <v>910</v>
      </c>
      <c r="C632" s="39" t="s">
        <v>890</v>
      </c>
      <c r="D632" s="39" t="s">
        <v>888</v>
      </c>
      <c r="E632" s="39" t="s">
        <v>883</v>
      </c>
      <c r="F632" s="39"/>
      <c r="G632" s="58" t="n">
        <v>828</v>
      </c>
      <c r="H632" s="34" t="n">
        <f aca="false">G632*2</f>
        <v>1656</v>
      </c>
      <c r="I632" s="39" t="str">
        <f aca="false">A632&amp;"|"&amp;B632&amp;"|"&amp;D632&amp;"|"&amp;E632&amp;F632</f>
        <v>auto|Woodward|scenario E (age 70)|male</v>
      </c>
      <c r="J632" s="34" t="n">
        <f aca="false" t="array" ref="J632:J632">MEDIAN(IF($I$4:$I$1803=I632,$H$4:$H$1803))</f>
        <v>1442</v>
      </c>
      <c r="K632" s="59" t="n">
        <f aca="false">H632/J632</f>
        <v>1.14840499306519</v>
      </c>
    </row>
    <row r="633" customFormat="false" ht="15" hidden="false" customHeight="false" outlineLevel="0" collapsed="false">
      <c r="A633" s="39" t="s">
        <v>879</v>
      </c>
      <c r="B633" s="39" t="s">
        <v>910</v>
      </c>
      <c r="C633" s="39" t="s">
        <v>890</v>
      </c>
      <c r="D633" s="39" t="s">
        <v>888</v>
      </c>
      <c r="E633" s="39" t="s">
        <v>884</v>
      </c>
      <c r="F633" s="39"/>
      <c r="G633" s="58" t="n">
        <v>862</v>
      </c>
      <c r="H633" s="34" t="n">
        <f aca="false">G633*2</f>
        <v>1724</v>
      </c>
      <c r="I633" s="39" t="str">
        <f aca="false">A633&amp;"|"&amp;B633&amp;"|"&amp;D633&amp;"|"&amp;E633&amp;F633</f>
        <v>auto|Woodward|scenario E (age 70)|female</v>
      </c>
      <c r="J633" s="34" t="n">
        <f aca="false" t="array" ref="J633:J633">MEDIAN(IF($I$4:$I$1803=I633,$H$4:$H$1803))</f>
        <v>1425</v>
      </c>
      <c r="K633" s="59" t="n">
        <f aca="false">H633/J633</f>
        <v>1.20982456140351</v>
      </c>
    </row>
    <row r="634" customFormat="false" ht="15" hidden="false" customHeight="false" outlineLevel="0" collapsed="false">
      <c r="A634" s="39" t="s">
        <v>879</v>
      </c>
      <c r="B634" s="39" t="s">
        <v>910</v>
      </c>
      <c r="C634" s="39" t="s">
        <v>891</v>
      </c>
      <c r="D634" s="39" t="s">
        <v>882</v>
      </c>
      <c r="E634" s="39" t="s">
        <v>883</v>
      </c>
      <c r="F634" s="39"/>
      <c r="G634" s="58" t="n">
        <v>5559</v>
      </c>
      <c r="H634" s="34" t="n">
        <f aca="false">G634*2</f>
        <v>11118</v>
      </c>
      <c r="I634" s="39" t="str">
        <f aca="false">A634&amp;"|"&amp;B634&amp;"|"&amp;D634&amp;"|"&amp;E634&amp;F634</f>
        <v>auto|Woodward|scenario A (age 16)|male</v>
      </c>
      <c r="J634" s="34" t="n">
        <f aca="false" t="array" ref="J634:J634">MEDIAN(IF($I$4:$I$1803=I634,$H$4:$H$1803))</f>
        <v>6758</v>
      </c>
      <c r="K634" s="59" t="n">
        <f aca="false">H634/J634</f>
        <v>1.64516129032258</v>
      </c>
    </row>
    <row r="635" customFormat="false" ht="15" hidden="false" customHeight="false" outlineLevel="0" collapsed="false">
      <c r="A635" s="39" t="s">
        <v>879</v>
      </c>
      <c r="B635" s="39" t="s">
        <v>910</v>
      </c>
      <c r="C635" s="39" t="s">
        <v>891</v>
      </c>
      <c r="D635" s="39" t="s">
        <v>882</v>
      </c>
      <c r="E635" s="39" t="s">
        <v>884</v>
      </c>
      <c r="F635" s="39"/>
      <c r="G635" s="58" t="n">
        <v>5680</v>
      </c>
      <c r="H635" s="34" t="n">
        <f aca="false">G635*2</f>
        <v>11360</v>
      </c>
      <c r="I635" s="39" t="str">
        <f aca="false">A635&amp;"|"&amp;B635&amp;"|"&amp;D635&amp;"|"&amp;E635&amp;F635</f>
        <v>auto|Woodward|scenario A (age 16)|female</v>
      </c>
      <c r="J635" s="34" t="n">
        <f aca="false" t="array" ref="J635:J635">MEDIAN(IF($I$4:$I$1803=I635,$H$4:$H$1803))</f>
        <v>5463</v>
      </c>
      <c r="K635" s="59" t="n">
        <f aca="false">H635/J635</f>
        <v>2.07944352919641</v>
      </c>
    </row>
    <row r="636" customFormat="false" ht="15" hidden="false" customHeight="false" outlineLevel="0" collapsed="false">
      <c r="A636" s="39" t="s">
        <v>879</v>
      </c>
      <c r="B636" s="39" t="s">
        <v>910</v>
      </c>
      <c r="C636" s="39" t="s">
        <v>891</v>
      </c>
      <c r="D636" s="39" t="s">
        <v>885</v>
      </c>
      <c r="E636" s="39" t="s">
        <v>883</v>
      </c>
      <c r="F636" s="39"/>
      <c r="G636" s="58" t="n">
        <v>1775</v>
      </c>
      <c r="H636" s="34" t="n">
        <f aca="false">G636*2</f>
        <v>3550</v>
      </c>
      <c r="I636" s="39" t="str">
        <f aca="false">A636&amp;"|"&amp;B636&amp;"|"&amp;D636&amp;"|"&amp;E636&amp;F636</f>
        <v>auto|Woodward|scenario B (age 21)|male</v>
      </c>
      <c r="J636" s="34" t="n">
        <f aca="false" t="array" ref="J636:J636">MEDIAN(IF($I$4:$I$1803=I636,$H$4:$H$1803))</f>
        <v>3072</v>
      </c>
      <c r="K636" s="59" t="n">
        <f aca="false">H636/J636</f>
        <v>1.15559895833333</v>
      </c>
    </row>
    <row r="637" customFormat="false" ht="15" hidden="false" customHeight="false" outlineLevel="0" collapsed="false">
      <c r="A637" s="39" t="s">
        <v>879</v>
      </c>
      <c r="B637" s="39" t="s">
        <v>910</v>
      </c>
      <c r="C637" s="39" t="s">
        <v>891</v>
      </c>
      <c r="D637" s="39" t="s">
        <v>885</v>
      </c>
      <c r="E637" s="39" t="s">
        <v>884</v>
      </c>
      <c r="F637" s="39"/>
      <c r="G637" s="58" t="n">
        <v>1777</v>
      </c>
      <c r="H637" s="34" t="n">
        <f aca="false">G637*2</f>
        <v>3554</v>
      </c>
      <c r="I637" s="39" t="str">
        <f aca="false">A637&amp;"|"&amp;B637&amp;"|"&amp;D637&amp;"|"&amp;E637&amp;F637</f>
        <v>auto|Woodward|scenario B (age 21)|female</v>
      </c>
      <c r="J637" s="34" t="n">
        <f aca="false" t="array" ref="J637:J637">MEDIAN(IF($I$4:$I$1803=I637,$H$4:$H$1803))</f>
        <v>2716</v>
      </c>
      <c r="K637" s="59" t="n">
        <f aca="false">H637/J637</f>
        <v>1.30854197349043</v>
      </c>
    </row>
    <row r="638" customFormat="false" ht="15" hidden="false" customHeight="false" outlineLevel="0" collapsed="false">
      <c r="A638" s="39" t="s">
        <v>879</v>
      </c>
      <c r="B638" s="39" t="s">
        <v>910</v>
      </c>
      <c r="C638" s="39" t="s">
        <v>891</v>
      </c>
      <c r="D638" s="39" t="s">
        <v>886</v>
      </c>
      <c r="E638" s="39" t="s">
        <v>883</v>
      </c>
      <c r="F638" s="39"/>
      <c r="G638" s="58" t="n">
        <v>1198</v>
      </c>
      <c r="H638" s="34" t="n">
        <f aca="false">G638*2</f>
        <v>2396</v>
      </c>
      <c r="I638" s="39" t="str">
        <f aca="false">A638&amp;"|"&amp;B638&amp;"|"&amp;D638&amp;"|"&amp;E638&amp;F638</f>
        <v>auto|Woodward|scenario C (age 36)|male</v>
      </c>
      <c r="J638" s="34" t="n">
        <f aca="false" t="array" ref="J638:J638">MEDIAN(IF($I$4:$I$1803=I638,$H$4:$H$1803))</f>
        <v>1834</v>
      </c>
      <c r="K638" s="59" t="n">
        <f aca="false">H638/J638</f>
        <v>1.30643402399128</v>
      </c>
    </row>
    <row r="639" customFormat="false" ht="15" hidden="false" customHeight="false" outlineLevel="0" collapsed="false">
      <c r="A639" s="39" t="s">
        <v>879</v>
      </c>
      <c r="B639" s="39" t="s">
        <v>910</v>
      </c>
      <c r="C639" s="39" t="s">
        <v>891</v>
      </c>
      <c r="D639" s="39" t="s">
        <v>886</v>
      </c>
      <c r="E639" s="39" t="s">
        <v>884</v>
      </c>
      <c r="F639" s="39"/>
      <c r="G639" s="58" t="n">
        <v>1101</v>
      </c>
      <c r="H639" s="34" t="n">
        <f aca="false">G639*2</f>
        <v>2202</v>
      </c>
      <c r="I639" s="39" t="str">
        <f aca="false">A639&amp;"|"&amp;B639&amp;"|"&amp;D639&amp;"|"&amp;E639&amp;F639</f>
        <v>auto|Woodward|scenario C (age 36)|female</v>
      </c>
      <c r="J639" s="34" t="n">
        <f aca="false" t="array" ref="J639:J639">MEDIAN(IF($I$4:$I$1803=I639,$H$4:$H$1803))</f>
        <v>1768</v>
      </c>
      <c r="K639" s="59" t="n">
        <f aca="false">H639/J639</f>
        <v>1.24547511312217</v>
      </c>
    </row>
    <row r="640" customFormat="false" ht="15" hidden="false" customHeight="false" outlineLevel="0" collapsed="false">
      <c r="A640" s="39" t="s">
        <v>879</v>
      </c>
      <c r="B640" s="39" t="s">
        <v>910</v>
      </c>
      <c r="C640" s="39" t="s">
        <v>891</v>
      </c>
      <c r="D640" s="39" t="s">
        <v>887</v>
      </c>
      <c r="E640" s="39" t="s">
        <v>883</v>
      </c>
      <c r="F640" s="39"/>
      <c r="G640" s="58" t="n">
        <v>1066</v>
      </c>
      <c r="H640" s="34" t="n">
        <f aca="false">G640*2</f>
        <v>2132</v>
      </c>
      <c r="I640" s="39" t="str">
        <f aca="false">A640&amp;"|"&amp;B640&amp;"|"&amp;D640&amp;"|"&amp;E640&amp;F640</f>
        <v>auto|Woodward|scenario D (age 55)|male</v>
      </c>
      <c r="J640" s="34" t="n">
        <f aca="false" t="array" ref="J640:J640">MEDIAN(IF($I$4:$I$1803=I640,$H$4:$H$1803))</f>
        <v>1551</v>
      </c>
      <c r="K640" s="59" t="n">
        <f aca="false">H640/J640</f>
        <v>1.3745970341715</v>
      </c>
    </row>
    <row r="641" customFormat="false" ht="15" hidden="false" customHeight="false" outlineLevel="0" collapsed="false">
      <c r="A641" s="39" t="s">
        <v>879</v>
      </c>
      <c r="B641" s="39" t="s">
        <v>910</v>
      </c>
      <c r="C641" s="39" t="s">
        <v>891</v>
      </c>
      <c r="D641" s="39" t="s">
        <v>887</v>
      </c>
      <c r="E641" s="39" t="s">
        <v>884</v>
      </c>
      <c r="F641" s="39"/>
      <c r="G641" s="58" t="n">
        <v>943</v>
      </c>
      <c r="H641" s="34" t="n">
        <f aca="false">G641*2</f>
        <v>1886</v>
      </c>
      <c r="I641" s="39" t="str">
        <f aca="false">A641&amp;"|"&amp;B641&amp;"|"&amp;D641&amp;"|"&amp;E641&amp;F641</f>
        <v>auto|Woodward|scenario D (age 55)|female</v>
      </c>
      <c r="J641" s="34" t="n">
        <f aca="false" t="array" ref="J641:J641">MEDIAN(IF($I$4:$I$1803=I641,$H$4:$H$1803))</f>
        <v>1551</v>
      </c>
      <c r="K641" s="59" t="n">
        <f aca="false">H641/J641</f>
        <v>1.21598968407479</v>
      </c>
    </row>
    <row r="642" customFormat="false" ht="15" hidden="false" customHeight="false" outlineLevel="0" collapsed="false">
      <c r="A642" s="39" t="s">
        <v>879</v>
      </c>
      <c r="B642" s="39" t="s">
        <v>910</v>
      </c>
      <c r="C642" s="39" t="s">
        <v>891</v>
      </c>
      <c r="D642" s="39" t="s">
        <v>888</v>
      </c>
      <c r="E642" s="39" t="s">
        <v>883</v>
      </c>
      <c r="F642" s="39"/>
      <c r="G642" s="58" t="n">
        <v>1130</v>
      </c>
      <c r="H642" s="34" t="n">
        <f aca="false">G642*2</f>
        <v>2260</v>
      </c>
      <c r="I642" s="39" t="str">
        <f aca="false">A642&amp;"|"&amp;B642&amp;"|"&amp;D642&amp;"|"&amp;E642&amp;F642</f>
        <v>auto|Woodward|scenario E (age 70)|male</v>
      </c>
      <c r="J642" s="34" t="n">
        <f aca="false" t="array" ref="J642:J642">MEDIAN(IF($I$4:$I$1803=I642,$H$4:$H$1803))</f>
        <v>1442</v>
      </c>
      <c r="K642" s="59" t="n">
        <f aca="false">H642/J642</f>
        <v>1.56726768377254</v>
      </c>
    </row>
    <row r="643" customFormat="false" ht="15" hidden="false" customHeight="false" outlineLevel="0" collapsed="false">
      <c r="A643" s="39" t="s">
        <v>879</v>
      </c>
      <c r="B643" s="39" t="s">
        <v>910</v>
      </c>
      <c r="C643" s="39" t="s">
        <v>891</v>
      </c>
      <c r="D643" s="39" t="s">
        <v>888</v>
      </c>
      <c r="E643" s="39" t="s">
        <v>884</v>
      </c>
      <c r="F643" s="39"/>
      <c r="G643" s="58" t="n">
        <v>928</v>
      </c>
      <c r="H643" s="34" t="n">
        <f aca="false">G643*2</f>
        <v>1856</v>
      </c>
      <c r="I643" s="39" t="str">
        <f aca="false">A643&amp;"|"&amp;B643&amp;"|"&amp;D643&amp;"|"&amp;E643&amp;F643</f>
        <v>auto|Woodward|scenario E (age 70)|female</v>
      </c>
      <c r="J643" s="34" t="n">
        <f aca="false" t="array" ref="J643:J643">MEDIAN(IF($I$4:$I$1803=I643,$H$4:$H$1803))</f>
        <v>1425</v>
      </c>
      <c r="K643" s="59" t="n">
        <f aca="false">H643/J643</f>
        <v>1.30245614035088</v>
      </c>
    </row>
    <row r="644" customFormat="false" ht="15" hidden="false" customHeight="false" outlineLevel="0" collapsed="false">
      <c r="A644" s="39" t="s">
        <v>879</v>
      </c>
      <c r="B644" s="39" t="s">
        <v>910</v>
      </c>
      <c r="C644" s="39" t="s">
        <v>892</v>
      </c>
      <c r="D644" s="39" t="s">
        <v>882</v>
      </c>
      <c r="E644" s="39" t="s">
        <v>883</v>
      </c>
      <c r="F644" s="39"/>
      <c r="G644" s="58" t="n">
        <v>3542</v>
      </c>
      <c r="H644" s="34" t="n">
        <f aca="false">G644*2</f>
        <v>7084</v>
      </c>
      <c r="I644" s="39" t="str">
        <f aca="false">A644&amp;"|"&amp;B644&amp;"|"&amp;D644&amp;"|"&amp;E644&amp;F644</f>
        <v>auto|Woodward|scenario A (age 16)|male</v>
      </c>
      <c r="J644" s="34" t="n">
        <f aca="false" t="array" ref="J644:J644">MEDIAN(IF($I$4:$I$1803=I644,$H$4:$H$1803))</f>
        <v>6758</v>
      </c>
      <c r="K644" s="59" t="n">
        <f aca="false">H644/J644</f>
        <v>1.04823912400118</v>
      </c>
    </row>
    <row r="645" customFormat="false" ht="15" hidden="false" customHeight="false" outlineLevel="0" collapsed="false">
      <c r="A645" s="39" t="s">
        <v>879</v>
      </c>
      <c r="B645" s="39" t="s">
        <v>910</v>
      </c>
      <c r="C645" s="39" t="s">
        <v>892</v>
      </c>
      <c r="D645" s="39" t="s">
        <v>882</v>
      </c>
      <c r="E645" s="39" t="s">
        <v>884</v>
      </c>
      <c r="F645" s="39"/>
      <c r="G645" s="58" t="n">
        <v>2610</v>
      </c>
      <c r="H645" s="34" t="n">
        <f aca="false">G645*2</f>
        <v>5220</v>
      </c>
      <c r="I645" s="39" t="str">
        <f aca="false">A645&amp;"|"&amp;B645&amp;"|"&amp;D645&amp;"|"&amp;E645&amp;F645</f>
        <v>auto|Woodward|scenario A (age 16)|female</v>
      </c>
      <c r="J645" s="34" t="n">
        <f aca="false" t="array" ref="J645:J645">MEDIAN(IF($I$4:$I$1803=I645,$H$4:$H$1803))</f>
        <v>5463</v>
      </c>
      <c r="K645" s="59" t="n">
        <f aca="false">H645/J645</f>
        <v>0.955518945634267</v>
      </c>
    </row>
    <row r="646" customFormat="false" ht="15" hidden="false" customHeight="false" outlineLevel="0" collapsed="false">
      <c r="A646" s="39" t="s">
        <v>879</v>
      </c>
      <c r="B646" s="39" t="s">
        <v>910</v>
      </c>
      <c r="C646" s="39" t="s">
        <v>892</v>
      </c>
      <c r="D646" s="39" t="s">
        <v>885</v>
      </c>
      <c r="E646" s="39" t="s">
        <v>883</v>
      </c>
      <c r="F646" s="39"/>
      <c r="G646" s="58" t="n">
        <v>2006</v>
      </c>
      <c r="H646" s="34" t="n">
        <f aca="false">G646*2</f>
        <v>4012</v>
      </c>
      <c r="I646" s="39" t="str">
        <f aca="false">A646&amp;"|"&amp;B646&amp;"|"&amp;D646&amp;"|"&amp;E646&amp;F646</f>
        <v>auto|Woodward|scenario B (age 21)|male</v>
      </c>
      <c r="J646" s="34" t="n">
        <f aca="false" t="array" ref="J646:J646">MEDIAN(IF($I$4:$I$1803=I646,$H$4:$H$1803))</f>
        <v>3072</v>
      </c>
      <c r="K646" s="59" t="n">
        <f aca="false">H646/J646</f>
        <v>1.30598958333333</v>
      </c>
    </row>
    <row r="647" customFormat="false" ht="15" hidden="false" customHeight="false" outlineLevel="0" collapsed="false">
      <c r="A647" s="39" t="s">
        <v>879</v>
      </c>
      <c r="B647" s="39" t="s">
        <v>910</v>
      </c>
      <c r="C647" s="39" t="s">
        <v>892</v>
      </c>
      <c r="D647" s="39" t="s">
        <v>885</v>
      </c>
      <c r="E647" s="39" t="s">
        <v>884</v>
      </c>
      <c r="F647" s="39"/>
      <c r="G647" s="58" t="n">
        <v>1820</v>
      </c>
      <c r="H647" s="34" t="n">
        <f aca="false">G647*2</f>
        <v>3640</v>
      </c>
      <c r="I647" s="39" t="str">
        <f aca="false">A647&amp;"|"&amp;B647&amp;"|"&amp;D647&amp;"|"&amp;E647&amp;F647</f>
        <v>auto|Woodward|scenario B (age 21)|female</v>
      </c>
      <c r="J647" s="34" t="n">
        <f aca="false" t="array" ref="J647:J647">MEDIAN(IF($I$4:$I$1803=I647,$H$4:$H$1803))</f>
        <v>2716</v>
      </c>
      <c r="K647" s="59" t="n">
        <f aca="false">H647/J647</f>
        <v>1.34020618556701</v>
      </c>
    </row>
    <row r="648" customFormat="false" ht="15" hidden="false" customHeight="false" outlineLevel="0" collapsed="false">
      <c r="A648" s="39" t="s">
        <v>879</v>
      </c>
      <c r="B648" s="39" t="s">
        <v>910</v>
      </c>
      <c r="C648" s="39" t="s">
        <v>892</v>
      </c>
      <c r="D648" s="39" t="s">
        <v>886</v>
      </c>
      <c r="E648" s="39" t="s">
        <v>883</v>
      </c>
      <c r="F648" s="39"/>
      <c r="G648" s="58" t="n">
        <v>1146</v>
      </c>
      <c r="H648" s="34" t="n">
        <f aca="false">G648*2</f>
        <v>2292</v>
      </c>
      <c r="I648" s="39" t="str">
        <f aca="false">A648&amp;"|"&amp;B648&amp;"|"&amp;D648&amp;"|"&amp;E648&amp;F648</f>
        <v>auto|Woodward|scenario C (age 36)|male</v>
      </c>
      <c r="J648" s="34" t="n">
        <f aca="false" t="array" ref="J648:J648">MEDIAN(IF($I$4:$I$1803=I648,$H$4:$H$1803))</f>
        <v>1834</v>
      </c>
      <c r="K648" s="59" t="n">
        <f aca="false">H648/J648</f>
        <v>1.24972737186478</v>
      </c>
    </row>
    <row r="649" customFormat="false" ht="15" hidden="false" customHeight="false" outlineLevel="0" collapsed="false">
      <c r="A649" s="39" t="s">
        <v>879</v>
      </c>
      <c r="B649" s="39" t="s">
        <v>910</v>
      </c>
      <c r="C649" s="39" t="s">
        <v>892</v>
      </c>
      <c r="D649" s="39" t="s">
        <v>886</v>
      </c>
      <c r="E649" s="39" t="s">
        <v>884</v>
      </c>
      <c r="F649" s="39"/>
      <c r="G649" s="58" t="n">
        <v>1124</v>
      </c>
      <c r="H649" s="34" t="n">
        <f aca="false">G649*2</f>
        <v>2248</v>
      </c>
      <c r="I649" s="39" t="str">
        <f aca="false">A649&amp;"|"&amp;B649&amp;"|"&amp;D649&amp;"|"&amp;E649&amp;F649</f>
        <v>auto|Woodward|scenario C (age 36)|female</v>
      </c>
      <c r="J649" s="34" t="n">
        <f aca="false" t="array" ref="J649:J649">MEDIAN(IF($I$4:$I$1803=I649,$H$4:$H$1803))</f>
        <v>1768</v>
      </c>
      <c r="K649" s="59" t="n">
        <f aca="false">H649/J649</f>
        <v>1.27149321266968</v>
      </c>
    </row>
    <row r="650" customFormat="false" ht="15" hidden="false" customHeight="false" outlineLevel="0" collapsed="false">
      <c r="A650" s="39" t="s">
        <v>879</v>
      </c>
      <c r="B650" s="39" t="s">
        <v>910</v>
      </c>
      <c r="C650" s="39" t="s">
        <v>892</v>
      </c>
      <c r="D650" s="39" t="s">
        <v>887</v>
      </c>
      <c r="E650" s="39" t="s">
        <v>883</v>
      </c>
      <c r="F650" s="39"/>
      <c r="G650" s="58" t="n">
        <v>1072</v>
      </c>
      <c r="H650" s="34" t="n">
        <f aca="false">G650*2</f>
        <v>2144</v>
      </c>
      <c r="I650" s="39" t="str">
        <f aca="false">A650&amp;"|"&amp;B650&amp;"|"&amp;D650&amp;"|"&amp;E650&amp;F650</f>
        <v>auto|Woodward|scenario D (age 55)|male</v>
      </c>
      <c r="J650" s="34" t="n">
        <f aca="false" t="array" ref="J650:J650">MEDIAN(IF($I$4:$I$1803=I650,$H$4:$H$1803))</f>
        <v>1551</v>
      </c>
      <c r="K650" s="59" t="n">
        <f aca="false">H650/J650</f>
        <v>1.38233397807866</v>
      </c>
    </row>
    <row r="651" customFormat="false" ht="15" hidden="false" customHeight="false" outlineLevel="0" collapsed="false">
      <c r="A651" s="39" t="s">
        <v>879</v>
      </c>
      <c r="B651" s="39" t="s">
        <v>910</v>
      </c>
      <c r="C651" s="39" t="s">
        <v>892</v>
      </c>
      <c r="D651" s="39" t="s">
        <v>887</v>
      </c>
      <c r="E651" s="39" t="s">
        <v>884</v>
      </c>
      <c r="F651" s="39"/>
      <c r="G651" s="58" t="n">
        <v>1103</v>
      </c>
      <c r="H651" s="34" t="n">
        <f aca="false">G651*2</f>
        <v>2206</v>
      </c>
      <c r="I651" s="39" t="str">
        <f aca="false">A651&amp;"|"&amp;B651&amp;"|"&amp;D651&amp;"|"&amp;E651&amp;F651</f>
        <v>auto|Woodward|scenario D (age 55)|female</v>
      </c>
      <c r="J651" s="34" t="n">
        <f aca="false" t="array" ref="J651:J651">MEDIAN(IF($I$4:$I$1803=I651,$H$4:$H$1803))</f>
        <v>1551</v>
      </c>
      <c r="K651" s="59" t="n">
        <f aca="false">H651/J651</f>
        <v>1.42230818826564</v>
      </c>
    </row>
    <row r="652" customFormat="false" ht="15" hidden="false" customHeight="false" outlineLevel="0" collapsed="false">
      <c r="A652" s="39" t="s">
        <v>879</v>
      </c>
      <c r="B652" s="39" t="s">
        <v>910</v>
      </c>
      <c r="C652" s="39" t="s">
        <v>892</v>
      </c>
      <c r="D652" s="39" t="s">
        <v>888</v>
      </c>
      <c r="E652" s="39" t="s">
        <v>883</v>
      </c>
      <c r="F652" s="39"/>
      <c r="G652" s="58" t="n">
        <v>1297</v>
      </c>
      <c r="H652" s="34" t="n">
        <f aca="false">G652*2</f>
        <v>2594</v>
      </c>
      <c r="I652" s="39" t="str">
        <f aca="false">A652&amp;"|"&amp;B652&amp;"|"&amp;D652&amp;"|"&amp;E652&amp;F652</f>
        <v>auto|Woodward|scenario E (age 70)|male</v>
      </c>
      <c r="J652" s="34" t="n">
        <f aca="false" t="array" ref="J652:J652">MEDIAN(IF($I$4:$I$1803=I652,$H$4:$H$1803))</f>
        <v>1442</v>
      </c>
      <c r="K652" s="59" t="n">
        <f aca="false">H652/J652</f>
        <v>1.79889042995839</v>
      </c>
    </row>
    <row r="653" customFormat="false" ht="15" hidden="false" customHeight="false" outlineLevel="0" collapsed="false">
      <c r="A653" s="39" t="s">
        <v>879</v>
      </c>
      <c r="B653" s="39" t="s">
        <v>910</v>
      </c>
      <c r="C653" s="39" t="s">
        <v>892</v>
      </c>
      <c r="D653" s="39" t="s">
        <v>888</v>
      </c>
      <c r="E653" s="39" t="s">
        <v>884</v>
      </c>
      <c r="F653" s="39"/>
      <c r="G653" s="58" t="n">
        <v>1271</v>
      </c>
      <c r="H653" s="34" t="n">
        <f aca="false">G653*2</f>
        <v>2542</v>
      </c>
      <c r="I653" s="39" t="str">
        <f aca="false">A653&amp;"|"&amp;B653&amp;"|"&amp;D653&amp;"|"&amp;E653&amp;F653</f>
        <v>auto|Woodward|scenario E (age 70)|female</v>
      </c>
      <c r="J653" s="34" t="n">
        <f aca="false" t="array" ref="J653:J653">MEDIAN(IF($I$4:$I$1803=I653,$H$4:$H$1803))</f>
        <v>1425</v>
      </c>
      <c r="K653" s="59" t="n">
        <f aca="false">H653/J653</f>
        <v>1.78385964912281</v>
      </c>
    </row>
    <row r="654" customFormat="false" ht="15" hidden="false" customHeight="false" outlineLevel="0" collapsed="false">
      <c r="A654" s="39" t="s">
        <v>879</v>
      </c>
      <c r="B654" s="39" t="s">
        <v>910</v>
      </c>
      <c r="C654" s="39" t="s">
        <v>893</v>
      </c>
      <c r="D654" s="39" t="s">
        <v>882</v>
      </c>
      <c r="E654" s="39" t="s">
        <v>883</v>
      </c>
      <c r="F654" s="39"/>
      <c r="G654" s="58" t="n">
        <v>3640</v>
      </c>
      <c r="H654" s="34" t="n">
        <f aca="false">G654*2</f>
        <v>7280</v>
      </c>
      <c r="I654" s="39" t="str">
        <f aca="false">A654&amp;"|"&amp;B654&amp;"|"&amp;D654&amp;"|"&amp;E654&amp;F654</f>
        <v>auto|Woodward|scenario A (age 16)|male</v>
      </c>
      <c r="J654" s="34" t="n">
        <f aca="false" t="array" ref="J654:J654">MEDIAN(IF($I$4:$I$1803=I654,$H$4:$H$1803))</f>
        <v>6758</v>
      </c>
      <c r="K654" s="59" t="n">
        <f aca="false">H654/J654</f>
        <v>1.0772417875111</v>
      </c>
    </row>
    <row r="655" customFormat="false" ht="15" hidden="false" customHeight="false" outlineLevel="0" collapsed="false">
      <c r="A655" s="39" t="s">
        <v>879</v>
      </c>
      <c r="B655" s="39" t="s">
        <v>910</v>
      </c>
      <c r="C655" s="39" t="s">
        <v>893</v>
      </c>
      <c r="D655" s="39" t="s">
        <v>882</v>
      </c>
      <c r="E655" s="39" t="s">
        <v>884</v>
      </c>
      <c r="F655" s="39"/>
      <c r="G655" s="58" t="n">
        <v>2783</v>
      </c>
      <c r="H655" s="34" t="n">
        <f aca="false">G655*2</f>
        <v>5566</v>
      </c>
      <c r="I655" s="39" t="str">
        <f aca="false">A655&amp;"|"&amp;B655&amp;"|"&amp;D655&amp;"|"&amp;E655&amp;F655</f>
        <v>auto|Woodward|scenario A (age 16)|female</v>
      </c>
      <c r="J655" s="34" t="n">
        <f aca="false" t="array" ref="J655:J655">MEDIAN(IF($I$4:$I$1803=I655,$H$4:$H$1803))</f>
        <v>5463</v>
      </c>
      <c r="K655" s="59" t="n">
        <f aca="false">H655/J655</f>
        <v>1.01885410946366</v>
      </c>
    </row>
    <row r="656" customFormat="false" ht="15" hidden="false" customHeight="false" outlineLevel="0" collapsed="false">
      <c r="A656" s="39" t="s">
        <v>879</v>
      </c>
      <c r="B656" s="39" t="s">
        <v>910</v>
      </c>
      <c r="C656" s="39" t="s">
        <v>893</v>
      </c>
      <c r="D656" s="39" t="s">
        <v>885</v>
      </c>
      <c r="E656" s="39" t="s">
        <v>883</v>
      </c>
      <c r="F656" s="39"/>
      <c r="G656" s="58" t="n">
        <v>1618</v>
      </c>
      <c r="H656" s="34" t="n">
        <f aca="false">G656*2</f>
        <v>3236</v>
      </c>
      <c r="I656" s="39" t="str">
        <f aca="false">A656&amp;"|"&amp;B656&amp;"|"&amp;D656&amp;"|"&amp;E656&amp;F656</f>
        <v>auto|Woodward|scenario B (age 21)|male</v>
      </c>
      <c r="J656" s="34" t="n">
        <f aca="false" t="array" ref="J656:J656">MEDIAN(IF($I$4:$I$1803=I656,$H$4:$H$1803))</f>
        <v>3072</v>
      </c>
      <c r="K656" s="59" t="n">
        <f aca="false">H656/J656</f>
        <v>1.05338541666667</v>
      </c>
    </row>
    <row r="657" customFormat="false" ht="15" hidden="false" customHeight="false" outlineLevel="0" collapsed="false">
      <c r="A657" s="39" t="s">
        <v>879</v>
      </c>
      <c r="B657" s="39" t="s">
        <v>910</v>
      </c>
      <c r="C657" s="39" t="s">
        <v>893</v>
      </c>
      <c r="D657" s="39" t="s">
        <v>885</v>
      </c>
      <c r="E657" s="39" t="s">
        <v>884</v>
      </c>
      <c r="F657" s="39"/>
      <c r="G657" s="58" t="n">
        <v>1353</v>
      </c>
      <c r="H657" s="34" t="n">
        <f aca="false">G657*2</f>
        <v>2706</v>
      </c>
      <c r="I657" s="39" t="str">
        <f aca="false">A657&amp;"|"&amp;B657&amp;"|"&amp;D657&amp;"|"&amp;E657&amp;F657</f>
        <v>auto|Woodward|scenario B (age 21)|female</v>
      </c>
      <c r="J657" s="34" t="n">
        <f aca="false" t="array" ref="J657:J657">MEDIAN(IF($I$4:$I$1803=I657,$H$4:$H$1803))</f>
        <v>2716</v>
      </c>
      <c r="K657" s="59" t="n">
        <f aca="false">H657/J657</f>
        <v>0.996318114874816</v>
      </c>
    </row>
    <row r="658" customFormat="false" ht="15" hidden="false" customHeight="false" outlineLevel="0" collapsed="false">
      <c r="A658" s="39" t="s">
        <v>879</v>
      </c>
      <c r="B658" s="39" t="s">
        <v>910</v>
      </c>
      <c r="C658" s="39" t="s">
        <v>893</v>
      </c>
      <c r="D658" s="39" t="s">
        <v>886</v>
      </c>
      <c r="E658" s="39" t="s">
        <v>883</v>
      </c>
      <c r="F658" s="39"/>
      <c r="G658" s="58" t="n">
        <v>776</v>
      </c>
      <c r="H658" s="34" t="n">
        <f aca="false">G658*2</f>
        <v>1552</v>
      </c>
      <c r="I658" s="39" t="str">
        <f aca="false">A658&amp;"|"&amp;B658&amp;"|"&amp;D658&amp;"|"&amp;E658&amp;F658</f>
        <v>auto|Woodward|scenario C (age 36)|male</v>
      </c>
      <c r="J658" s="34" t="n">
        <f aca="false" t="array" ref="J658:J658">MEDIAN(IF($I$4:$I$1803=I658,$H$4:$H$1803))</f>
        <v>1834</v>
      </c>
      <c r="K658" s="59" t="n">
        <f aca="false">H658/J658</f>
        <v>0.846237731733915</v>
      </c>
    </row>
    <row r="659" customFormat="false" ht="15" hidden="false" customHeight="false" outlineLevel="0" collapsed="false">
      <c r="A659" s="39" t="s">
        <v>879</v>
      </c>
      <c r="B659" s="39" t="s">
        <v>910</v>
      </c>
      <c r="C659" s="39" t="s">
        <v>893</v>
      </c>
      <c r="D659" s="39" t="s">
        <v>886</v>
      </c>
      <c r="E659" s="39" t="s">
        <v>884</v>
      </c>
      <c r="F659" s="39"/>
      <c r="G659" s="58" t="n">
        <v>820</v>
      </c>
      <c r="H659" s="34" t="n">
        <f aca="false">G659*2</f>
        <v>1640</v>
      </c>
      <c r="I659" s="39" t="str">
        <f aca="false">A659&amp;"|"&amp;B659&amp;"|"&amp;D659&amp;"|"&amp;E659&amp;F659</f>
        <v>auto|Woodward|scenario C (age 36)|female</v>
      </c>
      <c r="J659" s="34" t="n">
        <f aca="false" t="array" ref="J659:J659">MEDIAN(IF($I$4:$I$1803=I659,$H$4:$H$1803))</f>
        <v>1768</v>
      </c>
      <c r="K659" s="59" t="n">
        <f aca="false">H659/J659</f>
        <v>0.927601809954751</v>
      </c>
    </row>
    <row r="660" customFormat="false" ht="15" hidden="false" customHeight="false" outlineLevel="0" collapsed="false">
      <c r="A660" s="39" t="s">
        <v>879</v>
      </c>
      <c r="B660" s="39" t="s">
        <v>910</v>
      </c>
      <c r="C660" s="39" t="s">
        <v>893</v>
      </c>
      <c r="D660" s="39" t="s">
        <v>887</v>
      </c>
      <c r="E660" s="39" t="s">
        <v>883</v>
      </c>
      <c r="F660" s="39"/>
      <c r="G660" s="58" t="n">
        <v>683</v>
      </c>
      <c r="H660" s="34" t="n">
        <f aca="false">G660*2</f>
        <v>1366</v>
      </c>
      <c r="I660" s="39" t="str">
        <f aca="false">A660&amp;"|"&amp;B660&amp;"|"&amp;D660&amp;"|"&amp;E660&amp;F660</f>
        <v>auto|Woodward|scenario D (age 55)|male</v>
      </c>
      <c r="J660" s="34" t="n">
        <f aca="false" t="array" ref="J660:J660">MEDIAN(IF($I$4:$I$1803=I660,$H$4:$H$1803))</f>
        <v>1551</v>
      </c>
      <c r="K660" s="59" t="n">
        <f aca="false">H660/J660</f>
        <v>0.880722114764668</v>
      </c>
    </row>
    <row r="661" customFormat="false" ht="15" hidden="false" customHeight="false" outlineLevel="0" collapsed="false">
      <c r="A661" s="39" t="s">
        <v>879</v>
      </c>
      <c r="B661" s="39" t="s">
        <v>910</v>
      </c>
      <c r="C661" s="39" t="s">
        <v>893</v>
      </c>
      <c r="D661" s="39" t="s">
        <v>887</v>
      </c>
      <c r="E661" s="39" t="s">
        <v>884</v>
      </c>
      <c r="F661" s="39"/>
      <c r="G661" s="58" t="n">
        <v>679</v>
      </c>
      <c r="H661" s="34" t="n">
        <f aca="false">G661*2</f>
        <v>1358</v>
      </c>
      <c r="I661" s="39" t="str">
        <f aca="false">A661&amp;"|"&amp;B661&amp;"|"&amp;D661&amp;"|"&amp;E661&amp;F661</f>
        <v>auto|Woodward|scenario D (age 55)|female</v>
      </c>
      <c r="J661" s="34" t="n">
        <f aca="false" t="array" ref="J661:J661">MEDIAN(IF($I$4:$I$1803=I661,$H$4:$H$1803))</f>
        <v>1551</v>
      </c>
      <c r="K661" s="59" t="n">
        <f aca="false">H661/J661</f>
        <v>0.875564152159897</v>
      </c>
    </row>
    <row r="662" customFormat="false" ht="15" hidden="false" customHeight="false" outlineLevel="0" collapsed="false">
      <c r="A662" s="39" t="s">
        <v>879</v>
      </c>
      <c r="B662" s="39" t="s">
        <v>910</v>
      </c>
      <c r="C662" s="39" t="s">
        <v>893</v>
      </c>
      <c r="D662" s="39" t="s">
        <v>888</v>
      </c>
      <c r="E662" s="39" t="s">
        <v>883</v>
      </c>
      <c r="F662" s="39"/>
      <c r="G662" s="58" t="n">
        <v>586</v>
      </c>
      <c r="H662" s="34" t="n">
        <f aca="false">G662*2</f>
        <v>1172</v>
      </c>
      <c r="I662" s="39" t="str">
        <f aca="false">A662&amp;"|"&amp;B662&amp;"|"&amp;D662&amp;"|"&amp;E662&amp;F662</f>
        <v>auto|Woodward|scenario E (age 70)|male</v>
      </c>
      <c r="J662" s="34" t="n">
        <f aca="false" t="array" ref="J662:J662">MEDIAN(IF($I$4:$I$1803=I662,$H$4:$H$1803))</f>
        <v>1442</v>
      </c>
      <c r="K662" s="59" t="n">
        <f aca="false">H662/J662</f>
        <v>0.812760055478502</v>
      </c>
    </row>
    <row r="663" customFormat="false" ht="15" hidden="false" customHeight="false" outlineLevel="0" collapsed="false">
      <c r="A663" s="39" t="s">
        <v>879</v>
      </c>
      <c r="B663" s="39" t="s">
        <v>910</v>
      </c>
      <c r="C663" s="39" t="s">
        <v>893</v>
      </c>
      <c r="D663" s="39" t="s">
        <v>888</v>
      </c>
      <c r="E663" s="39" t="s">
        <v>884</v>
      </c>
      <c r="F663" s="39"/>
      <c r="G663" s="58" t="n">
        <v>620</v>
      </c>
      <c r="H663" s="34" t="n">
        <f aca="false">G663*2</f>
        <v>1240</v>
      </c>
      <c r="I663" s="39" t="str">
        <f aca="false">A663&amp;"|"&amp;B663&amp;"|"&amp;D663&amp;"|"&amp;E663&amp;F663</f>
        <v>auto|Woodward|scenario E (age 70)|female</v>
      </c>
      <c r="J663" s="34" t="n">
        <f aca="false" t="array" ref="J663:J663">MEDIAN(IF($I$4:$I$1803=I663,$H$4:$H$1803))</f>
        <v>1425</v>
      </c>
      <c r="K663" s="59" t="n">
        <f aca="false">H663/J663</f>
        <v>0.870175438596491</v>
      </c>
    </row>
    <row r="664" customFormat="false" ht="15" hidden="false" customHeight="false" outlineLevel="0" collapsed="false">
      <c r="A664" s="39" t="s">
        <v>879</v>
      </c>
      <c r="B664" s="39" t="s">
        <v>910</v>
      </c>
      <c r="C664" s="39" t="s">
        <v>894</v>
      </c>
      <c r="D664" s="39" t="s">
        <v>882</v>
      </c>
      <c r="E664" s="39" t="s">
        <v>883</v>
      </c>
      <c r="F664" s="39"/>
      <c r="G664" s="58" t="n">
        <v>3313</v>
      </c>
      <c r="H664" s="34" t="n">
        <f aca="false">G664*2</f>
        <v>6626</v>
      </c>
      <c r="I664" s="39" t="str">
        <f aca="false">A664&amp;"|"&amp;B664&amp;"|"&amp;D664&amp;"|"&amp;E664&amp;F664</f>
        <v>auto|Woodward|scenario A (age 16)|male</v>
      </c>
      <c r="J664" s="34" t="n">
        <f aca="false" t="array" ref="J664:J664">MEDIAN(IF($I$4:$I$1803=I664,$H$4:$H$1803))</f>
        <v>6758</v>
      </c>
      <c r="K664" s="59" t="n">
        <f aca="false">H664/J664</f>
        <v>0.980467593962711</v>
      </c>
    </row>
    <row r="665" customFormat="false" ht="15" hidden="false" customHeight="false" outlineLevel="0" collapsed="false">
      <c r="A665" s="39" t="s">
        <v>879</v>
      </c>
      <c r="B665" s="39" t="s">
        <v>910</v>
      </c>
      <c r="C665" s="39" t="s">
        <v>894</v>
      </c>
      <c r="D665" s="39" t="s">
        <v>882</v>
      </c>
      <c r="E665" s="39" t="s">
        <v>884</v>
      </c>
      <c r="F665" s="39"/>
      <c r="G665" s="58" t="n">
        <v>3176</v>
      </c>
      <c r="H665" s="34" t="n">
        <f aca="false">G665*2</f>
        <v>6352</v>
      </c>
      <c r="I665" s="39" t="str">
        <f aca="false">A665&amp;"|"&amp;B665&amp;"|"&amp;D665&amp;"|"&amp;E665&amp;F665</f>
        <v>auto|Woodward|scenario A (age 16)|female</v>
      </c>
      <c r="J665" s="34" t="n">
        <f aca="false" t="array" ref="J665:J665">MEDIAN(IF($I$4:$I$1803=I665,$H$4:$H$1803))</f>
        <v>5463</v>
      </c>
      <c r="K665" s="59" t="n">
        <f aca="false">H665/J665</f>
        <v>1.16273110012813</v>
      </c>
    </row>
    <row r="666" customFormat="false" ht="15" hidden="false" customHeight="false" outlineLevel="0" collapsed="false">
      <c r="A666" s="39" t="s">
        <v>879</v>
      </c>
      <c r="B666" s="39" t="s">
        <v>910</v>
      </c>
      <c r="C666" s="39" t="s">
        <v>894</v>
      </c>
      <c r="D666" s="39" t="s">
        <v>885</v>
      </c>
      <c r="E666" s="39" t="s">
        <v>883</v>
      </c>
      <c r="F666" s="39"/>
      <c r="G666" s="58" t="n">
        <v>1255</v>
      </c>
      <c r="H666" s="34" t="n">
        <f aca="false">G666*2</f>
        <v>2510</v>
      </c>
      <c r="I666" s="39" t="str">
        <f aca="false">A666&amp;"|"&amp;B666&amp;"|"&amp;D666&amp;"|"&amp;E666&amp;F666</f>
        <v>auto|Woodward|scenario B (age 21)|male</v>
      </c>
      <c r="J666" s="34" t="n">
        <f aca="false" t="array" ref="J666:J666">MEDIAN(IF($I$4:$I$1803=I666,$H$4:$H$1803))</f>
        <v>3072</v>
      </c>
      <c r="K666" s="59" t="n">
        <f aca="false">H666/J666</f>
        <v>0.817057291666667</v>
      </c>
    </row>
    <row r="667" customFormat="false" ht="15" hidden="false" customHeight="false" outlineLevel="0" collapsed="false">
      <c r="A667" s="39" t="s">
        <v>879</v>
      </c>
      <c r="B667" s="39" t="s">
        <v>910</v>
      </c>
      <c r="C667" s="39" t="s">
        <v>894</v>
      </c>
      <c r="D667" s="39" t="s">
        <v>885</v>
      </c>
      <c r="E667" s="39" t="s">
        <v>884</v>
      </c>
      <c r="F667" s="39"/>
      <c r="G667" s="58" t="n">
        <v>1199</v>
      </c>
      <c r="H667" s="34" t="n">
        <f aca="false">G667*2</f>
        <v>2398</v>
      </c>
      <c r="I667" s="39" t="str">
        <f aca="false">A667&amp;"|"&amp;B667&amp;"|"&amp;D667&amp;"|"&amp;E667&amp;F667</f>
        <v>auto|Woodward|scenario B (age 21)|female</v>
      </c>
      <c r="J667" s="34" t="n">
        <f aca="false" t="array" ref="J667:J667">MEDIAN(IF($I$4:$I$1803=I667,$H$4:$H$1803))</f>
        <v>2716</v>
      </c>
      <c r="K667" s="59" t="n">
        <f aca="false">H667/J667</f>
        <v>0.882916053019146</v>
      </c>
    </row>
    <row r="668" customFormat="false" ht="15" hidden="false" customHeight="false" outlineLevel="0" collapsed="false">
      <c r="A668" s="39" t="s">
        <v>879</v>
      </c>
      <c r="B668" s="39" t="s">
        <v>910</v>
      </c>
      <c r="C668" s="39" t="s">
        <v>894</v>
      </c>
      <c r="D668" s="39" t="s">
        <v>886</v>
      </c>
      <c r="E668" s="39" t="s">
        <v>883</v>
      </c>
      <c r="F668" s="39"/>
      <c r="G668" s="58" t="n">
        <v>731</v>
      </c>
      <c r="H668" s="34" t="n">
        <f aca="false">G668*2</f>
        <v>1462</v>
      </c>
      <c r="I668" s="39" t="str">
        <f aca="false">A668&amp;"|"&amp;B668&amp;"|"&amp;D668&amp;"|"&amp;E668&amp;F668</f>
        <v>auto|Woodward|scenario C (age 36)|male</v>
      </c>
      <c r="J668" s="34" t="n">
        <f aca="false" t="array" ref="J668:J668">MEDIAN(IF($I$4:$I$1803=I668,$H$4:$H$1803))</f>
        <v>1834</v>
      </c>
      <c r="K668" s="59" t="n">
        <f aca="false">H668/J668</f>
        <v>0.797164667393675</v>
      </c>
    </row>
    <row r="669" customFormat="false" ht="15" hidden="false" customHeight="false" outlineLevel="0" collapsed="false">
      <c r="A669" s="39" t="s">
        <v>879</v>
      </c>
      <c r="B669" s="39" t="s">
        <v>910</v>
      </c>
      <c r="C669" s="39" t="s">
        <v>894</v>
      </c>
      <c r="D669" s="39" t="s">
        <v>886</v>
      </c>
      <c r="E669" s="39" t="s">
        <v>884</v>
      </c>
      <c r="F669" s="39"/>
      <c r="G669" s="58" t="n">
        <v>710</v>
      </c>
      <c r="H669" s="34" t="n">
        <f aca="false">G669*2</f>
        <v>1420</v>
      </c>
      <c r="I669" s="39" t="str">
        <f aca="false">A669&amp;"|"&amp;B669&amp;"|"&amp;D669&amp;"|"&amp;E669&amp;F669</f>
        <v>auto|Woodward|scenario C (age 36)|female</v>
      </c>
      <c r="J669" s="34" t="n">
        <f aca="false" t="array" ref="J669:J669">MEDIAN(IF($I$4:$I$1803=I669,$H$4:$H$1803))</f>
        <v>1768</v>
      </c>
      <c r="K669" s="59" t="n">
        <f aca="false">H669/J669</f>
        <v>0.80316742081448</v>
      </c>
    </row>
    <row r="670" customFormat="false" ht="15" hidden="false" customHeight="false" outlineLevel="0" collapsed="false">
      <c r="A670" s="39" t="s">
        <v>879</v>
      </c>
      <c r="B670" s="39" t="s">
        <v>910</v>
      </c>
      <c r="C670" s="39" t="s">
        <v>894</v>
      </c>
      <c r="D670" s="39" t="s">
        <v>887</v>
      </c>
      <c r="E670" s="39" t="s">
        <v>883</v>
      </c>
      <c r="F670" s="39"/>
      <c r="G670" s="58" t="n">
        <v>648</v>
      </c>
      <c r="H670" s="34" t="n">
        <f aca="false">G670*2</f>
        <v>1296</v>
      </c>
      <c r="I670" s="39" t="str">
        <f aca="false">A670&amp;"|"&amp;B670&amp;"|"&amp;D670&amp;"|"&amp;E670&amp;F670</f>
        <v>auto|Woodward|scenario D (age 55)|male</v>
      </c>
      <c r="J670" s="34" t="n">
        <f aca="false" t="array" ref="J670:J670">MEDIAN(IF($I$4:$I$1803=I670,$H$4:$H$1803))</f>
        <v>1551</v>
      </c>
      <c r="K670" s="59" t="n">
        <f aca="false">H670/J670</f>
        <v>0.835589941972921</v>
      </c>
    </row>
    <row r="671" customFormat="false" ht="15" hidden="false" customHeight="false" outlineLevel="0" collapsed="false">
      <c r="A671" s="39" t="s">
        <v>879</v>
      </c>
      <c r="B671" s="39" t="s">
        <v>910</v>
      </c>
      <c r="C671" s="39" t="s">
        <v>894</v>
      </c>
      <c r="D671" s="39" t="s">
        <v>887</v>
      </c>
      <c r="E671" s="39" t="s">
        <v>884</v>
      </c>
      <c r="F671" s="39"/>
      <c r="G671" s="58" t="n">
        <v>642</v>
      </c>
      <c r="H671" s="34" t="n">
        <f aca="false">G671*2</f>
        <v>1284</v>
      </c>
      <c r="I671" s="39" t="str">
        <f aca="false">A671&amp;"|"&amp;B671&amp;"|"&amp;D671&amp;"|"&amp;E671&amp;F671</f>
        <v>auto|Woodward|scenario D (age 55)|female</v>
      </c>
      <c r="J671" s="34" t="n">
        <f aca="false" t="array" ref="J671:J671">MEDIAN(IF($I$4:$I$1803=I671,$H$4:$H$1803))</f>
        <v>1551</v>
      </c>
      <c r="K671" s="59" t="n">
        <f aca="false">H671/J671</f>
        <v>0.827852998065764</v>
      </c>
    </row>
    <row r="672" customFormat="false" ht="15" hidden="false" customHeight="false" outlineLevel="0" collapsed="false">
      <c r="A672" s="39" t="s">
        <v>879</v>
      </c>
      <c r="B672" s="39" t="s">
        <v>910</v>
      </c>
      <c r="C672" s="39" t="s">
        <v>894</v>
      </c>
      <c r="D672" s="39" t="s">
        <v>888</v>
      </c>
      <c r="E672" s="39" t="s">
        <v>883</v>
      </c>
      <c r="F672" s="39"/>
      <c r="G672" s="58" t="n">
        <v>646</v>
      </c>
      <c r="H672" s="34" t="n">
        <f aca="false">G672*2</f>
        <v>1292</v>
      </c>
      <c r="I672" s="39" t="str">
        <f aca="false">A672&amp;"|"&amp;B672&amp;"|"&amp;D672&amp;"|"&amp;E672&amp;F672</f>
        <v>auto|Woodward|scenario E (age 70)|male</v>
      </c>
      <c r="J672" s="34" t="n">
        <f aca="false" t="array" ref="J672:J672">MEDIAN(IF($I$4:$I$1803=I672,$H$4:$H$1803))</f>
        <v>1442</v>
      </c>
      <c r="K672" s="59" t="n">
        <f aca="false">H672/J672</f>
        <v>0.895977808599168</v>
      </c>
    </row>
    <row r="673" customFormat="false" ht="15" hidden="false" customHeight="false" outlineLevel="0" collapsed="false">
      <c r="A673" s="39" t="s">
        <v>879</v>
      </c>
      <c r="B673" s="39" t="s">
        <v>910</v>
      </c>
      <c r="C673" s="39" t="s">
        <v>894</v>
      </c>
      <c r="D673" s="39" t="s">
        <v>888</v>
      </c>
      <c r="E673" s="39" t="s">
        <v>884</v>
      </c>
      <c r="F673" s="39"/>
      <c r="G673" s="58" t="n">
        <v>646</v>
      </c>
      <c r="H673" s="34" t="n">
        <f aca="false">G673*2</f>
        <v>1292</v>
      </c>
      <c r="I673" s="39" t="str">
        <f aca="false">A673&amp;"|"&amp;B673&amp;"|"&amp;D673&amp;"|"&amp;E673&amp;F673</f>
        <v>auto|Woodward|scenario E (age 70)|female</v>
      </c>
      <c r="J673" s="34" t="n">
        <f aca="false" t="array" ref="J673:J673">MEDIAN(IF($I$4:$I$1803=I673,$H$4:$H$1803))</f>
        <v>1425</v>
      </c>
      <c r="K673" s="59" t="n">
        <f aca="false">H673/J673</f>
        <v>0.906666666666667</v>
      </c>
    </row>
    <row r="674" customFormat="false" ht="15" hidden="false" customHeight="false" outlineLevel="0" collapsed="false">
      <c r="A674" s="39" t="s">
        <v>879</v>
      </c>
      <c r="B674" s="39" t="s">
        <v>910</v>
      </c>
      <c r="C674" s="39" t="s">
        <v>895</v>
      </c>
      <c r="D674" s="39" t="s">
        <v>882</v>
      </c>
      <c r="E674" s="39" t="s">
        <v>883</v>
      </c>
      <c r="F674" s="39"/>
      <c r="G674" s="58" t="n">
        <v>1713</v>
      </c>
      <c r="H674" s="34" t="n">
        <f aca="false">G674*2</f>
        <v>3426</v>
      </c>
      <c r="I674" s="39" t="str">
        <f aca="false">A674&amp;"|"&amp;B674&amp;"|"&amp;D674&amp;"|"&amp;E674&amp;F674</f>
        <v>auto|Woodward|scenario A (age 16)|male</v>
      </c>
      <c r="J674" s="34" t="n">
        <f aca="false" t="array" ref="J674:J674">MEDIAN(IF($I$4:$I$1803=I674,$H$4:$H$1803))</f>
        <v>6758</v>
      </c>
      <c r="K674" s="59" t="n">
        <f aca="false">H674/J674</f>
        <v>0.506954720331459</v>
      </c>
    </row>
    <row r="675" customFormat="false" ht="15" hidden="false" customHeight="false" outlineLevel="0" collapsed="false">
      <c r="A675" s="39" t="s">
        <v>879</v>
      </c>
      <c r="B675" s="39" t="s">
        <v>910</v>
      </c>
      <c r="C675" s="39" t="s">
        <v>895</v>
      </c>
      <c r="D675" s="39" t="s">
        <v>882</v>
      </c>
      <c r="E675" s="39" t="s">
        <v>884</v>
      </c>
      <c r="F675" s="39"/>
      <c r="G675" s="58" t="n">
        <v>1726</v>
      </c>
      <c r="H675" s="34" t="n">
        <f aca="false">G675*2</f>
        <v>3452</v>
      </c>
      <c r="I675" s="39" t="str">
        <f aca="false">A675&amp;"|"&amp;B675&amp;"|"&amp;D675&amp;"|"&amp;E675&amp;F675</f>
        <v>auto|Woodward|scenario A (age 16)|female</v>
      </c>
      <c r="J675" s="34" t="n">
        <f aca="false" t="array" ref="J675:J675">MEDIAN(IF($I$4:$I$1803=I675,$H$4:$H$1803))</f>
        <v>5463</v>
      </c>
      <c r="K675" s="59" t="n">
        <f aca="false">H675/J675</f>
        <v>0.631887241442431</v>
      </c>
    </row>
    <row r="676" customFormat="false" ht="15" hidden="false" customHeight="false" outlineLevel="0" collapsed="false">
      <c r="A676" s="39" t="s">
        <v>879</v>
      </c>
      <c r="B676" s="39" t="s">
        <v>910</v>
      </c>
      <c r="C676" s="39" t="s">
        <v>895</v>
      </c>
      <c r="D676" s="39" t="s">
        <v>885</v>
      </c>
      <c r="E676" s="39" t="s">
        <v>883</v>
      </c>
      <c r="F676" s="39"/>
      <c r="G676" s="58" t="n">
        <v>609</v>
      </c>
      <c r="H676" s="34" t="n">
        <f aca="false">G676*2</f>
        <v>1218</v>
      </c>
      <c r="I676" s="39" t="str">
        <f aca="false">A676&amp;"|"&amp;B676&amp;"|"&amp;D676&amp;"|"&amp;E676&amp;F676</f>
        <v>auto|Woodward|scenario B (age 21)|male</v>
      </c>
      <c r="J676" s="34" t="n">
        <f aca="false" t="array" ref="J676:J676">MEDIAN(IF($I$4:$I$1803=I676,$H$4:$H$1803))</f>
        <v>3072</v>
      </c>
      <c r="K676" s="59" t="n">
        <f aca="false">H676/J676</f>
        <v>0.396484375</v>
      </c>
    </row>
    <row r="677" customFormat="false" ht="15" hidden="false" customHeight="false" outlineLevel="0" collapsed="false">
      <c r="A677" s="39" t="s">
        <v>879</v>
      </c>
      <c r="B677" s="39" t="s">
        <v>910</v>
      </c>
      <c r="C677" s="39" t="s">
        <v>895</v>
      </c>
      <c r="D677" s="39" t="s">
        <v>885</v>
      </c>
      <c r="E677" s="39" t="s">
        <v>884</v>
      </c>
      <c r="F677" s="39"/>
      <c r="G677" s="58" t="n">
        <v>608</v>
      </c>
      <c r="H677" s="34" t="n">
        <f aca="false">G677*2</f>
        <v>1216</v>
      </c>
      <c r="I677" s="39" t="str">
        <f aca="false">A677&amp;"|"&amp;B677&amp;"|"&amp;D677&amp;"|"&amp;E677&amp;F677</f>
        <v>auto|Woodward|scenario B (age 21)|female</v>
      </c>
      <c r="J677" s="34" t="n">
        <f aca="false" t="array" ref="J677:J677">MEDIAN(IF($I$4:$I$1803=I677,$H$4:$H$1803))</f>
        <v>2716</v>
      </c>
      <c r="K677" s="59" t="n">
        <f aca="false">H677/J677</f>
        <v>0.447717231222386</v>
      </c>
    </row>
    <row r="678" customFormat="false" ht="15" hidden="false" customHeight="false" outlineLevel="0" collapsed="false">
      <c r="A678" s="39" t="s">
        <v>879</v>
      </c>
      <c r="B678" s="39" t="s">
        <v>910</v>
      </c>
      <c r="C678" s="39" t="s">
        <v>895</v>
      </c>
      <c r="D678" s="39" t="s">
        <v>886</v>
      </c>
      <c r="E678" s="39" t="s">
        <v>883</v>
      </c>
      <c r="F678" s="39"/>
      <c r="G678" s="58" t="n">
        <v>386</v>
      </c>
      <c r="H678" s="34" t="n">
        <f aca="false">G678*2</f>
        <v>772</v>
      </c>
      <c r="I678" s="39" t="str">
        <f aca="false">A678&amp;"|"&amp;B678&amp;"|"&amp;D678&amp;"|"&amp;E678&amp;F678</f>
        <v>auto|Woodward|scenario C (age 36)|male</v>
      </c>
      <c r="J678" s="34" t="n">
        <f aca="false" t="array" ref="J678:J678">MEDIAN(IF($I$4:$I$1803=I678,$H$4:$H$1803))</f>
        <v>1834</v>
      </c>
      <c r="K678" s="59" t="n">
        <f aca="false">H678/J678</f>
        <v>0.420937840785169</v>
      </c>
    </row>
    <row r="679" customFormat="false" ht="15" hidden="false" customHeight="false" outlineLevel="0" collapsed="false">
      <c r="A679" s="39" t="s">
        <v>879</v>
      </c>
      <c r="B679" s="39" t="s">
        <v>910</v>
      </c>
      <c r="C679" s="39" t="s">
        <v>895</v>
      </c>
      <c r="D679" s="39" t="s">
        <v>886</v>
      </c>
      <c r="E679" s="39" t="s">
        <v>884</v>
      </c>
      <c r="F679" s="39"/>
      <c r="G679" s="58" t="n">
        <v>386</v>
      </c>
      <c r="H679" s="34" t="n">
        <f aca="false">G679*2</f>
        <v>772</v>
      </c>
      <c r="I679" s="39" t="str">
        <f aca="false">A679&amp;"|"&amp;B679&amp;"|"&amp;D679&amp;"|"&amp;E679&amp;F679</f>
        <v>auto|Woodward|scenario C (age 36)|female</v>
      </c>
      <c r="J679" s="34" t="n">
        <f aca="false" t="array" ref="J679:J679">MEDIAN(IF($I$4:$I$1803=I679,$H$4:$H$1803))</f>
        <v>1768</v>
      </c>
      <c r="K679" s="59" t="n">
        <f aca="false">H679/J679</f>
        <v>0.436651583710407</v>
      </c>
    </row>
    <row r="680" customFormat="false" ht="15" hidden="false" customHeight="false" outlineLevel="0" collapsed="false">
      <c r="A680" s="39" t="s">
        <v>879</v>
      </c>
      <c r="B680" s="39" t="s">
        <v>910</v>
      </c>
      <c r="C680" s="39" t="s">
        <v>895</v>
      </c>
      <c r="D680" s="39" t="s">
        <v>887</v>
      </c>
      <c r="E680" s="39" t="s">
        <v>883</v>
      </c>
      <c r="F680" s="39"/>
      <c r="G680" s="58" t="n">
        <v>361</v>
      </c>
      <c r="H680" s="34" t="n">
        <f aca="false">G680*2</f>
        <v>722</v>
      </c>
      <c r="I680" s="39" t="str">
        <f aca="false">A680&amp;"|"&amp;B680&amp;"|"&amp;D680&amp;"|"&amp;E680&amp;F680</f>
        <v>auto|Woodward|scenario D (age 55)|male</v>
      </c>
      <c r="J680" s="34" t="n">
        <f aca="false" t="array" ref="J680:J680">MEDIAN(IF($I$4:$I$1803=I680,$H$4:$H$1803))</f>
        <v>1551</v>
      </c>
      <c r="K680" s="59" t="n">
        <f aca="false">H680/J680</f>
        <v>0.465506125080593</v>
      </c>
    </row>
    <row r="681" customFormat="false" ht="15" hidden="false" customHeight="false" outlineLevel="0" collapsed="false">
      <c r="A681" s="39" t="s">
        <v>879</v>
      </c>
      <c r="B681" s="39" t="s">
        <v>910</v>
      </c>
      <c r="C681" s="39" t="s">
        <v>895</v>
      </c>
      <c r="D681" s="39" t="s">
        <v>887</v>
      </c>
      <c r="E681" s="39" t="s">
        <v>884</v>
      </c>
      <c r="F681" s="39"/>
      <c r="G681" s="58" t="n">
        <v>361</v>
      </c>
      <c r="H681" s="34" t="n">
        <f aca="false">G681*2</f>
        <v>722</v>
      </c>
      <c r="I681" s="39" t="str">
        <f aca="false">A681&amp;"|"&amp;B681&amp;"|"&amp;D681&amp;"|"&amp;E681&amp;F681</f>
        <v>auto|Woodward|scenario D (age 55)|female</v>
      </c>
      <c r="J681" s="34" t="n">
        <f aca="false" t="array" ref="J681:J681">MEDIAN(IF($I$4:$I$1803=I681,$H$4:$H$1803))</f>
        <v>1551</v>
      </c>
      <c r="K681" s="59" t="n">
        <f aca="false">H681/J681</f>
        <v>0.465506125080593</v>
      </c>
    </row>
    <row r="682" customFormat="false" ht="15" hidden="false" customHeight="false" outlineLevel="0" collapsed="false">
      <c r="A682" s="39" t="s">
        <v>879</v>
      </c>
      <c r="B682" s="39" t="s">
        <v>910</v>
      </c>
      <c r="C682" s="39" t="s">
        <v>895</v>
      </c>
      <c r="D682" s="39" t="s">
        <v>888</v>
      </c>
      <c r="E682" s="39" t="s">
        <v>883</v>
      </c>
      <c r="F682" s="39"/>
      <c r="G682" s="58" t="n">
        <v>367</v>
      </c>
      <c r="H682" s="34" t="n">
        <f aca="false">G682*2</f>
        <v>734</v>
      </c>
      <c r="I682" s="39" t="str">
        <f aca="false">A682&amp;"|"&amp;B682&amp;"|"&amp;D682&amp;"|"&amp;E682&amp;F682</f>
        <v>auto|Woodward|scenario E (age 70)|male</v>
      </c>
      <c r="J682" s="34" t="n">
        <f aca="false" t="array" ref="J682:J682">MEDIAN(IF($I$4:$I$1803=I682,$H$4:$H$1803))</f>
        <v>1442</v>
      </c>
      <c r="K682" s="59" t="n">
        <f aca="false">H682/J682</f>
        <v>0.509015256588072</v>
      </c>
    </row>
    <row r="683" customFormat="false" ht="15" hidden="false" customHeight="false" outlineLevel="0" collapsed="false">
      <c r="A683" s="39" t="s">
        <v>879</v>
      </c>
      <c r="B683" s="39" t="s">
        <v>910</v>
      </c>
      <c r="C683" s="39" t="s">
        <v>895</v>
      </c>
      <c r="D683" s="39" t="s">
        <v>888</v>
      </c>
      <c r="E683" s="39" t="s">
        <v>884</v>
      </c>
      <c r="F683" s="39"/>
      <c r="G683" s="58" t="n">
        <v>367</v>
      </c>
      <c r="H683" s="34" t="n">
        <f aca="false">G683*2</f>
        <v>734</v>
      </c>
      <c r="I683" s="39" t="str">
        <f aca="false">A683&amp;"|"&amp;B683&amp;"|"&amp;D683&amp;"|"&amp;E683&amp;F683</f>
        <v>auto|Woodward|scenario E (age 70)|female</v>
      </c>
      <c r="J683" s="34" t="n">
        <f aca="false" t="array" ref="J683:J683">MEDIAN(IF($I$4:$I$1803=I683,$H$4:$H$1803))</f>
        <v>1425</v>
      </c>
      <c r="K683" s="59" t="n">
        <f aca="false">H683/J683</f>
        <v>0.515087719298246</v>
      </c>
    </row>
    <row r="684" customFormat="false" ht="15" hidden="false" customHeight="false" outlineLevel="0" collapsed="false">
      <c r="A684" s="39" t="s">
        <v>879</v>
      </c>
      <c r="B684" s="39" t="s">
        <v>910</v>
      </c>
      <c r="C684" s="39" t="s">
        <v>896</v>
      </c>
      <c r="D684" s="39" t="s">
        <v>882</v>
      </c>
      <c r="E684" s="39" t="s">
        <v>883</v>
      </c>
      <c r="F684" s="39"/>
      <c r="G684" s="58" t="n">
        <v>3890</v>
      </c>
      <c r="H684" s="34" t="n">
        <f aca="false">G684*2</f>
        <v>7780</v>
      </c>
      <c r="I684" s="39" t="str">
        <f aca="false">A684&amp;"|"&amp;B684&amp;"|"&amp;D684&amp;"|"&amp;E684&amp;F684</f>
        <v>auto|Woodward|scenario A (age 16)|male</v>
      </c>
      <c r="J684" s="34" t="n">
        <f aca="false" t="array" ref="J684:J684">MEDIAN(IF($I$4:$I$1803=I684,$H$4:$H$1803))</f>
        <v>6758</v>
      </c>
      <c r="K684" s="59" t="n">
        <f aca="false">H684/J684</f>
        <v>1.15122817401598</v>
      </c>
    </row>
    <row r="685" customFormat="false" ht="15" hidden="false" customHeight="false" outlineLevel="0" collapsed="false">
      <c r="A685" s="39" t="s">
        <v>879</v>
      </c>
      <c r="B685" s="39" t="s">
        <v>910</v>
      </c>
      <c r="C685" s="39" t="s">
        <v>896</v>
      </c>
      <c r="D685" s="39" t="s">
        <v>882</v>
      </c>
      <c r="E685" s="39" t="s">
        <v>884</v>
      </c>
      <c r="F685" s="39"/>
      <c r="G685" s="58" t="n">
        <v>2424</v>
      </c>
      <c r="H685" s="34" t="n">
        <f aca="false">G685*2</f>
        <v>4848</v>
      </c>
      <c r="I685" s="39" t="str">
        <f aca="false">A685&amp;"|"&amp;B685&amp;"|"&amp;D685&amp;"|"&amp;E685&amp;F685</f>
        <v>auto|Woodward|scenario A (age 16)|female</v>
      </c>
      <c r="J685" s="34" t="n">
        <f aca="false" t="array" ref="J685:J685">MEDIAN(IF($I$4:$I$1803=I685,$H$4:$H$1803))</f>
        <v>5463</v>
      </c>
      <c r="K685" s="59" t="n">
        <f aca="false">H685/J685</f>
        <v>0.887424492037342</v>
      </c>
    </row>
    <row r="686" customFormat="false" ht="15" hidden="false" customHeight="false" outlineLevel="0" collapsed="false">
      <c r="A686" s="39" t="s">
        <v>879</v>
      </c>
      <c r="B686" s="39" t="s">
        <v>910</v>
      </c>
      <c r="C686" s="39" t="s">
        <v>896</v>
      </c>
      <c r="D686" s="39" t="s">
        <v>885</v>
      </c>
      <c r="E686" s="39" t="s">
        <v>883</v>
      </c>
      <c r="F686" s="39"/>
      <c r="G686" s="58" t="n">
        <v>2260</v>
      </c>
      <c r="H686" s="34" t="n">
        <f aca="false">G686*2</f>
        <v>4520</v>
      </c>
      <c r="I686" s="39" t="str">
        <f aca="false">A686&amp;"|"&amp;B686&amp;"|"&amp;D686&amp;"|"&amp;E686&amp;F686</f>
        <v>auto|Woodward|scenario B (age 21)|male</v>
      </c>
      <c r="J686" s="34" t="n">
        <f aca="false" t="array" ref="J686:J686">MEDIAN(IF($I$4:$I$1803=I686,$H$4:$H$1803))</f>
        <v>3072</v>
      </c>
      <c r="K686" s="59" t="n">
        <f aca="false">H686/J686</f>
        <v>1.47135416666667</v>
      </c>
    </row>
    <row r="687" customFormat="false" ht="15" hidden="false" customHeight="false" outlineLevel="0" collapsed="false">
      <c r="A687" s="39" t="s">
        <v>879</v>
      </c>
      <c r="B687" s="39" t="s">
        <v>910</v>
      </c>
      <c r="C687" s="39" t="s">
        <v>896</v>
      </c>
      <c r="D687" s="39" t="s">
        <v>885</v>
      </c>
      <c r="E687" s="39" t="s">
        <v>884</v>
      </c>
      <c r="F687" s="39"/>
      <c r="G687" s="58" t="n">
        <v>1691</v>
      </c>
      <c r="H687" s="34" t="n">
        <f aca="false">G687*2</f>
        <v>3382</v>
      </c>
      <c r="I687" s="39" t="str">
        <f aca="false">A687&amp;"|"&amp;B687&amp;"|"&amp;D687&amp;"|"&amp;E687&amp;F687</f>
        <v>auto|Woodward|scenario B (age 21)|female</v>
      </c>
      <c r="J687" s="34" t="n">
        <f aca="false" t="array" ref="J687:J687">MEDIAN(IF($I$4:$I$1803=I687,$H$4:$H$1803))</f>
        <v>2716</v>
      </c>
      <c r="K687" s="59" t="n">
        <f aca="false">H687/J687</f>
        <v>1.24521354933726</v>
      </c>
    </row>
    <row r="688" customFormat="false" ht="15" hidden="false" customHeight="false" outlineLevel="0" collapsed="false">
      <c r="A688" s="39" t="s">
        <v>879</v>
      </c>
      <c r="B688" s="39" t="s">
        <v>910</v>
      </c>
      <c r="C688" s="39" t="s">
        <v>896</v>
      </c>
      <c r="D688" s="39" t="s">
        <v>886</v>
      </c>
      <c r="E688" s="39" t="s">
        <v>883</v>
      </c>
      <c r="F688" s="39"/>
      <c r="G688" s="58" t="n">
        <v>1054</v>
      </c>
      <c r="H688" s="34" t="n">
        <f aca="false">G688*2</f>
        <v>2108</v>
      </c>
      <c r="I688" s="39" t="str">
        <f aca="false">A688&amp;"|"&amp;B688&amp;"|"&amp;D688&amp;"|"&amp;E688&amp;F688</f>
        <v>auto|Woodward|scenario C (age 36)|male</v>
      </c>
      <c r="J688" s="34" t="n">
        <f aca="false" t="array" ref="J688:J688">MEDIAN(IF($I$4:$I$1803=I688,$H$4:$H$1803))</f>
        <v>1834</v>
      </c>
      <c r="K688" s="59" t="n">
        <f aca="false">H688/J688</f>
        <v>1.14940021810251</v>
      </c>
    </row>
    <row r="689" customFormat="false" ht="15" hidden="false" customHeight="false" outlineLevel="0" collapsed="false">
      <c r="A689" s="39" t="s">
        <v>879</v>
      </c>
      <c r="B689" s="39" t="s">
        <v>910</v>
      </c>
      <c r="C689" s="39" t="s">
        <v>896</v>
      </c>
      <c r="D689" s="39" t="s">
        <v>886</v>
      </c>
      <c r="E689" s="39" t="s">
        <v>884</v>
      </c>
      <c r="F689" s="39"/>
      <c r="G689" s="58" t="n">
        <v>1054</v>
      </c>
      <c r="H689" s="34" t="n">
        <f aca="false">G689*2</f>
        <v>2108</v>
      </c>
      <c r="I689" s="39" t="str">
        <f aca="false">A689&amp;"|"&amp;B689&amp;"|"&amp;D689&amp;"|"&amp;E689&amp;F689</f>
        <v>auto|Woodward|scenario C (age 36)|female</v>
      </c>
      <c r="J689" s="34" t="n">
        <f aca="false" t="array" ref="J689:J689">MEDIAN(IF($I$4:$I$1803=I689,$H$4:$H$1803))</f>
        <v>1768</v>
      </c>
      <c r="K689" s="59" t="n">
        <f aca="false">H689/J689</f>
        <v>1.19230769230769</v>
      </c>
    </row>
    <row r="690" customFormat="false" ht="15" hidden="false" customHeight="false" outlineLevel="0" collapsed="false">
      <c r="A690" s="39" t="s">
        <v>879</v>
      </c>
      <c r="B690" s="39" t="s">
        <v>910</v>
      </c>
      <c r="C690" s="39" t="s">
        <v>896</v>
      </c>
      <c r="D690" s="39" t="s">
        <v>887</v>
      </c>
      <c r="E690" s="39" t="s">
        <v>883</v>
      </c>
      <c r="F690" s="39"/>
      <c r="G690" s="58" t="n">
        <v>949</v>
      </c>
      <c r="H690" s="34" t="n">
        <f aca="false">G690*2</f>
        <v>1898</v>
      </c>
      <c r="I690" s="39" t="str">
        <f aca="false">A690&amp;"|"&amp;B690&amp;"|"&amp;D690&amp;"|"&amp;E690&amp;F690</f>
        <v>auto|Woodward|scenario D (age 55)|male</v>
      </c>
      <c r="J690" s="34" t="n">
        <f aca="false" t="array" ref="J690:J690">MEDIAN(IF($I$4:$I$1803=I690,$H$4:$H$1803))</f>
        <v>1551</v>
      </c>
      <c r="K690" s="59" t="n">
        <f aca="false">H690/J690</f>
        <v>1.22372662798195</v>
      </c>
    </row>
    <row r="691" customFormat="false" ht="15" hidden="false" customHeight="false" outlineLevel="0" collapsed="false">
      <c r="A691" s="39" t="s">
        <v>879</v>
      </c>
      <c r="B691" s="39" t="s">
        <v>910</v>
      </c>
      <c r="C691" s="39" t="s">
        <v>896</v>
      </c>
      <c r="D691" s="39" t="s">
        <v>887</v>
      </c>
      <c r="E691" s="39" t="s">
        <v>884</v>
      </c>
      <c r="F691" s="39"/>
      <c r="G691" s="58" t="n">
        <v>949</v>
      </c>
      <c r="H691" s="34" t="n">
        <f aca="false">G691*2</f>
        <v>1898</v>
      </c>
      <c r="I691" s="39" t="str">
        <f aca="false">A691&amp;"|"&amp;B691&amp;"|"&amp;D691&amp;"|"&amp;E691&amp;F691</f>
        <v>auto|Woodward|scenario D (age 55)|female</v>
      </c>
      <c r="J691" s="34" t="n">
        <f aca="false" t="array" ref="J691:J691">MEDIAN(IF($I$4:$I$1803=I691,$H$4:$H$1803))</f>
        <v>1551</v>
      </c>
      <c r="K691" s="59" t="n">
        <f aca="false">H691/J691</f>
        <v>1.22372662798195</v>
      </c>
    </row>
    <row r="692" customFormat="false" ht="15" hidden="false" customHeight="false" outlineLevel="0" collapsed="false">
      <c r="A692" s="39" t="s">
        <v>879</v>
      </c>
      <c r="B692" s="39" t="s">
        <v>910</v>
      </c>
      <c r="C692" s="39" t="s">
        <v>896</v>
      </c>
      <c r="D692" s="39" t="s">
        <v>888</v>
      </c>
      <c r="E692" s="39" t="s">
        <v>883</v>
      </c>
      <c r="F692" s="39"/>
      <c r="G692" s="58" t="n">
        <v>852</v>
      </c>
      <c r="H692" s="34" t="n">
        <f aca="false">G692*2</f>
        <v>1704</v>
      </c>
      <c r="I692" s="39" t="str">
        <f aca="false">A692&amp;"|"&amp;B692&amp;"|"&amp;D692&amp;"|"&amp;E692&amp;F692</f>
        <v>auto|Woodward|scenario E (age 70)|male</v>
      </c>
      <c r="J692" s="34" t="n">
        <f aca="false" t="array" ref="J692:J692">MEDIAN(IF($I$4:$I$1803=I692,$H$4:$H$1803))</f>
        <v>1442</v>
      </c>
      <c r="K692" s="59" t="n">
        <f aca="false">H692/J692</f>
        <v>1.18169209431345</v>
      </c>
    </row>
    <row r="693" customFormat="false" ht="15" hidden="false" customHeight="false" outlineLevel="0" collapsed="false">
      <c r="A693" s="39" t="s">
        <v>879</v>
      </c>
      <c r="B693" s="39" t="s">
        <v>910</v>
      </c>
      <c r="C693" s="39" t="s">
        <v>896</v>
      </c>
      <c r="D693" s="39" t="s">
        <v>888</v>
      </c>
      <c r="E693" s="39" t="s">
        <v>884</v>
      </c>
      <c r="F693" s="39"/>
      <c r="G693" s="58" t="n">
        <v>852</v>
      </c>
      <c r="H693" s="34" t="n">
        <f aca="false">G693*2</f>
        <v>1704</v>
      </c>
      <c r="I693" s="39" t="str">
        <f aca="false">A693&amp;"|"&amp;B693&amp;"|"&amp;D693&amp;"|"&amp;E693&amp;F693</f>
        <v>auto|Woodward|scenario E (age 70)|female</v>
      </c>
      <c r="J693" s="34" t="n">
        <f aca="false" t="array" ref="J693:J693">MEDIAN(IF($I$4:$I$1803=I693,$H$4:$H$1803))</f>
        <v>1425</v>
      </c>
      <c r="K693" s="59" t="n">
        <f aca="false">H693/J693</f>
        <v>1.19578947368421</v>
      </c>
    </row>
    <row r="694" customFormat="false" ht="15" hidden="false" customHeight="false" outlineLevel="0" collapsed="false">
      <c r="A694" s="39" t="s">
        <v>879</v>
      </c>
      <c r="B694" s="39" t="s">
        <v>910</v>
      </c>
      <c r="C694" s="39" t="s">
        <v>897</v>
      </c>
      <c r="D694" s="39" t="s">
        <v>882</v>
      </c>
      <c r="E694" s="39" t="s">
        <v>883</v>
      </c>
      <c r="F694" s="39"/>
      <c r="G694" s="58" t="n">
        <v>3542</v>
      </c>
      <c r="H694" s="34" t="n">
        <f aca="false">G694*2</f>
        <v>7084</v>
      </c>
      <c r="I694" s="39" t="str">
        <f aca="false">A694&amp;"|"&amp;B694&amp;"|"&amp;D694&amp;"|"&amp;E694&amp;F694</f>
        <v>auto|Woodward|scenario A (age 16)|male</v>
      </c>
      <c r="J694" s="34" t="n">
        <f aca="false" t="array" ref="J694:J694">MEDIAN(IF($I$4:$I$1803=I694,$H$4:$H$1803))</f>
        <v>6758</v>
      </c>
      <c r="K694" s="59" t="n">
        <f aca="false">H694/J694</f>
        <v>1.04823912400118</v>
      </c>
    </row>
    <row r="695" customFormat="false" ht="15" hidden="false" customHeight="false" outlineLevel="0" collapsed="false">
      <c r="A695" s="39" t="s">
        <v>879</v>
      </c>
      <c r="B695" s="39" t="s">
        <v>910</v>
      </c>
      <c r="C695" s="39" t="s">
        <v>897</v>
      </c>
      <c r="D695" s="39" t="s">
        <v>882</v>
      </c>
      <c r="E695" s="39" t="s">
        <v>884</v>
      </c>
      <c r="F695" s="39"/>
      <c r="G695" s="58" t="n">
        <v>3128</v>
      </c>
      <c r="H695" s="34" t="n">
        <f aca="false">G695*2</f>
        <v>6256</v>
      </c>
      <c r="I695" s="39" t="str">
        <f aca="false">A695&amp;"|"&amp;B695&amp;"|"&amp;D695&amp;"|"&amp;E695&amp;F695</f>
        <v>auto|Woodward|scenario A (age 16)|female</v>
      </c>
      <c r="J695" s="34" t="n">
        <f aca="false" t="array" ref="J695:J695">MEDIAN(IF($I$4:$I$1803=I695,$H$4:$H$1803))</f>
        <v>5463</v>
      </c>
      <c r="K695" s="59" t="n">
        <f aca="false">H695/J695</f>
        <v>1.14515833790957</v>
      </c>
    </row>
    <row r="696" customFormat="false" ht="15" hidden="false" customHeight="false" outlineLevel="0" collapsed="false">
      <c r="A696" s="39" t="s">
        <v>879</v>
      </c>
      <c r="B696" s="39" t="s">
        <v>910</v>
      </c>
      <c r="C696" s="39" t="s">
        <v>897</v>
      </c>
      <c r="D696" s="39" t="s">
        <v>885</v>
      </c>
      <c r="E696" s="39" t="s">
        <v>883</v>
      </c>
      <c r="F696" s="39"/>
      <c r="G696" s="58" t="n">
        <v>1452</v>
      </c>
      <c r="H696" s="34" t="n">
        <f aca="false">G696*2</f>
        <v>2904</v>
      </c>
      <c r="I696" s="39" t="str">
        <f aca="false">A696&amp;"|"&amp;B696&amp;"|"&amp;D696&amp;"|"&amp;E696&amp;F696</f>
        <v>auto|Woodward|scenario B (age 21)|male</v>
      </c>
      <c r="J696" s="34" t="n">
        <f aca="false" t="array" ref="J696:J696">MEDIAN(IF($I$4:$I$1803=I696,$H$4:$H$1803))</f>
        <v>3072</v>
      </c>
      <c r="K696" s="59" t="n">
        <f aca="false">H696/J696</f>
        <v>0.9453125</v>
      </c>
    </row>
    <row r="697" customFormat="false" ht="15" hidden="false" customHeight="false" outlineLevel="0" collapsed="false">
      <c r="A697" s="39" t="s">
        <v>879</v>
      </c>
      <c r="B697" s="39" t="s">
        <v>910</v>
      </c>
      <c r="C697" s="39" t="s">
        <v>897</v>
      </c>
      <c r="D697" s="39" t="s">
        <v>885</v>
      </c>
      <c r="E697" s="39" t="s">
        <v>884</v>
      </c>
      <c r="F697" s="39"/>
      <c r="G697" s="58" t="n">
        <v>1259</v>
      </c>
      <c r="H697" s="34" t="n">
        <f aca="false">G697*2</f>
        <v>2518</v>
      </c>
      <c r="I697" s="39" t="str">
        <f aca="false">A697&amp;"|"&amp;B697&amp;"|"&amp;D697&amp;"|"&amp;E697&amp;F697</f>
        <v>auto|Woodward|scenario B (age 21)|female</v>
      </c>
      <c r="J697" s="34" t="n">
        <f aca="false" t="array" ref="J697:J697">MEDIAN(IF($I$4:$I$1803=I697,$H$4:$H$1803))</f>
        <v>2716</v>
      </c>
      <c r="K697" s="59" t="n">
        <f aca="false">H697/J697</f>
        <v>0.927098674521355</v>
      </c>
    </row>
    <row r="698" customFormat="false" ht="15" hidden="false" customHeight="false" outlineLevel="0" collapsed="false">
      <c r="A698" s="39" t="s">
        <v>879</v>
      </c>
      <c r="B698" s="39" t="s">
        <v>910</v>
      </c>
      <c r="C698" s="39" t="s">
        <v>897</v>
      </c>
      <c r="D698" s="39" t="s">
        <v>886</v>
      </c>
      <c r="E698" s="39" t="s">
        <v>883</v>
      </c>
      <c r="F698" s="39"/>
      <c r="G698" s="58" t="n">
        <v>922</v>
      </c>
      <c r="H698" s="34" t="n">
        <f aca="false">G698*2</f>
        <v>1844</v>
      </c>
      <c r="I698" s="39" t="str">
        <f aca="false">A698&amp;"|"&amp;B698&amp;"|"&amp;D698&amp;"|"&amp;E698&amp;F698</f>
        <v>auto|Woodward|scenario C (age 36)|male</v>
      </c>
      <c r="J698" s="34" t="n">
        <f aca="false" t="array" ref="J698:J698">MEDIAN(IF($I$4:$I$1803=I698,$H$4:$H$1803))</f>
        <v>1834</v>
      </c>
      <c r="K698" s="59" t="n">
        <f aca="false">H698/J698</f>
        <v>1.00545256270447</v>
      </c>
    </row>
    <row r="699" customFormat="false" ht="15" hidden="false" customHeight="false" outlineLevel="0" collapsed="false">
      <c r="A699" s="39" t="s">
        <v>879</v>
      </c>
      <c r="B699" s="39" t="s">
        <v>910</v>
      </c>
      <c r="C699" s="39" t="s">
        <v>897</v>
      </c>
      <c r="D699" s="39" t="s">
        <v>886</v>
      </c>
      <c r="E699" s="39" t="s">
        <v>884</v>
      </c>
      <c r="F699" s="39"/>
      <c r="G699" s="58" t="n">
        <v>878</v>
      </c>
      <c r="H699" s="34" t="n">
        <f aca="false">G699*2</f>
        <v>1756</v>
      </c>
      <c r="I699" s="39" t="str">
        <f aca="false">A699&amp;"|"&amp;B699&amp;"|"&amp;D699&amp;"|"&amp;E699&amp;F699</f>
        <v>auto|Woodward|scenario C (age 36)|female</v>
      </c>
      <c r="J699" s="34" t="n">
        <f aca="false" t="array" ref="J699:J699">MEDIAN(IF($I$4:$I$1803=I699,$H$4:$H$1803))</f>
        <v>1768</v>
      </c>
      <c r="K699" s="59" t="n">
        <f aca="false">H699/J699</f>
        <v>0.993212669683258</v>
      </c>
    </row>
    <row r="700" customFormat="false" ht="15" hidden="false" customHeight="false" outlineLevel="0" collapsed="false">
      <c r="A700" s="39" t="s">
        <v>879</v>
      </c>
      <c r="B700" s="39" t="s">
        <v>910</v>
      </c>
      <c r="C700" s="39" t="s">
        <v>897</v>
      </c>
      <c r="D700" s="39" t="s">
        <v>887</v>
      </c>
      <c r="E700" s="39" t="s">
        <v>883</v>
      </c>
      <c r="F700" s="39"/>
      <c r="G700" s="58" t="n">
        <v>773</v>
      </c>
      <c r="H700" s="34" t="n">
        <f aca="false">G700*2</f>
        <v>1546</v>
      </c>
      <c r="I700" s="39" t="str">
        <f aca="false">A700&amp;"|"&amp;B700&amp;"|"&amp;D700&amp;"|"&amp;E700&amp;F700</f>
        <v>auto|Woodward|scenario D (age 55)|male</v>
      </c>
      <c r="J700" s="34" t="n">
        <f aca="false" t="array" ref="J700:J700">MEDIAN(IF($I$4:$I$1803=I700,$H$4:$H$1803))</f>
        <v>1551</v>
      </c>
      <c r="K700" s="59" t="n">
        <f aca="false">H700/J700</f>
        <v>0.996776273372018</v>
      </c>
    </row>
    <row r="701" customFormat="false" ht="15" hidden="false" customHeight="false" outlineLevel="0" collapsed="false">
      <c r="A701" s="39" t="s">
        <v>879</v>
      </c>
      <c r="B701" s="39" t="s">
        <v>910</v>
      </c>
      <c r="C701" s="39" t="s">
        <v>897</v>
      </c>
      <c r="D701" s="39" t="s">
        <v>887</v>
      </c>
      <c r="E701" s="39" t="s">
        <v>884</v>
      </c>
      <c r="F701" s="39"/>
      <c r="G701" s="58" t="n">
        <v>694</v>
      </c>
      <c r="H701" s="34" t="n">
        <f aca="false">G701*2</f>
        <v>1388</v>
      </c>
      <c r="I701" s="39" t="str">
        <f aca="false">A701&amp;"|"&amp;B701&amp;"|"&amp;D701&amp;"|"&amp;E701&amp;F701</f>
        <v>auto|Woodward|scenario D (age 55)|female</v>
      </c>
      <c r="J701" s="34" t="n">
        <f aca="false" t="array" ref="J701:J701">MEDIAN(IF($I$4:$I$1803=I701,$H$4:$H$1803))</f>
        <v>1551</v>
      </c>
      <c r="K701" s="59" t="n">
        <f aca="false">H701/J701</f>
        <v>0.894906511927789</v>
      </c>
    </row>
    <row r="702" customFormat="false" ht="15" hidden="false" customHeight="false" outlineLevel="0" collapsed="false">
      <c r="A702" s="39" t="s">
        <v>879</v>
      </c>
      <c r="B702" s="39" t="s">
        <v>910</v>
      </c>
      <c r="C702" s="39" t="s">
        <v>897</v>
      </c>
      <c r="D702" s="39" t="s">
        <v>888</v>
      </c>
      <c r="E702" s="39" t="s">
        <v>883</v>
      </c>
      <c r="F702" s="39"/>
      <c r="G702" s="58" t="n">
        <v>730</v>
      </c>
      <c r="H702" s="34" t="n">
        <f aca="false">G702*2</f>
        <v>1460</v>
      </c>
      <c r="I702" s="39" t="str">
        <f aca="false">A702&amp;"|"&amp;B702&amp;"|"&amp;D702&amp;"|"&amp;E702&amp;F702</f>
        <v>auto|Woodward|scenario E (age 70)|male</v>
      </c>
      <c r="J702" s="34" t="n">
        <f aca="false" t="array" ref="J702:J702">MEDIAN(IF($I$4:$I$1803=I702,$H$4:$H$1803))</f>
        <v>1442</v>
      </c>
      <c r="K702" s="59" t="n">
        <f aca="false">H702/J702</f>
        <v>1.0124826629681</v>
      </c>
    </row>
    <row r="703" customFormat="false" ht="15" hidden="false" customHeight="false" outlineLevel="0" collapsed="false">
      <c r="A703" s="39" t="s">
        <v>879</v>
      </c>
      <c r="B703" s="39" t="s">
        <v>910</v>
      </c>
      <c r="C703" s="39" t="s">
        <v>897</v>
      </c>
      <c r="D703" s="39" t="s">
        <v>888</v>
      </c>
      <c r="E703" s="39" t="s">
        <v>884</v>
      </c>
      <c r="F703" s="39"/>
      <c r="G703" s="58" t="n">
        <v>676</v>
      </c>
      <c r="H703" s="34" t="n">
        <f aca="false">G703*2</f>
        <v>1352</v>
      </c>
      <c r="I703" s="39" t="str">
        <f aca="false">A703&amp;"|"&amp;B703&amp;"|"&amp;D703&amp;"|"&amp;E703&amp;F703</f>
        <v>auto|Woodward|scenario E (age 70)|female</v>
      </c>
      <c r="J703" s="34" t="n">
        <f aca="false" t="array" ref="J703:J703">MEDIAN(IF($I$4:$I$1803=I703,$H$4:$H$1803))</f>
        <v>1425</v>
      </c>
      <c r="K703" s="59" t="n">
        <f aca="false">H703/J703</f>
        <v>0.948771929824561</v>
      </c>
    </row>
    <row r="704" customFormat="false" ht="15" hidden="false" customHeight="false" outlineLevel="0" collapsed="false">
      <c r="A704" s="39" t="s">
        <v>879</v>
      </c>
      <c r="B704" s="39" t="s">
        <v>910</v>
      </c>
      <c r="C704" s="39" t="s">
        <v>898</v>
      </c>
      <c r="D704" s="39" t="s">
        <v>882</v>
      </c>
      <c r="E704" s="39" t="s">
        <v>883</v>
      </c>
      <c r="F704" s="39"/>
      <c r="G704" s="58" t="n">
        <v>3648</v>
      </c>
      <c r="H704" s="34" t="n">
        <f aca="false">G704*2</f>
        <v>7296</v>
      </c>
      <c r="I704" s="39" t="str">
        <f aca="false">A704&amp;"|"&amp;B704&amp;"|"&amp;D704&amp;"|"&amp;E704&amp;F704</f>
        <v>auto|Woodward|scenario A (age 16)|male</v>
      </c>
      <c r="J704" s="34" t="n">
        <f aca="false" t="array" ref="J704:J704">MEDIAN(IF($I$4:$I$1803=I704,$H$4:$H$1803))</f>
        <v>6758</v>
      </c>
      <c r="K704" s="59" t="n">
        <f aca="false">H704/J704</f>
        <v>1.07960935187925</v>
      </c>
    </row>
    <row r="705" customFormat="false" ht="15" hidden="false" customHeight="false" outlineLevel="0" collapsed="false">
      <c r="A705" s="39" t="s">
        <v>879</v>
      </c>
      <c r="B705" s="39" t="s">
        <v>910</v>
      </c>
      <c r="C705" s="39" t="s">
        <v>898</v>
      </c>
      <c r="D705" s="39" t="s">
        <v>882</v>
      </c>
      <c r="E705" s="39" t="s">
        <v>884</v>
      </c>
      <c r="F705" s="39"/>
      <c r="G705" s="58" t="n">
        <v>3194</v>
      </c>
      <c r="H705" s="34" t="n">
        <f aca="false">G705*2</f>
        <v>6388</v>
      </c>
      <c r="I705" s="39" t="str">
        <f aca="false">A705&amp;"|"&amp;B705&amp;"|"&amp;D705&amp;"|"&amp;E705&amp;F705</f>
        <v>auto|Woodward|scenario A (age 16)|female</v>
      </c>
      <c r="J705" s="34" t="n">
        <f aca="false" t="array" ref="J705:J705">MEDIAN(IF($I$4:$I$1803=I705,$H$4:$H$1803))</f>
        <v>5463</v>
      </c>
      <c r="K705" s="59" t="n">
        <f aca="false">H705/J705</f>
        <v>1.1693208859601</v>
      </c>
    </row>
    <row r="706" customFormat="false" ht="15" hidden="false" customHeight="false" outlineLevel="0" collapsed="false">
      <c r="A706" s="39" t="s">
        <v>879</v>
      </c>
      <c r="B706" s="39" t="s">
        <v>910</v>
      </c>
      <c r="C706" s="39" t="s">
        <v>898</v>
      </c>
      <c r="D706" s="39" t="s">
        <v>885</v>
      </c>
      <c r="E706" s="39" t="s">
        <v>883</v>
      </c>
      <c r="F706" s="39"/>
      <c r="G706" s="58" t="n">
        <v>1413</v>
      </c>
      <c r="H706" s="34" t="n">
        <f aca="false">G706*2</f>
        <v>2826</v>
      </c>
      <c r="I706" s="39" t="str">
        <f aca="false">A706&amp;"|"&amp;B706&amp;"|"&amp;D706&amp;"|"&amp;E706&amp;F706</f>
        <v>auto|Woodward|scenario B (age 21)|male</v>
      </c>
      <c r="J706" s="34" t="n">
        <f aca="false" t="array" ref="J706:J706">MEDIAN(IF($I$4:$I$1803=I706,$H$4:$H$1803))</f>
        <v>3072</v>
      </c>
      <c r="K706" s="59" t="n">
        <f aca="false">H706/J706</f>
        <v>0.919921875</v>
      </c>
    </row>
    <row r="707" customFormat="false" ht="15" hidden="false" customHeight="false" outlineLevel="0" collapsed="false">
      <c r="A707" s="39" t="s">
        <v>879</v>
      </c>
      <c r="B707" s="39" t="s">
        <v>910</v>
      </c>
      <c r="C707" s="39" t="s">
        <v>898</v>
      </c>
      <c r="D707" s="39" t="s">
        <v>885</v>
      </c>
      <c r="E707" s="39" t="s">
        <v>884</v>
      </c>
      <c r="F707" s="39"/>
      <c r="G707" s="58" t="n">
        <v>1146</v>
      </c>
      <c r="H707" s="34" t="n">
        <f aca="false">G707*2</f>
        <v>2292</v>
      </c>
      <c r="I707" s="39" t="str">
        <f aca="false">A707&amp;"|"&amp;B707&amp;"|"&amp;D707&amp;"|"&amp;E707&amp;F707</f>
        <v>auto|Woodward|scenario B (age 21)|female</v>
      </c>
      <c r="J707" s="34" t="n">
        <f aca="false" t="array" ref="J707:J707">MEDIAN(IF($I$4:$I$1803=I707,$H$4:$H$1803))</f>
        <v>2716</v>
      </c>
      <c r="K707" s="59" t="n">
        <f aca="false">H707/J707</f>
        <v>0.843888070692194</v>
      </c>
    </row>
    <row r="708" customFormat="false" ht="15" hidden="false" customHeight="false" outlineLevel="0" collapsed="false">
      <c r="A708" s="39" t="s">
        <v>879</v>
      </c>
      <c r="B708" s="39" t="s">
        <v>910</v>
      </c>
      <c r="C708" s="39" t="s">
        <v>898</v>
      </c>
      <c r="D708" s="39" t="s">
        <v>886</v>
      </c>
      <c r="E708" s="39" t="s">
        <v>883</v>
      </c>
      <c r="F708" s="39"/>
      <c r="G708" s="58" t="n">
        <v>912</v>
      </c>
      <c r="H708" s="34" t="n">
        <f aca="false">G708*2</f>
        <v>1824</v>
      </c>
      <c r="I708" s="39" t="str">
        <f aca="false">A708&amp;"|"&amp;B708&amp;"|"&amp;D708&amp;"|"&amp;E708&amp;F708</f>
        <v>auto|Woodward|scenario C (age 36)|male</v>
      </c>
      <c r="J708" s="34" t="n">
        <f aca="false" t="array" ref="J708:J708">MEDIAN(IF($I$4:$I$1803=I708,$H$4:$H$1803))</f>
        <v>1834</v>
      </c>
      <c r="K708" s="59" t="n">
        <f aca="false">H708/J708</f>
        <v>0.994547437295529</v>
      </c>
    </row>
    <row r="709" customFormat="false" ht="15" hidden="false" customHeight="false" outlineLevel="0" collapsed="false">
      <c r="A709" s="39" t="s">
        <v>879</v>
      </c>
      <c r="B709" s="39" t="s">
        <v>910</v>
      </c>
      <c r="C709" s="39" t="s">
        <v>898</v>
      </c>
      <c r="D709" s="39" t="s">
        <v>886</v>
      </c>
      <c r="E709" s="39" t="s">
        <v>884</v>
      </c>
      <c r="F709" s="39"/>
      <c r="G709" s="58" t="n">
        <v>801</v>
      </c>
      <c r="H709" s="34" t="n">
        <f aca="false">G709*2</f>
        <v>1602</v>
      </c>
      <c r="I709" s="39" t="str">
        <f aca="false">A709&amp;"|"&amp;B709&amp;"|"&amp;D709&amp;"|"&amp;E709&amp;F709</f>
        <v>auto|Woodward|scenario C (age 36)|female</v>
      </c>
      <c r="J709" s="34" t="n">
        <f aca="false" t="array" ref="J709:J709">MEDIAN(IF($I$4:$I$1803=I709,$H$4:$H$1803))</f>
        <v>1768</v>
      </c>
      <c r="K709" s="59" t="n">
        <f aca="false">H709/J709</f>
        <v>0.906108597285068</v>
      </c>
    </row>
    <row r="710" customFormat="false" ht="15" hidden="false" customHeight="false" outlineLevel="0" collapsed="false">
      <c r="A710" s="39" t="s">
        <v>879</v>
      </c>
      <c r="B710" s="39" t="s">
        <v>910</v>
      </c>
      <c r="C710" s="39" t="s">
        <v>898</v>
      </c>
      <c r="D710" s="39" t="s">
        <v>887</v>
      </c>
      <c r="E710" s="39" t="s">
        <v>883</v>
      </c>
      <c r="F710" s="39"/>
      <c r="G710" s="58" t="n">
        <v>671</v>
      </c>
      <c r="H710" s="34" t="n">
        <f aca="false">G710*2</f>
        <v>1342</v>
      </c>
      <c r="I710" s="39" t="str">
        <f aca="false">A710&amp;"|"&amp;B710&amp;"|"&amp;D710&amp;"|"&amp;E710&amp;F710</f>
        <v>auto|Woodward|scenario D (age 55)|male</v>
      </c>
      <c r="J710" s="34" t="n">
        <f aca="false" t="array" ref="J710:J710">MEDIAN(IF($I$4:$I$1803=I710,$H$4:$H$1803))</f>
        <v>1551</v>
      </c>
      <c r="K710" s="59" t="n">
        <f aca="false">H710/J710</f>
        <v>0.865248226950355</v>
      </c>
    </row>
    <row r="711" customFormat="false" ht="15" hidden="false" customHeight="false" outlineLevel="0" collapsed="false">
      <c r="A711" s="39" t="s">
        <v>879</v>
      </c>
      <c r="B711" s="39" t="s">
        <v>910</v>
      </c>
      <c r="C711" s="39" t="s">
        <v>898</v>
      </c>
      <c r="D711" s="39" t="s">
        <v>887</v>
      </c>
      <c r="E711" s="39" t="s">
        <v>884</v>
      </c>
      <c r="F711" s="39"/>
      <c r="G711" s="58" t="n">
        <v>593</v>
      </c>
      <c r="H711" s="34" t="n">
        <f aca="false">G711*2</f>
        <v>1186</v>
      </c>
      <c r="I711" s="39" t="str">
        <f aca="false">A711&amp;"|"&amp;B711&amp;"|"&amp;D711&amp;"|"&amp;E711&amp;F711</f>
        <v>auto|Woodward|scenario D (age 55)|female</v>
      </c>
      <c r="J711" s="34" t="n">
        <f aca="false" t="array" ref="J711:J711">MEDIAN(IF($I$4:$I$1803=I711,$H$4:$H$1803))</f>
        <v>1551</v>
      </c>
      <c r="K711" s="59" t="n">
        <f aca="false">H711/J711</f>
        <v>0.764667956157318</v>
      </c>
    </row>
    <row r="712" customFormat="false" ht="15" hidden="false" customHeight="false" outlineLevel="0" collapsed="false">
      <c r="A712" s="39" t="s">
        <v>879</v>
      </c>
      <c r="B712" s="39" t="s">
        <v>910</v>
      </c>
      <c r="C712" s="39" t="s">
        <v>898</v>
      </c>
      <c r="D712" s="39" t="s">
        <v>888</v>
      </c>
      <c r="E712" s="39" t="s">
        <v>883</v>
      </c>
      <c r="F712" s="39"/>
      <c r="G712" s="58" t="n">
        <v>614</v>
      </c>
      <c r="H712" s="34" t="n">
        <f aca="false">G712*2</f>
        <v>1228</v>
      </c>
      <c r="I712" s="39" t="str">
        <f aca="false">A712&amp;"|"&amp;B712&amp;"|"&amp;D712&amp;"|"&amp;E712&amp;F712</f>
        <v>auto|Woodward|scenario E (age 70)|male</v>
      </c>
      <c r="J712" s="34" t="n">
        <f aca="false" t="array" ref="J712:J712">MEDIAN(IF($I$4:$I$1803=I712,$H$4:$H$1803))</f>
        <v>1442</v>
      </c>
      <c r="K712" s="59" t="n">
        <f aca="false">H712/J712</f>
        <v>0.851595006934813</v>
      </c>
    </row>
    <row r="713" customFormat="false" ht="15" hidden="false" customHeight="false" outlineLevel="0" collapsed="false">
      <c r="A713" s="39" t="s">
        <v>879</v>
      </c>
      <c r="B713" s="39" t="s">
        <v>910</v>
      </c>
      <c r="C713" s="39" t="s">
        <v>898</v>
      </c>
      <c r="D713" s="39" t="s">
        <v>888</v>
      </c>
      <c r="E713" s="39" t="s">
        <v>884</v>
      </c>
      <c r="F713" s="39"/>
      <c r="G713" s="58" t="n">
        <v>535</v>
      </c>
      <c r="H713" s="34" t="n">
        <f aca="false">G713*2</f>
        <v>1070</v>
      </c>
      <c r="I713" s="39" t="str">
        <f aca="false">A713&amp;"|"&amp;B713&amp;"|"&amp;D713&amp;"|"&amp;E713&amp;F713</f>
        <v>auto|Woodward|scenario E (age 70)|female</v>
      </c>
      <c r="J713" s="34" t="n">
        <f aca="false" t="array" ref="J713:J713">MEDIAN(IF($I$4:$I$1803=I713,$H$4:$H$1803))</f>
        <v>1425</v>
      </c>
      <c r="K713" s="59" t="n">
        <f aca="false">H713/J713</f>
        <v>0.750877192982456</v>
      </c>
    </row>
    <row r="714" customFormat="false" ht="15" hidden="false" customHeight="false" outlineLevel="0" collapsed="false">
      <c r="A714" s="39" t="s">
        <v>879</v>
      </c>
      <c r="B714" s="39" t="s">
        <v>910</v>
      </c>
      <c r="C714" s="39" t="s">
        <v>899</v>
      </c>
      <c r="D714" s="39" t="s">
        <v>882</v>
      </c>
      <c r="E714" s="39" t="s">
        <v>883</v>
      </c>
      <c r="F714" s="39"/>
      <c r="G714" s="58" t="n">
        <v>1629</v>
      </c>
      <c r="H714" s="34" t="n">
        <f aca="false">G714*2</f>
        <v>3258</v>
      </c>
      <c r="I714" s="39" t="str">
        <f aca="false">A714&amp;"|"&amp;B714&amp;"|"&amp;D714&amp;"|"&amp;E714&amp;F714</f>
        <v>auto|Woodward|scenario A (age 16)|male</v>
      </c>
      <c r="J714" s="34" t="n">
        <f aca="false" t="array" ref="J714:J714">MEDIAN(IF($I$4:$I$1803=I714,$H$4:$H$1803))</f>
        <v>6758</v>
      </c>
      <c r="K714" s="59" t="n">
        <f aca="false">H714/J714</f>
        <v>0.482095294465818</v>
      </c>
    </row>
    <row r="715" customFormat="false" ht="15" hidden="false" customHeight="false" outlineLevel="0" collapsed="false">
      <c r="A715" s="39" t="s">
        <v>879</v>
      </c>
      <c r="B715" s="39" t="s">
        <v>910</v>
      </c>
      <c r="C715" s="39" t="s">
        <v>899</v>
      </c>
      <c r="D715" s="39" t="s">
        <v>882</v>
      </c>
      <c r="E715" s="39" t="s">
        <v>884</v>
      </c>
      <c r="F715" s="39"/>
      <c r="G715" s="58" t="n">
        <v>1498</v>
      </c>
      <c r="H715" s="34" t="n">
        <f aca="false">G715*2</f>
        <v>2996</v>
      </c>
      <c r="I715" s="39" t="str">
        <f aca="false">A715&amp;"|"&amp;B715&amp;"|"&amp;D715&amp;"|"&amp;E715&amp;F715</f>
        <v>auto|Woodward|scenario A (age 16)|female</v>
      </c>
      <c r="J715" s="34" t="n">
        <f aca="false" t="array" ref="J715:J715">MEDIAN(IF($I$4:$I$1803=I715,$H$4:$H$1803))</f>
        <v>5463</v>
      </c>
      <c r="K715" s="59" t="n">
        <f aca="false">H715/J715</f>
        <v>0.548416620904265</v>
      </c>
    </row>
    <row r="716" customFormat="false" ht="15" hidden="false" customHeight="false" outlineLevel="0" collapsed="false">
      <c r="A716" s="39" t="s">
        <v>879</v>
      </c>
      <c r="B716" s="39" t="s">
        <v>910</v>
      </c>
      <c r="C716" s="39" t="s">
        <v>899</v>
      </c>
      <c r="D716" s="39" t="s">
        <v>885</v>
      </c>
      <c r="E716" s="39" t="s">
        <v>883</v>
      </c>
      <c r="F716" s="39"/>
      <c r="G716" s="58" t="n">
        <v>855</v>
      </c>
      <c r="H716" s="34" t="n">
        <f aca="false">G716*2</f>
        <v>1710</v>
      </c>
      <c r="I716" s="39" t="str">
        <f aca="false">A716&amp;"|"&amp;B716&amp;"|"&amp;D716&amp;"|"&amp;E716&amp;F716</f>
        <v>auto|Woodward|scenario B (age 21)|male</v>
      </c>
      <c r="J716" s="34" t="n">
        <f aca="false" t="array" ref="J716:J716">MEDIAN(IF($I$4:$I$1803=I716,$H$4:$H$1803))</f>
        <v>3072</v>
      </c>
      <c r="K716" s="59" t="n">
        <f aca="false">H716/J716</f>
        <v>0.556640625</v>
      </c>
    </row>
    <row r="717" customFormat="false" ht="15" hidden="false" customHeight="false" outlineLevel="0" collapsed="false">
      <c r="A717" s="39" t="s">
        <v>879</v>
      </c>
      <c r="B717" s="39" t="s">
        <v>910</v>
      </c>
      <c r="C717" s="39" t="s">
        <v>899</v>
      </c>
      <c r="D717" s="39" t="s">
        <v>885</v>
      </c>
      <c r="E717" s="39" t="s">
        <v>884</v>
      </c>
      <c r="F717" s="39"/>
      <c r="G717" s="58" t="n">
        <v>806</v>
      </c>
      <c r="H717" s="34" t="n">
        <f aca="false">G717*2</f>
        <v>1612</v>
      </c>
      <c r="I717" s="39" t="str">
        <f aca="false">A717&amp;"|"&amp;B717&amp;"|"&amp;D717&amp;"|"&amp;E717&amp;F717</f>
        <v>auto|Woodward|scenario B (age 21)|female</v>
      </c>
      <c r="J717" s="34" t="n">
        <f aca="false" t="array" ref="J717:J717">MEDIAN(IF($I$4:$I$1803=I717,$H$4:$H$1803))</f>
        <v>2716</v>
      </c>
      <c r="K717" s="59" t="n">
        <f aca="false">H717/J717</f>
        <v>0.593519882179676</v>
      </c>
    </row>
    <row r="718" customFormat="false" ht="15" hidden="false" customHeight="false" outlineLevel="0" collapsed="false">
      <c r="A718" s="39" t="s">
        <v>879</v>
      </c>
      <c r="B718" s="39" t="s">
        <v>910</v>
      </c>
      <c r="C718" s="39" t="s">
        <v>899</v>
      </c>
      <c r="D718" s="39" t="s">
        <v>886</v>
      </c>
      <c r="E718" s="39" t="s">
        <v>883</v>
      </c>
      <c r="F718" s="39"/>
      <c r="G718" s="58" t="n">
        <v>508</v>
      </c>
      <c r="H718" s="34" t="n">
        <f aca="false">G718*2</f>
        <v>1016</v>
      </c>
      <c r="I718" s="39" t="str">
        <f aca="false">A718&amp;"|"&amp;B718&amp;"|"&amp;D718&amp;"|"&amp;E718&amp;F718</f>
        <v>auto|Woodward|scenario C (age 36)|male</v>
      </c>
      <c r="J718" s="34" t="n">
        <f aca="false" t="array" ref="J718:J718">MEDIAN(IF($I$4:$I$1803=I718,$H$4:$H$1803))</f>
        <v>1834</v>
      </c>
      <c r="K718" s="59" t="n">
        <f aca="false">H718/J718</f>
        <v>0.553980370774264</v>
      </c>
    </row>
    <row r="719" customFormat="false" ht="15" hidden="false" customHeight="false" outlineLevel="0" collapsed="false">
      <c r="A719" s="39" t="s">
        <v>879</v>
      </c>
      <c r="B719" s="39" t="s">
        <v>910</v>
      </c>
      <c r="C719" s="39" t="s">
        <v>899</v>
      </c>
      <c r="D719" s="39" t="s">
        <v>886</v>
      </c>
      <c r="E719" s="39" t="s">
        <v>884</v>
      </c>
      <c r="F719" s="39"/>
      <c r="G719" s="58" t="n">
        <v>478</v>
      </c>
      <c r="H719" s="34" t="n">
        <f aca="false">G719*2</f>
        <v>956</v>
      </c>
      <c r="I719" s="39" t="str">
        <f aca="false">A719&amp;"|"&amp;B719&amp;"|"&amp;D719&amp;"|"&amp;E719&amp;F719</f>
        <v>auto|Woodward|scenario C (age 36)|female</v>
      </c>
      <c r="J719" s="34" t="n">
        <f aca="false" t="array" ref="J719:J719">MEDIAN(IF($I$4:$I$1803=I719,$H$4:$H$1803))</f>
        <v>1768</v>
      </c>
      <c r="K719" s="59" t="n">
        <f aca="false">H719/J719</f>
        <v>0.540723981900453</v>
      </c>
    </row>
    <row r="720" customFormat="false" ht="15" hidden="false" customHeight="false" outlineLevel="0" collapsed="false">
      <c r="A720" s="39" t="s">
        <v>879</v>
      </c>
      <c r="B720" s="39" t="s">
        <v>910</v>
      </c>
      <c r="C720" s="39" t="s">
        <v>899</v>
      </c>
      <c r="D720" s="39" t="s">
        <v>887</v>
      </c>
      <c r="E720" s="39" t="s">
        <v>883</v>
      </c>
      <c r="F720" s="39"/>
      <c r="G720" s="58" t="n">
        <v>520</v>
      </c>
      <c r="H720" s="34" t="n">
        <f aca="false">G720*2</f>
        <v>1040</v>
      </c>
      <c r="I720" s="39" t="str">
        <f aca="false">A720&amp;"|"&amp;B720&amp;"|"&amp;D720&amp;"|"&amp;E720&amp;F720</f>
        <v>auto|Woodward|scenario D (age 55)|male</v>
      </c>
      <c r="J720" s="34" t="n">
        <f aca="false" t="array" ref="J720:J720">MEDIAN(IF($I$4:$I$1803=I720,$H$4:$H$1803))</f>
        <v>1551</v>
      </c>
      <c r="K720" s="59" t="n">
        <f aca="false">H720/J720</f>
        <v>0.670535138620245</v>
      </c>
    </row>
    <row r="721" customFormat="false" ht="15" hidden="false" customHeight="false" outlineLevel="0" collapsed="false">
      <c r="A721" s="39" t="s">
        <v>879</v>
      </c>
      <c r="B721" s="39" t="s">
        <v>910</v>
      </c>
      <c r="C721" s="39" t="s">
        <v>899</v>
      </c>
      <c r="D721" s="39" t="s">
        <v>887</v>
      </c>
      <c r="E721" s="39" t="s">
        <v>884</v>
      </c>
      <c r="F721" s="39"/>
      <c r="G721" s="58" t="n">
        <v>488</v>
      </c>
      <c r="H721" s="34" t="n">
        <f aca="false">G721*2</f>
        <v>976</v>
      </c>
      <c r="I721" s="39" t="str">
        <f aca="false">A721&amp;"|"&amp;B721&amp;"|"&amp;D721&amp;"|"&amp;E721&amp;F721</f>
        <v>auto|Woodward|scenario D (age 55)|female</v>
      </c>
      <c r="J721" s="34" t="n">
        <f aca="false" t="array" ref="J721:J721">MEDIAN(IF($I$4:$I$1803=I721,$H$4:$H$1803))</f>
        <v>1551</v>
      </c>
      <c r="K721" s="59" t="n">
        <f aca="false">H721/J721</f>
        <v>0.629271437782076</v>
      </c>
    </row>
    <row r="722" customFormat="false" ht="15" hidden="false" customHeight="false" outlineLevel="0" collapsed="false">
      <c r="A722" s="39" t="s">
        <v>879</v>
      </c>
      <c r="B722" s="39" t="s">
        <v>910</v>
      </c>
      <c r="C722" s="39" t="s">
        <v>899</v>
      </c>
      <c r="D722" s="39" t="s">
        <v>888</v>
      </c>
      <c r="E722" s="39" t="s">
        <v>883</v>
      </c>
      <c r="F722" s="39"/>
      <c r="G722" s="58" t="n">
        <v>501</v>
      </c>
      <c r="H722" s="34" t="n">
        <f aca="false">G722*2</f>
        <v>1002</v>
      </c>
      <c r="I722" s="39" t="str">
        <f aca="false">A722&amp;"|"&amp;B722&amp;"|"&amp;D722&amp;"|"&amp;E722&amp;F722</f>
        <v>auto|Woodward|scenario E (age 70)|male</v>
      </c>
      <c r="J722" s="34" t="n">
        <f aca="false" t="array" ref="J722:J722">MEDIAN(IF($I$4:$I$1803=I722,$H$4:$H$1803))</f>
        <v>1442</v>
      </c>
      <c r="K722" s="59" t="n">
        <f aca="false">H722/J722</f>
        <v>0.694868238557559</v>
      </c>
    </row>
    <row r="723" customFormat="false" ht="15" hidden="false" customHeight="false" outlineLevel="0" collapsed="false">
      <c r="A723" s="39" t="s">
        <v>879</v>
      </c>
      <c r="B723" s="39" t="s">
        <v>910</v>
      </c>
      <c r="C723" s="39" t="s">
        <v>899</v>
      </c>
      <c r="D723" s="39" t="s">
        <v>888</v>
      </c>
      <c r="E723" s="39" t="s">
        <v>884</v>
      </c>
      <c r="F723" s="39"/>
      <c r="G723" s="58" t="n">
        <v>455</v>
      </c>
      <c r="H723" s="34" t="n">
        <f aca="false">G723*2</f>
        <v>910</v>
      </c>
      <c r="I723" s="39" t="str">
        <f aca="false">A723&amp;"|"&amp;B723&amp;"|"&amp;D723&amp;"|"&amp;E723&amp;F723</f>
        <v>auto|Woodward|scenario E (age 70)|female</v>
      </c>
      <c r="J723" s="34" t="n">
        <f aca="false" t="array" ref="J723:J723">MEDIAN(IF($I$4:$I$1803=I723,$H$4:$H$1803))</f>
        <v>1425</v>
      </c>
      <c r="K723" s="59" t="n">
        <f aca="false">H723/J723</f>
        <v>0.63859649122807</v>
      </c>
    </row>
    <row r="724" customFormat="false" ht="15" hidden="false" customHeight="false" outlineLevel="0" collapsed="false">
      <c r="A724" s="39" t="s">
        <v>879</v>
      </c>
      <c r="B724" s="39" t="s">
        <v>910</v>
      </c>
      <c r="C724" s="39" t="s">
        <v>900</v>
      </c>
      <c r="D724" s="39" t="s">
        <v>882</v>
      </c>
      <c r="E724" s="39" t="s">
        <v>883</v>
      </c>
      <c r="F724" s="39"/>
      <c r="G724" s="58" t="n">
        <v>1988</v>
      </c>
      <c r="H724" s="34" t="n">
        <f aca="false">G724*2</f>
        <v>3976</v>
      </c>
      <c r="I724" s="39" t="str">
        <f aca="false">A724&amp;"|"&amp;B724&amp;"|"&amp;D724&amp;"|"&amp;E724&amp;F724</f>
        <v>auto|Woodward|scenario A (age 16)|male</v>
      </c>
      <c r="J724" s="34" t="n">
        <f aca="false" t="array" ref="J724:J724">MEDIAN(IF($I$4:$I$1803=I724,$H$4:$H$1803))</f>
        <v>6758</v>
      </c>
      <c r="K724" s="59" t="n">
        <f aca="false">H724/J724</f>
        <v>0.58833974548683</v>
      </c>
    </row>
    <row r="725" customFormat="false" ht="15" hidden="false" customHeight="false" outlineLevel="0" collapsed="false">
      <c r="A725" s="39" t="s">
        <v>879</v>
      </c>
      <c r="B725" s="39" t="s">
        <v>910</v>
      </c>
      <c r="C725" s="39" t="s">
        <v>900</v>
      </c>
      <c r="D725" s="39" t="s">
        <v>882</v>
      </c>
      <c r="E725" s="39" t="s">
        <v>884</v>
      </c>
      <c r="F725" s="39"/>
      <c r="G725" s="58" t="n">
        <v>1456</v>
      </c>
      <c r="H725" s="34" t="n">
        <f aca="false">G725*2</f>
        <v>2912</v>
      </c>
      <c r="I725" s="39" t="str">
        <f aca="false">A725&amp;"|"&amp;B725&amp;"|"&amp;D725&amp;"|"&amp;E725&amp;F725</f>
        <v>auto|Woodward|scenario A (age 16)|female</v>
      </c>
      <c r="J725" s="34" t="n">
        <f aca="false" t="array" ref="J725:J725">MEDIAN(IF($I$4:$I$1803=I725,$H$4:$H$1803))</f>
        <v>5463</v>
      </c>
      <c r="K725" s="59" t="n">
        <f aca="false">H725/J725</f>
        <v>0.533040453963024</v>
      </c>
    </row>
    <row r="726" customFormat="false" ht="15" hidden="false" customHeight="false" outlineLevel="0" collapsed="false">
      <c r="A726" s="39" t="s">
        <v>879</v>
      </c>
      <c r="B726" s="39" t="s">
        <v>910</v>
      </c>
      <c r="C726" s="39" t="s">
        <v>900</v>
      </c>
      <c r="D726" s="39" t="s">
        <v>885</v>
      </c>
      <c r="E726" s="39" t="s">
        <v>883</v>
      </c>
      <c r="F726" s="39"/>
      <c r="G726" s="58" t="n">
        <v>1280</v>
      </c>
      <c r="H726" s="34" t="n">
        <f aca="false">G726*2</f>
        <v>2560</v>
      </c>
      <c r="I726" s="39" t="str">
        <f aca="false">A726&amp;"|"&amp;B726&amp;"|"&amp;D726&amp;"|"&amp;E726&amp;F726</f>
        <v>auto|Woodward|scenario B (age 21)|male</v>
      </c>
      <c r="J726" s="34" t="n">
        <f aca="false" t="array" ref="J726:J726">MEDIAN(IF($I$4:$I$1803=I726,$H$4:$H$1803))</f>
        <v>3072</v>
      </c>
      <c r="K726" s="59" t="n">
        <f aca="false">H726/J726</f>
        <v>0.833333333333333</v>
      </c>
    </row>
    <row r="727" customFormat="false" ht="15" hidden="false" customHeight="false" outlineLevel="0" collapsed="false">
      <c r="A727" s="39" t="s">
        <v>879</v>
      </c>
      <c r="B727" s="39" t="s">
        <v>910</v>
      </c>
      <c r="C727" s="39" t="s">
        <v>900</v>
      </c>
      <c r="D727" s="39" t="s">
        <v>885</v>
      </c>
      <c r="E727" s="39" t="s">
        <v>884</v>
      </c>
      <c r="F727" s="39"/>
      <c r="G727" s="58" t="n">
        <v>1048</v>
      </c>
      <c r="H727" s="34" t="n">
        <f aca="false">G727*2</f>
        <v>2096</v>
      </c>
      <c r="I727" s="39" t="str">
        <f aca="false">A727&amp;"|"&amp;B727&amp;"|"&amp;D727&amp;"|"&amp;E727&amp;F727</f>
        <v>auto|Woodward|scenario B (age 21)|female</v>
      </c>
      <c r="J727" s="34" t="n">
        <f aca="false" t="array" ref="J727:J727">MEDIAN(IF($I$4:$I$1803=I727,$H$4:$H$1803))</f>
        <v>2716</v>
      </c>
      <c r="K727" s="59" t="n">
        <f aca="false">H727/J727</f>
        <v>0.771723122238586</v>
      </c>
    </row>
    <row r="728" customFormat="false" ht="15" hidden="false" customHeight="false" outlineLevel="0" collapsed="false">
      <c r="A728" s="39" t="s">
        <v>879</v>
      </c>
      <c r="B728" s="39" t="s">
        <v>910</v>
      </c>
      <c r="C728" s="39" t="s">
        <v>900</v>
      </c>
      <c r="D728" s="39" t="s">
        <v>886</v>
      </c>
      <c r="E728" s="39" t="s">
        <v>883</v>
      </c>
      <c r="F728" s="39"/>
      <c r="G728" s="58" t="n">
        <v>623</v>
      </c>
      <c r="H728" s="34" t="n">
        <f aca="false">G728*2</f>
        <v>1246</v>
      </c>
      <c r="I728" s="39" t="str">
        <f aca="false">A728&amp;"|"&amp;B728&amp;"|"&amp;D728&amp;"|"&amp;E728&amp;F728</f>
        <v>auto|Woodward|scenario C (age 36)|male</v>
      </c>
      <c r="J728" s="34" t="n">
        <f aca="false" t="array" ref="J728:J728">MEDIAN(IF($I$4:$I$1803=I728,$H$4:$H$1803))</f>
        <v>1834</v>
      </c>
      <c r="K728" s="59" t="n">
        <f aca="false">H728/J728</f>
        <v>0.679389312977099</v>
      </c>
    </row>
    <row r="729" customFormat="false" ht="15" hidden="false" customHeight="false" outlineLevel="0" collapsed="false">
      <c r="A729" s="39" t="s">
        <v>879</v>
      </c>
      <c r="B729" s="39" t="s">
        <v>910</v>
      </c>
      <c r="C729" s="39" t="s">
        <v>900</v>
      </c>
      <c r="D729" s="39" t="s">
        <v>886</v>
      </c>
      <c r="E729" s="39" t="s">
        <v>884</v>
      </c>
      <c r="F729" s="39"/>
      <c r="G729" s="58" t="n">
        <v>619</v>
      </c>
      <c r="H729" s="34" t="n">
        <f aca="false">G729*2</f>
        <v>1238</v>
      </c>
      <c r="I729" s="39" t="str">
        <f aca="false">A729&amp;"|"&amp;B729&amp;"|"&amp;D729&amp;"|"&amp;E729&amp;F729</f>
        <v>auto|Woodward|scenario C (age 36)|female</v>
      </c>
      <c r="J729" s="34" t="n">
        <f aca="false" t="array" ref="J729:J729">MEDIAN(IF($I$4:$I$1803=I729,$H$4:$H$1803))</f>
        <v>1768</v>
      </c>
      <c r="K729" s="59" t="n">
        <f aca="false">H729/J729</f>
        <v>0.700226244343891</v>
      </c>
    </row>
    <row r="730" customFormat="false" ht="15" hidden="false" customHeight="false" outlineLevel="0" collapsed="false">
      <c r="A730" s="39" t="s">
        <v>879</v>
      </c>
      <c r="B730" s="39" t="s">
        <v>910</v>
      </c>
      <c r="C730" s="39" t="s">
        <v>900</v>
      </c>
      <c r="D730" s="39" t="s">
        <v>887</v>
      </c>
      <c r="E730" s="39" t="s">
        <v>883</v>
      </c>
      <c r="F730" s="39"/>
      <c r="G730" s="58" t="n">
        <v>512</v>
      </c>
      <c r="H730" s="34" t="n">
        <f aca="false">G730*2</f>
        <v>1024</v>
      </c>
      <c r="I730" s="39" t="str">
        <f aca="false">A730&amp;"|"&amp;B730&amp;"|"&amp;D730&amp;"|"&amp;E730&amp;F730</f>
        <v>auto|Woodward|scenario D (age 55)|male</v>
      </c>
      <c r="J730" s="34" t="n">
        <f aca="false" t="array" ref="J730:J730">MEDIAN(IF($I$4:$I$1803=I730,$H$4:$H$1803))</f>
        <v>1551</v>
      </c>
      <c r="K730" s="59" t="n">
        <f aca="false">H730/J730</f>
        <v>0.660219213410703</v>
      </c>
    </row>
    <row r="731" customFormat="false" ht="15" hidden="false" customHeight="false" outlineLevel="0" collapsed="false">
      <c r="A731" s="39" t="s">
        <v>879</v>
      </c>
      <c r="B731" s="39" t="s">
        <v>910</v>
      </c>
      <c r="C731" s="39" t="s">
        <v>900</v>
      </c>
      <c r="D731" s="39" t="s">
        <v>887</v>
      </c>
      <c r="E731" s="39" t="s">
        <v>884</v>
      </c>
      <c r="F731" s="39"/>
      <c r="G731" s="58" t="n">
        <v>484</v>
      </c>
      <c r="H731" s="34" t="n">
        <f aca="false">G731*2</f>
        <v>968</v>
      </c>
      <c r="I731" s="39" t="str">
        <f aca="false">A731&amp;"|"&amp;B731&amp;"|"&amp;D731&amp;"|"&amp;E731&amp;F731</f>
        <v>auto|Woodward|scenario D (age 55)|female</v>
      </c>
      <c r="J731" s="34" t="n">
        <f aca="false" t="array" ref="J731:J731">MEDIAN(IF($I$4:$I$1803=I731,$H$4:$H$1803))</f>
        <v>1551</v>
      </c>
      <c r="K731" s="59" t="n">
        <f aca="false">H731/J731</f>
        <v>0.624113475177305</v>
      </c>
    </row>
    <row r="732" customFormat="false" ht="15" hidden="false" customHeight="false" outlineLevel="0" collapsed="false">
      <c r="A732" s="39" t="s">
        <v>879</v>
      </c>
      <c r="B732" s="39" t="s">
        <v>910</v>
      </c>
      <c r="C732" s="39" t="s">
        <v>900</v>
      </c>
      <c r="D732" s="39" t="s">
        <v>888</v>
      </c>
      <c r="E732" s="39" t="s">
        <v>883</v>
      </c>
      <c r="F732" s="39"/>
      <c r="G732" s="58" t="n">
        <v>507</v>
      </c>
      <c r="H732" s="34" t="n">
        <f aca="false">G732*2</f>
        <v>1014</v>
      </c>
      <c r="I732" s="39" t="str">
        <f aca="false">A732&amp;"|"&amp;B732&amp;"|"&amp;D732&amp;"|"&amp;E732&amp;F732</f>
        <v>auto|Woodward|scenario E (age 70)|male</v>
      </c>
      <c r="J732" s="34" t="n">
        <f aca="false" t="array" ref="J732:J732">MEDIAN(IF($I$4:$I$1803=I732,$H$4:$H$1803))</f>
        <v>1442</v>
      </c>
      <c r="K732" s="59" t="n">
        <f aca="false">H732/J732</f>
        <v>0.703190013869626</v>
      </c>
    </row>
    <row r="733" customFormat="false" ht="15" hidden="false" customHeight="false" outlineLevel="0" collapsed="false">
      <c r="A733" s="39" t="s">
        <v>879</v>
      </c>
      <c r="B733" s="39" t="s">
        <v>910</v>
      </c>
      <c r="C733" s="39" t="s">
        <v>900</v>
      </c>
      <c r="D733" s="39" t="s">
        <v>888</v>
      </c>
      <c r="E733" s="39" t="s">
        <v>884</v>
      </c>
      <c r="F733" s="39"/>
      <c r="G733" s="58" t="n">
        <v>485</v>
      </c>
      <c r="H733" s="34" t="n">
        <f aca="false">G733*2</f>
        <v>970</v>
      </c>
      <c r="I733" s="39" t="str">
        <f aca="false">A733&amp;"|"&amp;B733&amp;"|"&amp;D733&amp;"|"&amp;E733&amp;F733</f>
        <v>auto|Woodward|scenario E (age 70)|female</v>
      </c>
      <c r="J733" s="34" t="n">
        <f aca="false" t="array" ref="J733:J733">MEDIAN(IF($I$4:$I$1803=I733,$H$4:$H$1803))</f>
        <v>1425</v>
      </c>
      <c r="K733" s="59" t="n">
        <f aca="false">H733/J733</f>
        <v>0.680701754385965</v>
      </c>
    </row>
    <row r="734" customFormat="false" ht="15" hidden="false" customHeight="false" outlineLevel="0" collapsed="false">
      <c r="A734" s="39" t="s">
        <v>879</v>
      </c>
      <c r="B734" s="39" t="s">
        <v>910</v>
      </c>
      <c r="C734" s="39" t="s">
        <v>901</v>
      </c>
      <c r="D734" s="39" t="s">
        <v>882</v>
      </c>
      <c r="E734" s="39" t="s">
        <v>883</v>
      </c>
      <c r="F734" s="39"/>
      <c r="G734" s="58" t="n">
        <v>3338</v>
      </c>
      <c r="H734" s="34" t="n">
        <f aca="false">G734*2</f>
        <v>6676</v>
      </c>
      <c r="I734" s="39" t="str">
        <f aca="false">A734&amp;"|"&amp;B734&amp;"|"&amp;D734&amp;"|"&amp;E734&amp;F734</f>
        <v>auto|Woodward|scenario A (age 16)|male</v>
      </c>
      <c r="J734" s="34" t="n">
        <f aca="false" t="array" ref="J734:J734">MEDIAN(IF($I$4:$I$1803=I734,$H$4:$H$1803))</f>
        <v>6758</v>
      </c>
      <c r="K734" s="59" t="n">
        <f aca="false">H734/J734</f>
        <v>0.987866232613199</v>
      </c>
    </row>
    <row r="735" customFormat="false" ht="15" hidden="false" customHeight="false" outlineLevel="0" collapsed="false">
      <c r="A735" s="39" t="s">
        <v>879</v>
      </c>
      <c r="B735" s="39" t="s">
        <v>910</v>
      </c>
      <c r="C735" s="39" t="s">
        <v>901</v>
      </c>
      <c r="D735" s="39" t="s">
        <v>882</v>
      </c>
      <c r="E735" s="39" t="s">
        <v>884</v>
      </c>
      <c r="F735" s="39"/>
      <c r="G735" s="58" t="n">
        <v>2662</v>
      </c>
      <c r="H735" s="34" t="n">
        <f aca="false">G735*2</f>
        <v>5324</v>
      </c>
      <c r="I735" s="39" t="str">
        <f aca="false">A735&amp;"|"&amp;B735&amp;"|"&amp;D735&amp;"|"&amp;E735&amp;F735</f>
        <v>auto|Woodward|scenario A (age 16)|female</v>
      </c>
      <c r="J735" s="34" t="n">
        <f aca="false" t="array" ref="J735:J735">MEDIAN(IF($I$4:$I$1803=I735,$H$4:$H$1803))</f>
        <v>5463</v>
      </c>
      <c r="K735" s="59" t="n">
        <f aca="false">H735/J735</f>
        <v>0.974556104704375</v>
      </c>
    </row>
    <row r="736" customFormat="false" ht="15" hidden="false" customHeight="false" outlineLevel="0" collapsed="false">
      <c r="A736" s="39" t="s">
        <v>879</v>
      </c>
      <c r="B736" s="39" t="s">
        <v>910</v>
      </c>
      <c r="C736" s="39" t="s">
        <v>901</v>
      </c>
      <c r="D736" s="39" t="s">
        <v>885</v>
      </c>
      <c r="E736" s="39" t="s">
        <v>883</v>
      </c>
      <c r="F736" s="39"/>
      <c r="G736" s="58" t="n">
        <v>1595</v>
      </c>
      <c r="H736" s="34" t="n">
        <f aca="false">G736*2</f>
        <v>3190</v>
      </c>
      <c r="I736" s="39" t="str">
        <f aca="false">A736&amp;"|"&amp;B736&amp;"|"&amp;D736&amp;"|"&amp;E736&amp;F736</f>
        <v>auto|Woodward|scenario B (age 21)|male</v>
      </c>
      <c r="J736" s="34" t="n">
        <f aca="false" t="array" ref="J736:J736">MEDIAN(IF($I$4:$I$1803=I736,$H$4:$H$1803))</f>
        <v>3072</v>
      </c>
      <c r="K736" s="59" t="n">
        <f aca="false">H736/J736</f>
        <v>1.03841145833333</v>
      </c>
    </row>
    <row r="737" customFormat="false" ht="15" hidden="false" customHeight="false" outlineLevel="0" collapsed="false">
      <c r="A737" s="39" t="s">
        <v>879</v>
      </c>
      <c r="B737" s="39" t="s">
        <v>910</v>
      </c>
      <c r="C737" s="39" t="s">
        <v>901</v>
      </c>
      <c r="D737" s="39" t="s">
        <v>885</v>
      </c>
      <c r="E737" s="39" t="s">
        <v>884</v>
      </c>
      <c r="F737" s="39"/>
      <c r="G737" s="58" t="n">
        <v>1359</v>
      </c>
      <c r="H737" s="34" t="n">
        <f aca="false">G737*2</f>
        <v>2718</v>
      </c>
      <c r="I737" s="39" t="str">
        <f aca="false">A737&amp;"|"&amp;B737&amp;"|"&amp;D737&amp;"|"&amp;E737&amp;F737</f>
        <v>auto|Woodward|scenario B (age 21)|female</v>
      </c>
      <c r="J737" s="34" t="n">
        <f aca="false" t="array" ref="J737:J737">MEDIAN(IF($I$4:$I$1803=I737,$H$4:$H$1803))</f>
        <v>2716</v>
      </c>
      <c r="K737" s="59" t="n">
        <f aca="false">H737/J737</f>
        <v>1.00073637702504</v>
      </c>
    </row>
    <row r="738" customFormat="false" ht="15" hidden="false" customHeight="false" outlineLevel="0" collapsed="false">
      <c r="A738" s="39" t="s">
        <v>879</v>
      </c>
      <c r="B738" s="39" t="s">
        <v>910</v>
      </c>
      <c r="C738" s="39" t="s">
        <v>901</v>
      </c>
      <c r="D738" s="39" t="s">
        <v>886</v>
      </c>
      <c r="E738" s="39" t="s">
        <v>883</v>
      </c>
      <c r="F738" s="39"/>
      <c r="G738" s="58" t="n">
        <v>1066</v>
      </c>
      <c r="H738" s="34" t="n">
        <f aca="false">G738*2</f>
        <v>2132</v>
      </c>
      <c r="I738" s="39" t="str">
        <f aca="false">A738&amp;"|"&amp;B738&amp;"|"&amp;D738&amp;"|"&amp;E738&amp;F738</f>
        <v>auto|Woodward|scenario C (age 36)|male</v>
      </c>
      <c r="J738" s="34" t="n">
        <f aca="false" t="array" ref="J738:J738">MEDIAN(IF($I$4:$I$1803=I738,$H$4:$H$1803))</f>
        <v>1834</v>
      </c>
      <c r="K738" s="59" t="n">
        <f aca="false">H738/J738</f>
        <v>1.16248636859324</v>
      </c>
    </row>
    <row r="739" customFormat="false" ht="15" hidden="false" customHeight="false" outlineLevel="0" collapsed="false">
      <c r="A739" s="39" t="s">
        <v>879</v>
      </c>
      <c r="B739" s="39" t="s">
        <v>910</v>
      </c>
      <c r="C739" s="39" t="s">
        <v>901</v>
      </c>
      <c r="D739" s="39" t="s">
        <v>886</v>
      </c>
      <c r="E739" s="39" t="s">
        <v>884</v>
      </c>
      <c r="F739" s="39"/>
      <c r="G739" s="58" t="n">
        <v>1011</v>
      </c>
      <c r="H739" s="34" t="n">
        <f aca="false">G739*2</f>
        <v>2022</v>
      </c>
      <c r="I739" s="39" t="str">
        <f aca="false">A739&amp;"|"&amp;B739&amp;"|"&amp;D739&amp;"|"&amp;E739&amp;F739</f>
        <v>auto|Woodward|scenario C (age 36)|female</v>
      </c>
      <c r="J739" s="34" t="n">
        <f aca="false" t="array" ref="J739:J739">MEDIAN(IF($I$4:$I$1803=I739,$H$4:$H$1803))</f>
        <v>1768</v>
      </c>
      <c r="K739" s="59" t="n">
        <f aca="false">H739/J739</f>
        <v>1.14366515837104</v>
      </c>
    </row>
    <row r="740" customFormat="false" ht="15" hidden="false" customHeight="false" outlineLevel="0" collapsed="false">
      <c r="A740" s="39" t="s">
        <v>879</v>
      </c>
      <c r="B740" s="39" t="s">
        <v>910</v>
      </c>
      <c r="C740" s="39" t="s">
        <v>901</v>
      </c>
      <c r="D740" s="39" t="s">
        <v>887</v>
      </c>
      <c r="E740" s="39" t="s">
        <v>883</v>
      </c>
      <c r="F740" s="39"/>
      <c r="G740" s="58" t="n">
        <v>850</v>
      </c>
      <c r="H740" s="34" t="n">
        <f aca="false">G740*2</f>
        <v>1700</v>
      </c>
      <c r="I740" s="39" t="str">
        <f aca="false">A740&amp;"|"&amp;B740&amp;"|"&amp;D740&amp;"|"&amp;E740&amp;F740</f>
        <v>auto|Woodward|scenario D (age 55)|male</v>
      </c>
      <c r="J740" s="34" t="n">
        <f aca="false" t="array" ref="J740:J740">MEDIAN(IF($I$4:$I$1803=I740,$H$4:$H$1803))</f>
        <v>1551</v>
      </c>
      <c r="K740" s="59" t="n">
        <f aca="false">H740/J740</f>
        <v>1.09606705351386</v>
      </c>
    </row>
    <row r="741" customFormat="false" ht="15" hidden="false" customHeight="false" outlineLevel="0" collapsed="false">
      <c r="A741" s="39" t="s">
        <v>879</v>
      </c>
      <c r="B741" s="39" t="s">
        <v>910</v>
      </c>
      <c r="C741" s="39" t="s">
        <v>901</v>
      </c>
      <c r="D741" s="39" t="s">
        <v>887</v>
      </c>
      <c r="E741" s="39" t="s">
        <v>884</v>
      </c>
      <c r="F741" s="39"/>
      <c r="G741" s="58" t="n">
        <v>802</v>
      </c>
      <c r="H741" s="34" t="n">
        <f aca="false">G741*2</f>
        <v>1604</v>
      </c>
      <c r="I741" s="39" t="str">
        <f aca="false">A741&amp;"|"&amp;B741&amp;"|"&amp;D741&amp;"|"&amp;E741&amp;F741</f>
        <v>auto|Woodward|scenario D (age 55)|female</v>
      </c>
      <c r="J741" s="34" t="n">
        <f aca="false" t="array" ref="J741:J741">MEDIAN(IF($I$4:$I$1803=I741,$H$4:$H$1803))</f>
        <v>1551</v>
      </c>
      <c r="K741" s="59" t="n">
        <f aca="false">H741/J741</f>
        <v>1.03417150225661</v>
      </c>
    </row>
    <row r="742" customFormat="false" ht="15" hidden="false" customHeight="false" outlineLevel="0" collapsed="false">
      <c r="A742" s="39" t="s">
        <v>879</v>
      </c>
      <c r="B742" s="39" t="s">
        <v>910</v>
      </c>
      <c r="C742" s="39" t="s">
        <v>901</v>
      </c>
      <c r="D742" s="39" t="s">
        <v>888</v>
      </c>
      <c r="E742" s="39" t="s">
        <v>883</v>
      </c>
      <c r="F742" s="39"/>
      <c r="G742" s="58" t="n">
        <v>895</v>
      </c>
      <c r="H742" s="34" t="n">
        <f aca="false">G742*2</f>
        <v>1790</v>
      </c>
      <c r="I742" s="39" t="str">
        <f aca="false">A742&amp;"|"&amp;B742&amp;"|"&amp;D742&amp;"|"&amp;E742&amp;F742</f>
        <v>auto|Woodward|scenario E (age 70)|male</v>
      </c>
      <c r="J742" s="34" t="n">
        <f aca="false" t="array" ref="J742:J742">MEDIAN(IF($I$4:$I$1803=I742,$H$4:$H$1803))</f>
        <v>1442</v>
      </c>
      <c r="K742" s="59" t="n">
        <f aca="false">H742/J742</f>
        <v>1.24133148404993</v>
      </c>
    </row>
    <row r="743" customFormat="false" ht="15" hidden="false" customHeight="false" outlineLevel="0" collapsed="false">
      <c r="A743" s="39" t="s">
        <v>879</v>
      </c>
      <c r="B743" s="39" t="s">
        <v>910</v>
      </c>
      <c r="C743" s="39" t="s">
        <v>901</v>
      </c>
      <c r="D743" s="39" t="s">
        <v>888</v>
      </c>
      <c r="E743" s="39" t="s">
        <v>884</v>
      </c>
      <c r="F743" s="39"/>
      <c r="G743" s="58" t="n">
        <v>802</v>
      </c>
      <c r="H743" s="34" t="n">
        <f aca="false">G743*2</f>
        <v>1604</v>
      </c>
      <c r="I743" s="39" t="str">
        <f aca="false">A743&amp;"|"&amp;B743&amp;"|"&amp;D743&amp;"|"&amp;E743&amp;F743</f>
        <v>auto|Woodward|scenario E (age 70)|female</v>
      </c>
      <c r="J743" s="34" t="n">
        <f aca="false" t="array" ref="J743:J743">MEDIAN(IF($I$4:$I$1803=I743,$H$4:$H$1803))</f>
        <v>1425</v>
      </c>
      <c r="K743" s="59" t="n">
        <f aca="false">H743/J743</f>
        <v>1.12561403508772</v>
      </c>
    </row>
    <row r="744" customFormat="false" ht="15" hidden="false" customHeight="false" outlineLevel="0" collapsed="false">
      <c r="A744" s="39" t="s">
        <v>879</v>
      </c>
      <c r="B744" s="39" t="s">
        <v>910</v>
      </c>
      <c r="C744" s="39" t="s">
        <v>902</v>
      </c>
      <c r="D744" s="39" t="s">
        <v>882</v>
      </c>
      <c r="E744" s="39" t="s">
        <v>883</v>
      </c>
      <c r="F744" s="39"/>
      <c r="G744" s="58" t="n">
        <v>1038</v>
      </c>
      <c r="H744" s="34" t="n">
        <f aca="false">G744*2</f>
        <v>2076</v>
      </c>
      <c r="I744" s="39" t="str">
        <f aca="false">A744&amp;"|"&amp;B744&amp;"|"&amp;D744&amp;"|"&amp;E744&amp;F744</f>
        <v>auto|Woodward|scenario A (age 16)|male</v>
      </c>
      <c r="J744" s="34" t="n">
        <f aca="false" t="array" ref="J744:J744">MEDIAN(IF($I$4:$I$1803=I744,$H$4:$H$1803))</f>
        <v>6758</v>
      </c>
      <c r="K744" s="59" t="n">
        <f aca="false">H744/J744</f>
        <v>0.307191476768275</v>
      </c>
    </row>
    <row r="745" customFormat="false" ht="15" hidden="false" customHeight="false" outlineLevel="0" collapsed="false">
      <c r="A745" s="39" t="s">
        <v>879</v>
      </c>
      <c r="B745" s="39" t="s">
        <v>910</v>
      </c>
      <c r="C745" s="39" t="s">
        <v>902</v>
      </c>
      <c r="D745" s="39" t="s">
        <v>882</v>
      </c>
      <c r="E745" s="39" t="s">
        <v>884</v>
      </c>
      <c r="F745" s="39"/>
      <c r="G745" s="58" t="n">
        <v>1041</v>
      </c>
      <c r="H745" s="34" t="n">
        <f aca="false">G745*2</f>
        <v>2082</v>
      </c>
      <c r="I745" s="39" t="str">
        <f aca="false">A745&amp;"|"&amp;B745&amp;"|"&amp;D745&amp;"|"&amp;E745&amp;F745</f>
        <v>auto|Woodward|scenario A (age 16)|female</v>
      </c>
      <c r="J745" s="34" t="n">
        <f aca="false" t="array" ref="J745:J745">MEDIAN(IF($I$4:$I$1803=I745,$H$4:$H$1803))</f>
        <v>5463</v>
      </c>
      <c r="K745" s="59" t="n">
        <f aca="false">H745/J745</f>
        <v>0.381109280615047</v>
      </c>
    </row>
    <row r="746" customFormat="false" ht="15" hidden="false" customHeight="false" outlineLevel="0" collapsed="false">
      <c r="A746" s="39" t="s">
        <v>879</v>
      </c>
      <c r="B746" s="39" t="s">
        <v>910</v>
      </c>
      <c r="C746" s="39" t="s">
        <v>902</v>
      </c>
      <c r="D746" s="39" t="s">
        <v>885</v>
      </c>
      <c r="E746" s="39" t="s">
        <v>883</v>
      </c>
      <c r="F746" s="39"/>
      <c r="G746" s="58" t="n">
        <v>1933</v>
      </c>
      <c r="H746" s="34" t="n">
        <f aca="false">G746*2</f>
        <v>3866</v>
      </c>
      <c r="I746" s="39" t="str">
        <f aca="false">A746&amp;"|"&amp;B746&amp;"|"&amp;D746&amp;"|"&amp;E746&amp;F746</f>
        <v>auto|Woodward|scenario B (age 21)|male</v>
      </c>
      <c r="J746" s="34" t="n">
        <f aca="false" t="array" ref="J746:J746">MEDIAN(IF($I$4:$I$1803=I746,$H$4:$H$1803))</f>
        <v>3072</v>
      </c>
      <c r="K746" s="59" t="n">
        <f aca="false">H746/J746</f>
        <v>1.25846354166667</v>
      </c>
    </row>
    <row r="747" customFormat="false" ht="15" hidden="false" customHeight="false" outlineLevel="0" collapsed="false">
      <c r="A747" s="39" t="s">
        <v>879</v>
      </c>
      <c r="B747" s="39" t="s">
        <v>910</v>
      </c>
      <c r="C747" s="39" t="s">
        <v>902</v>
      </c>
      <c r="D747" s="39" t="s">
        <v>885</v>
      </c>
      <c r="E747" s="39" t="s">
        <v>884</v>
      </c>
      <c r="F747" s="39"/>
      <c r="G747" s="58" t="n">
        <v>1953</v>
      </c>
      <c r="H747" s="34" t="n">
        <f aca="false">G747*2</f>
        <v>3906</v>
      </c>
      <c r="I747" s="39" t="str">
        <f aca="false">A747&amp;"|"&amp;B747&amp;"|"&amp;D747&amp;"|"&amp;E747&amp;F747</f>
        <v>auto|Woodward|scenario B (age 21)|female</v>
      </c>
      <c r="J747" s="34" t="n">
        <f aca="false" t="array" ref="J747:J747">MEDIAN(IF($I$4:$I$1803=I747,$H$4:$H$1803))</f>
        <v>2716</v>
      </c>
      <c r="K747" s="59" t="n">
        <f aca="false">H747/J747</f>
        <v>1.43814432989691</v>
      </c>
    </row>
    <row r="748" customFormat="false" ht="15" hidden="false" customHeight="false" outlineLevel="0" collapsed="false">
      <c r="A748" s="39" t="s">
        <v>879</v>
      </c>
      <c r="B748" s="39" t="s">
        <v>910</v>
      </c>
      <c r="C748" s="39" t="s">
        <v>902</v>
      </c>
      <c r="D748" s="39" t="s">
        <v>886</v>
      </c>
      <c r="E748" s="39" t="s">
        <v>883</v>
      </c>
      <c r="F748" s="39"/>
      <c r="G748" s="58" t="n">
        <v>1636</v>
      </c>
      <c r="H748" s="34" t="n">
        <f aca="false">G748*2</f>
        <v>3272</v>
      </c>
      <c r="I748" s="39" t="str">
        <f aca="false">A748&amp;"|"&amp;B748&amp;"|"&amp;D748&amp;"|"&amp;E748&amp;F748</f>
        <v>auto|Woodward|scenario C (age 36)|male</v>
      </c>
      <c r="J748" s="34" t="n">
        <f aca="false" t="array" ref="J748:J748">MEDIAN(IF($I$4:$I$1803=I748,$H$4:$H$1803))</f>
        <v>1834</v>
      </c>
      <c r="K748" s="59" t="n">
        <f aca="false">H748/J748</f>
        <v>1.78407851690294</v>
      </c>
    </row>
    <row r="749" customFormat="false" ht="15" hidden="false" customHeight="false" outlineLevel="0" collapsed="false">
      <c r="A749" s="39" t="s">
        <v>879</v>
      </c>
      <c r="B749" s="39" t="s">
        <v>910</v>
      </c>
      <c r="C749" s="39" t="s">
        <v>902</v>
      </c>
      <c r="D749" s="39" t="s">
        <v>886</v>
      </c>
      <c r="E749" s="39" t="s">
        <v>884</v>
      </c>
      <c r="F749" s="39"/>
      <c r="G749" s="58" t="n">
        <v>1653</v>
      </c>
      <c r="H749" s="34" t="n">
        <f aca="false">G749*2</f>
        <v>3306</v>
      </c>
      <c r="I749" s="39" t="str">
        <f aca="false">A749&amp;"|"&amp;B749&amp;"|"&amp;D749&amp;"|"&amp;E749&amp;F749</f>
        <v>auto|Woodward|scenario C (age 36)|female</v>
      </c>
      <c r="J749" s="34" t="n">
        <f aca="false" t="array" ref="J749:J749">MEDIAN(IF($I$4:$I$1803=I749,$H$4:$H$1803))</f>
        <v>1768</v>
      </c>
      <c r="K749" s="59" t="n">
        <f aca="false">H749/J749</f>
        <v>1.86990950226244</v>
      </c>
    </row>
    <row r="750" customFormat="false" ht="15" hidden="false" customHeight="false" outlineLevel="0" collapsed="false">
      <c r="A750" s="39" t="s">
        <v>879</v>
      </c>
      <c r="B750" s="39" t="s">
        <v>910</v>
      </c>
      <c r="C750" s="39" t="s">
        <v>902</v>
      </c>
      <c r="D750" s="39" t="s">
        <v>887</v>
      </c>
      <c r="E750" s="39" t="s">
        <v>883</v>
      </c>
      <c r="F750" s="39"/>
      <c r="G750" s="58" t="n">
        <v>1546</v>
      </c>
      <c r="H750" s="34" t="n">
        <f aca="false">G750*2</f>
        <v>3092</v>
      </c>
      <c r="I750" s="39" t="str">
        <f aca="false">A750&amp;"|"&amp;B750&amp;"|"&amp;D750&amp;"|"&amp;E750&amp;F750</f>
        <v>auto|Woodward|scenario D (age 55)|male</v>
      </c>
      <c r="J750" s="34" t="n">
        <f aca="false" t="array" ref="J750:J750">MEDIAN(IF($I$4:$I$1803=I750,$H$4:$H$1803))</f>
        <v>1551</v>
      </c>
      <c r="K750" s="59" t="n">
        <f aca="false">H750/J750</f>
        <v>1.99355254674404</v>
      </c>
    </row>
    <row r="751" customFormat="false" ht="15" hidden="false" customHeight="false" outlineLevel="0" collapsed="false">
      <c r="A751" s="39" t="s">
        <v>879</v>
      </c>
      <c r="B751" s="39" t="s">
        <v>910</v>
      </c>
      <c r="C751" s="39" t="s">
        <v>902</v>
      </c>
      <c r="D751" s="39" t="s">
        <v>887</v>
      </c>
      <c r="E751" s="39" t="s">
        <v>884</v>
      </c>
      <c r="F751" s="39"/>
      <c r="G751" s="58" t="n">
        <v>1547</v>
      </c>
      <c r="H751" s="34" t="n">
        <f aca="false">G751*2</f>
        <v>3094</v>
      </c>
      <c r="I751" s="39" t="str">
        <f aca="false">A751&amp;"|"&amp;B751&amp;"|"&amp;D751&amp;"|"&amp;E751&amp;F751</f>
        <v>auto|Woodward|scenario D (age 55)|female</v>
      </c>
      <c r="J751" s="34" t="n">
        <f aca="false" t="array" ref="J751:J751">MEDIAN(IF($I$4:$I$1803=I751,$H$4:$H$1803))</f>
        <v>1551</v>
      </c>
      <c r="K751" s="59" t="n">
        <f aca="false">H751/J751</f>
        <v>1.99484203739523</v>
      </c>
    </row>
    <row r="752" customFormat="false" ht="15" hidden="false" customHeight="false" outlineLevel="0" collapsed="false">
      <c r="A752" s="39" t="s">
        <v>879</v>
      </c>
      <c r="B752" s="39" t="s">
        <v>910</v>
      </c>
      <c r="C752" s="39" t="s">
        <v>902</v>
      </c>
      <c r="D752" s="39" t="s">
        <v>888</v>
      </c>
      <c r="E752" s="39" t="s">
        <v>883</v>
      </c>
      <c r="F752" s="39"/>
      <c r="G752" s="58" t="n">
        <v>712</v>
      </c>
      <c r="H752" s="34" t="n">
        <f aca="false">G752*2</f>
        <v>1424</v>
      </c>
      <c r="I752" s="39" t="str">
        <f aca="false">A752&amp;"|"&amp;B752&amp;"|"&amp;D752&amp;"|"&amp;E752&amp;F752</f>
        <v>auto|Woodward|scenario E (age 70)|male</v>
      </c>
      <c r="J752" s="34" t="n">
        <f aca="false" t="array" ref="J752:J752">MEDIAN(IF($I$4:$I$1803=I752,$H$4:$H$1803))</f>
        <v>1442</v>
      </c>
      <c r="K752" s="59" t="n">
        <f aca="false">H752/J752</f>
        <v>0.9875173370319</v>
      </c>
    </row>
    <row r="753" customFormat="false" ht="15" hidden="false" customHeight="false" outlineLevel="0" collapsed="false">
      <c r="A753" s="39" t="s">
        <v>879</v>
      </c>
      <c r="B753" s="39" t="s">
        <v>910</v>
      </c>
      <c r="C753" s="39" t="s">
        <v>902</v>
      </c>
      <c r="D753" s="39" t="s">
        <v>888</v>
      </c>
      <c r="E753" s="39" t="s">
        <v>884</v>
      </c>
      <c r="F753" s="39"/>
      <c r="G753" s="58" t="n">
        <v>749</v>
      </c>
      <c r="H753" s="34" t="n">
        <f aca="false">G753*2</f>
        <v>1498</v>
      </c>
      <c r="I753" s="39" t="str">
        <f aca="false">A753&amp;"|"&amp;B753&amp;"|"&amp;D753&amp;"|"&amp;E753&amp;F753</f>
        <v>auto|Woodward|scenario E (age 70)|female</v>
      </c>
      <c r="J753" s="34" t="n">
        <f aca="false" t="array" ref="J753:J753">MEDIAN(IF($I$4:$I$1803=I753,$H$4:$H$1803))</f>
        <v>1425</v>
      </c>
      <c r="K753" s="59" t="n">
        <f aca="false">H753/J753</f>
        <v>1.05122807017544</v>
      </c>
    </row>
    <row r="754" customFormat="false" ht="15" hidden="false" customHeight="false" outlineLevel="0" collapsed="false">
      <c r="A754" s="39" t="s">
        <v>879</v>
      </c>
      <c r="B754" s="39" t="s">
        <v>910</v>
      </c>
      <c r="C754" s="39" t="s">
        <v>903</v>
      </c>
      <c r="D754" s="39" t="s">
        <v>882</v>
      </c>
      <c r="E754" s="39" t="s">
        <v>883</v>
      </c>
      <c r="F754" s="39"/>
      <c r="G754" s="58" t="n">
        <v>762</v>
      </c>
      <c r="H754" s="34" t="n">
        <f aca="false">G754*2</f>
        <v>1524</v>
      </c>
      <c r="I754" s="39" t="str">
        <f aca="false">A754&amp;"|"&amp;B754&amp;"|"&amp;D754&amp;"|"&amp;E754&amp;F754</f>
        <v>auto|Woodward|scenario A (age 16)|male</v>
      </c>
      <c r="J754" s="34" t="n">
        <f aca="false" t="array" ref="J754:J754">MEDIAN(IF($I$4:$I$1803=I754,$H$4:$H$1803))</f>
        <v>6758</v>
      </c>
      <c r="K754" s="59" t="n">
        <f aca="false">H754/J754</f>
        <v>0.225510506066884</v>
      </c>
    </row>
    <row r="755" customFormat="false" ht="15" hidden="false" customHeight="false" outlineLevel="0" collapsed="false">
      <c r="A755" s="39" t="s">
        <v>879</v>
      </c>
      <c r="B755" s="39" t="s">
        <v>910</v>
      </c>
      <c r="C755" s="39" t="s">
        <v>903</v>
      </c>
      <c r="D755" s="39" t="s">
        <v>882</v>
      </c>
      <c r="E755" s="39" t="s">
        <v>884</v>
      </c>
      <c r="F755" s="39"/>
      <c r="G755" s="58" t="n">
        <v>764</v>
      </c>
      <c r="H755" s="34" t="n">
        <f aca="false">G755*2</f>
        <v>1528</v>
      </c>
      <c r="I755" s="39" t="str">
        <f aca="false">A755&amp;"|"&amp;B755&amp;"|"&amp;D755&amp;"|"&amp;E755&amp;F755</f>
        <v>auto|Woodward|scenario A (age 16)|female</v>
      </c>
      <c r="J755" s="34" t="n">
        <f aca="false" t="array" ref="J755:J755">MEDIAN(IF($I$4:$I$1803=I755,$H$4:$H$1803))</f>
        <v>5463</v>
      </c>
      <c r="K755" s="59" t="n">
        <f aca="false">H755/J755</f>
        <v>0.279699798645433</v>
      </c>
    </row>
    <row r="756" customFormat="false" ht="15" hidden="false" customHeight="false" outlineLevel="0" collapsed="false">
      <c r="A756" s="39" t="s">
        <v>879</v>
      </c>
      <c r="B756" s="39" t="s">
        <v>910</v>
      </c>
      <c r="C756" s="39" t="s">
        <v>903</v>
      </c>
      <c r="D756" s="39" t="s">
        <v>885</v>
      </c>
      <c r="E756" s="39" t="s">
        <v>883</v>
      </c>
      <c r="F756" s="39"/>
      <c r="G756" s="58" t="n">
        <v>1419</v>
      </c>
      <c r="H756" s="34" t="n">
        <f aca="false">G756*2</f>
        <v>2838</v>
      </c>
      <c r="I756" s="39" t="str">
        <f aca="false">A756&amp;"|"&amp;B756&amp;"|"&amp;D756&amp;"|"&amp;E756&amp;F756</f>
        <v>auto|Woodward|scenario B (age 21)|male</v>
      </c>
      <c r="J756" s="34" t="n">
        <f aca="false" t="array" ref="J756:J756">MEDIAN(IF($I$4:$I$1803=I756,$H$4:$H$1803))</f>
        <v>3072</v>
      </c>
      <c r="K756" s="59" t="n">
        <f aca="false">H756/J756</f>
        <v>0.923828125</v>
      </c>
    </row>
    <row r="757" customFormat="false" ht="15" hidden="false" customHeight="false" outlineLevel="0" collapsed="false">
      <c r="A757" s="39" t="s">
        <v>879</v>
      </c>
      <c r="B757" s="39" t="s">
        <v>910</v>
      </c>
      <c r="C757" s="39" t="s">
        <v>903</v>
      </c>
      <c r="D757" s="39" t="s">
        <v>885</v>
      </c>
      <c r="E757" s="39" t="s">
        <v>884</v>
      </c>
      <c r="F757" s="39"/>
      <c r="G757" s="58" t="n">
        <v>1434</v>
      </c>
      <c r="H757" s="34" t="n">
        <f aca="false">G757*2</f>
        <v>2868</v>
      </c>
      <c r="I757" s="39" t="str">
        <f aca="false">A757&amp;"|"&amp;B757&amp;"|"&amp;D757&amp;"|"&amp;E757&amp;F757</f>
        <v>auto|Woodward|scenario B (age 21)|female</v>
      </c>
      <c r="J757" s="34" t="n">
        <f aca="false" t="array" ref="J757:J757">MEDIAN(IF($I$4:$I$1803=I757,$H$4:$H$1803))</f>
        <v>2716</v>
      </c>
      <c r="K757" s="59" t="n">
        <f aca="false">H757/J757</f>
        <v>1.0559646539028</v>
      </c>
    </row>
    <row r="758" customFormat="false" ht="15" hidden="false" customHeight="false" outlineLevel="0" collapsed="false">
      <c r="A758" s="39" t="s">
        <v>879</v>
      </c>
      <c r="B758" s="39" t="s">
        <v>910</v>
      </c>
      <c r="C758" s="39" t="s">
        <v>903</v>
      </c>
      <c r="D758" s="39" t="s">
        <v>886</v>
      </c>
      <c r="E758" s="39" t="s">
        <v>883</v>
      </c>
      <c r="F758" s="39"/>
      <c r="G758" s="58" t="n">
        <v>1202</v>
      </c>
      <c r="H758" s="34" t="n">
        <f aca="false">G758*2</f>
        <v>2404</v>
      </c>
      <c r="I758" s="39" t="str">
        <f aca="false">A758&amp;"|"&amp;B758&amp;"|"&amp;D758&amp;"|"&amp;E758&amp;F758</f>
        <v>auto|Woodward|scenario C (age 36)|male</v>
      </c>
      <c r="J758" s="34" t="n">
        <f aca="false" t="array" ref="J758:J758">MEDIAN(IF($I$4:$I$1803=I758,$H$4:$H$1803))</f>
        <v>1834</v>
      </c>
      <c r="K758" s="59" t="n">
        <f aca="false">H758/J758</f>
        <v>1.31079607415485</v>
      </c>
    </row>
    <row r="759" customFormat="false" ht="15" hidden="false" customHeight="false" outlineLevel="0" collapsed="false">
      <c r="A759" s="39" t="s">
        <v>879</v>
      </c>
      <c r="B759" s="39" t="s">
        <v>910</v>
      </c>
      <c r="C759" s="39" t="s">
        <v>903</v>
      </c>
      <c r="D759" s="39" t="s">
        <v>886</v>
      </c>
      <c r="E759" s="39" t="s">
        <v>884</v>
      </c>
      <c r="F759" s="39"/>
      <c r="G759" s="58" t="n">
        <v>1214</v>
      </c>
      <c r="H759" s="34" t="n">
        <f aca="false">G759*2</f>
        <v>2428</v>
      </c>
      <c r="I759" s="39" t="str">
        <f aca="false">A759&amp;"|"&amp;B759&amp;"|"&amp;D759&amp;"|"&amp;E759&amp;F759</f>
        <v>auto|Woodward|scenario C (age 36)|female</v>
      </c>
      <c r="J759" s="34" t="n">
        <f aca="false" t="array" ref="J759:J759">MEDIAN(IF($I$4:$I$1803=I759,$H$4:$H$1803))</f>
        <v>1768</v>
      </c>
      <c r="K759" s="59" t="n">
        <f aca="false">H759/J759</f>
        <v>1.37330316742081</v>
      </c>
    </row>
    <row r="760" customFormat="false" ht="15" hidden="false" customHeight="false" outlineLevel="0" collapsed="false">
      <c r="A760" s="39" t="s">
        <v>879</v>
      </c>
      <c r="B760" s="39" t="s">
        <v>910</v>
      </c>
      <c r="C760" s="39" t="s">
        <v>903</v>
      </c>
      <c r="D760" s="39" t="s">
        <v>887</v>
      </c>
      <c r="E760" s="39" t="s">
        <v>883</v>
      </c>
      <c r="F760" s="39"/>
      <c r="G760" s="58" t="n">
        <v>1136</v>
      </c>
      <c r="H760" s="34" t="n">
        <f aca="false">G760*2</f>
        <v>2272</v>
      </c>
      <c r="I760" s="39" t="str">
        <f aca="false">A760&amp;"|"&amp;B760&amp;"|"&amp;D760&amp;"|"&amp;E760&amp;F760</f>
        <v>auto|Woodward|scenario D (age 55)|male</v>
      </c>
      <c r="J760" s="34" t="n">
        <f aca="false" t="array" ref="J760:J760">MEDIAN(IF($I$4:$I$1803=I760,$H$4:$H$1803))</f>
        <v>1551</v>
      </c>
      <c r="K760" s="59" t="n">
        <f aca="false">H760/J760</f>
        <v>1.464861379755</v>
      </c>
    </row>
    <row r="761" customFormat="false" ht="15" hidden="false" customHeight="false" outlineLevel="0" collapsed="false">
      <c r="A761" s="39" t="s">
        <v>879</v>
      </c>
      <c r="B761" s="39" t="s">
        <v>910</v>
      </c>
      <c r="C761" s="39" t="s">
        <v>903</v>
      </c>
      <c r="D761" s="39" t="s">
        <v>887</v>
      </c>
      <c r="E761" s="39" t="s">
        <v>884</v>
      </c>
      <c r="F761" s="39"/>
      <c r="G761" s="58" t="n">
        <v>1136</v>
      </c>
      <c r="H761" s="34" t="n">
        <f aca="false">G761*2</f>
        <v>2272</v>
      </c>
      <c r="I761" s="39" t="str">
        <f aca="false">A761&amp;"|"&amp;B761&amp;"|"&amp;D761&amp;"|"&amp;E761&amp;F761</f>
        <v>auto|Woodward|scenario D (age 55)|female</v>
      </c>
      <c r="J761" s="34" t="n">
        <f aca="false" t="array" ref="J761:J761">MEDIAN(IF($I$4:$I$1803=I761,$H$4:$H$1803))</f>
        <v>1551</v>
      </c>
      <c r="K761" s="59" t="n">
        <f aca="false">H761/J761</f>
        <v>1.464861379755</v>
      </c>
    </row>
    <row r="762" customFormat="false" ht="15" hidden="false" customHeight="false" outlineLevel="0" collapsed="false">
      <c r="A762" s="39" t="s">
        <v>879</v>
      </c>
      <c r="B762" s="39" t="s">
        <v>910</v>
      </c>
      <c r="C762" s="39" t="s">
        <v>903</v>
      </c>
      <c r="D762" s="39" t="s">
        <v>888</v>
      </c>
      <c r="E762" s="39" t="s">
        <v>883</v>
      </c>
      <c r="F762" s="39"/>
      <c r="G762" s="58" t="n">
        <v>523</v>
      </c>
      <c r="H762" s="34" t="n">
        <f aca="false">G762*2</f>
        <v>1046</v>
      </c>
      <c r="I762" s="39" t="str">
        <f aca="false">A762&amp;"|"&amp;B762&amp;"|"&amp;D762&amp;"|"&amp;E762&amp;F762</f>
        <v>auto|Woodward|scenario E (age 70)|male</v>
      </c>
      <c r="J762" s="34" t="n">
        <f aca="false" t="array" ref="J762:J762">MEDIAN(IF($I$4:$I$1803=I762,$H$4:$H$1803))</f>
        <v>1442</v>
      </c>
      <c r="K762" s="59" t="n">
        <f aca="false">H762/J762</f>
        <v>0.725381414701803</v>
      </c>
    </row>
    <row r="763" customFormat="false" ht="15" hidden="false" customHeight="false" outlineLevel="0" collapsed="false">
      <c r="A763" s="39" t="s">
        <v>879</v>
      </c>
      <c r="B763" s="39" t="s">
        <v>910</v>
      </c>
      <c r="C763" s="39" t="s">
        <v>903</v>
      </c>
      <c r="D763" s="39" t="s">
        <v>888</v>
      </c>
      <c r="E763" s="39" t="s">
        <v>884</v>
      </c>
      <c r="F763" s="39"/>
      <c r="G763" s="58" t="n">
        <v>550</v>
      </c>
      <c r="H763" s="34" t="n">
        <f aca="false">G763*2</f>
        <v>1100</v>
      </c>
      <c r="I763" s="39" t="str">
        <f aca="false">A763&amp;"|"&amp;B763&amp;"|"&amp;D763&amp;"|"&amp;E763&amp;F763</f>
        <v>auto|Woodward|scenario E (age 70)|female</v>
      </c>
      <c r="J763" s="34" t="n">
        <f aca="false" t="array" ref="J763:J763">MEDIAN(IF($I$4:$I$1803=I763,$H$4:$H$1803))</f>
        <v>1425</v>
      </c>
      <c r="K763" s="59" t="n">
        <f aca="false">H763/J763</f>
        <v>0.771929824561404</v>
      </c>
    </row>
    <row r="764" customFormat="false" ht="15" hidden="false" customHeight="false" outlineLevel="0" collapsed="false">
      <c r="A764" s="39" t="s">
        <v>879</v>
      </c>
      <c r="B764" s="39" t="s">
        <v>910</v>
      </c>
      <c r="C764" s="39" t="s">
        <v>904</v>
      </c>
      <c r="D764" s="39" t="s">
        <v>882</v>
      </c>
      <c r="E764" s="39" t="s">
        <v>883</v>
      </c>
      <c r="F764" s="39"/>
      <c r="G764" s="58" t="n">
        <v>3846</v>
      </c>
      <c r="H764" s="34" t="n">
        <f aca="false">G764*2</f>
        <v>7692</v>
      </c>
      <c r="I764" s="39" t="str">
        <f aca="false">A764&amp;"|"&amp;B764&amp;"|"&amp;D764&amp;"|"&amp;E764&amp;F764</f>
        <v>auto|Woodward|scenario A (age 16)|male</v>
      </c>
      <c r="J764" s="34" t="n">
        <f aca="false" t="array" ref="J764:J764">MEDIAN(IF($I$4:$I$1803=I764,$H$4:$H$1803))</f>
        <v>6758</v>
      </c>
      <c r="K764" s="59" t="n">
        <f aca="false">H764/J764</f>
        <v>1.13820656999112</v>
      </c>
    </row>
    <row r="765" customFormat="false" ht="15" hidden="false" customHeight="false" outlineLevel="0" collapsed="false">
      <c r="A765" s="39" t="s">
        <v>879</v>
      </c>
      <c r="B765" s="39" t="s">
        <v>910</v>
      </c>
      <c r="C765" s="39" t="s">
        <v>904</v>
      </c>
      <c r="D765" s="39" t="s">
        <v>882</v>
      </c>
      <c r="E765" s="39" t="s">
        <v>884</v>
      </c>
      <c r="F765" s="39"/>
      <c r="G765" s="58" t="n">
        <v>2948</v>
      </c>
      <c r="H765" s="34" t="n">
        <f aca="false">G765*2</f>
        <v>5896</v>
      </c>
      <c r="I765" s="39" t="str">
        <f aca="false">A765&amp;"|"&amp;B765&amp;"|"&amp;D765&amp;"|"&amp;E765&amp;F765</f>
        <v>auto|Woodward|scenario A (age 16)|female</v>
      </c>
      <c r="J765" s="34" t="n">
        <f aca="false" t="array" ref="J765:J765">MEDIAN(IF($I$4:$I$1803=I765,$H$4:$H$1803))</f>
        <v>5463</v>
      </c>
      <c r="K765" s="59" t="n">
        <f aca="false">H765/J765</f>
        <v>1.07926047958997</v>
      </c>
    </row>
    <row r="766" customFormat="false" ht="15" hidden="false" customHeight="false" outlineLevel="0" collapsed="false">
      <c r="A766" s="39" t="s">
        <v>879</v>
      </c>
      <c r="B766" s="39" t="s">
        <v>910</v>
      </c>
      <c r="C766" s="39" t="s">
        <v>904</v>
      </c>
      <c r="D766" s="39" t="s">
        <v>885</v>
      </c>
      <c r="E766" s="39" t="s">
        <v>883</v>
      </c>
      <c r="F766" s="39"/>
      <c r="G766" s="58" t="n">
        <v>2967</v>
      </c>
      <c r="H766" s="34" t="n">
        <f aca="false">G766*2</f>
        <v>5934</v>
      </c>
      <c r="I766" s="39" t="str">
        <f aca="false">A766&amp;"|"&amp;B766&amp;"|"&amp;D766&amp;"|"&amp;E766&amp;F766</f>
        <v>auto|Woodward|scenario B (age 21)|male</v>
      </c>
      <c r="J766" s="34" t="n">
        <f aca="false" t="array" ref="J766:J766">MEDIAN(IF($I$4:$I$1803=I766,$H$4:$H$1803))</f>
        <v>3072</v>
      </c>
      <c r="K766" s="59" t="n">
        <f aca="false">H766/J766</f>
        <v>1.931640625</v>
      </c>
    </row>
    <row r="767" customFormat="false" ht="15" hidden="false" customHeight="false" outlineLevel="0" collapsed="false">
      <c r="A767" s="39" t="s">
        <v>879</v>
      </c>
      <c r="B767" s="39" t="s">
        <v>910</v>
      </c>
      <c r="C767" s="39" t="s">
        <v>904</v>
      </c>
      <c r="D767" s="39" t="s">
        <v>885</v>
      </c>
      <c r="E767" s="39" t="s">
        <v>884</v>
      </c>
      <c r="F767" s="39"/>
      <c r="G767" s="58" t="n">
        <v>2167</v>
      </c>
      <c r="H767" s="34" t="n">
        <f aca="false">G767*2</f>
        <v>4334</v>
      </c>
      <c r="I767" s="39" t="str">
        <f aca="false">A767&amp;"|"&amp;B767&amp;"|"&amp;D767&amp;"|"&amp;E767&amp;F767</f>
        <v>auto|Woodward|scenario B (age 21)|female</v>
      </c>
      <c r="J767" s="34" t="n">
        <f aca="false" t="array" ref="J767:J767">MEDIAN(IF($I$4:$I$1803=I767,$H$4:$H$1803))</f>
        <v>2716</v>
      </c>
      <c r="K767" s="59" t="n">
        <f aca="false">H767/J767</f>
        <v>1.59572901325479</v>
      </c>
    </row>
    <row r="768" customFormat="false" ht="15" hidden="false" customHeight="false" outlineLevel="0" collapsed="false">
      <c r="A768" s="39" t="s">
        <v>879</v>
      </c>
      <c r="B768" s="39" t="s">
        <v>910</v>
      </c>
      <c r="C768" s="39" t="s">
        <v>904</v>
      </c>
      <c r="D768" s="39" t="s">
        <v>886</v>
      </c>
      <c r="E768" s="39" t="s">
        <v>883</v>
      </c>
      <c r="F768" s="39"/>
      <c r="G768" s="58" t="n">
        <v>962</v>
      </c>
      <c r="H768" s="34" t="n">
        <f aca="false">G768*2</f>
        <v>1924</v>
      </c>
      <c r="I768" s="39" t="str">
        <f aca="false">A768&amp;"|"&amp;B768&amp;"|"&amp;D768&amp;"|"&amp;E768&amp;F768</f>
        <v>auto|Woodward|scenario C (age 36)|male</v>
      </c>
      <c r="J768" s="34" t="n">
        <f aca="false" t="array" ref="J768:J768">MEDIAN(IF($I$4:$I$1803=I768,$H$4:$H$1803))</f>
        <v>1834</v>
      </c>
      <c r="K768" s="59" t="n">
        <f aca="false">H768/J768</f>
        <v>1.04907306434024</v>
      </c>
    </row>
    <row r="769" customFormat="false" ht="15" hidden="false" customHeight="false" outlineLevel="0" collapsed="false">
      <c r="A769" s="39" t="s">
        <v>879</v>
      </c>
      <c r="B769" s="39" t="s">
        <v>910</v>
      </c>
      <c r="C769" s="39" t="s">
        <v>904</v>
      </c>
      <c r="D769" s="39" t="s">
        <v>886</v>
      </c>
      <c r="E769" s="39" t="s">
        <v>884</v>
      </c>
      <c r="F769" s="39"/>
      <c r="G769" s="58" t="n">
        <v>940</v>
      </c>
      <c r="H769" s="34" t="n">
        <f aca="false">G769*2</f>
        <v>1880</v>
      </c>
      <c r="I769" s="39" t="str">
        <f aca="false">A769&amp;"|"&amp;B769&amp;"|"&amp;D769&amp;"|"&amp;E769&amp;F769</f>
        <v>auto|Woodward|scenario C (age 36)|female</v>
      </c>
      <c r="J769" s="34" t="n">
        <f aca="false" t="array" ref="J769:J769">MEDIAN(IF($I$4:$I$1803=I769,$H$4:$H$1803))</f>
        <v>1768</v>
      </c>
      <c r="K769" s="59" t="n">
        <f aca="false">H769/J769</f>
        <v>1.06334841628959</v>
      </c>
    </row>
    <row r="770" customFormat="false" ht="15" hidden="false" customHeight="false" outlineLevel="0" collapsed="false">
      <c r="A770" s="39" t="s">
        <v>879</v>
      </c>
      <c r="B770" s="39" t="s">
        <v>910</v>
      </c>
      <c r="C770" s="39" t="s">
        <v>904</v>
      </c>
      <c r="D770" s="39" t="s">
        <v>887</v>
      </c>
      <c r="E770" s="39" t="s">
        <v>883</v>
      </c>
      <c r="F770" s="39"/>
      <c r="G770" s="58" t="n">
        <v>937</v>
      </c>
      <c r="H770" s="34" t="n">
        <f aca="false">G770*2</f>
        <v>1874</v>
      </c>
      <c r="I770" s="39" t="str">
        <f aca="false">A770&amp;"|"&amp;B770&amp;"|"&amp;D770&amp;"|"&amp;E770&amp;F770</f>
        <v>auto|Woodward|scenario D (age 55)|male</v>
      </c>
      <c r="J770" s="34" t="n">
        <f aca="false" t="array" ref="J770:J770">MEDIAN(IF($I$4:$I$1803=I770,$H$4:$H$1803))</f>
        <v>1551</v>
      </c>
      <c r="K770" s="59" t="n">
        <f aca="false">H770/J770</f>
        <v>1.20825274016763</v>
      </c>
    </row>
    <row r="771" customFormat="false" ht="15" hidden="false" customHeight="false" outlineLevel="0" collapsed="false">
      <c r="A771" s="39" t="s">
        <v>879</v>
      </c>
      <c r="B771" s="39" t="s">
        <v>910</v>
      </c>
      <c r="C771" s="39" t="s">
        <v>904</v>
      </c>
      <c r="D771" s="39" t="s">
        <v>887</v>
      </c>
      <c r="E771" s="39" t="s">
        <v>884</v>
      </c>
      <c r="F771" s="39"/>
      <c r="G771" s="58" t="n">
        <v>875</v>
      </c>
      <c r="H771" s="34" t="n">
        <f aca="false">G771*2</f>
        <v>1750</v>
      </c>
      <c r="I771" s="39" t="str">
        <f aca="false">A771&amp;"|"&amp;B771&amp;"|"&amp;D771&amp;"|"&amp;E771&amp;F771</f>
        <v>auto|Woodward|scenario D (age 55)|female</v>
      </c>
      <c r="J771" s="34" t="n">
        <f aca="false" t="array" ref="J771:J771">MEDIAN(IF($I$4:$I$1803=I771,$H$4:$H$1803))</f>
        <v>1551</v>
      </c>
      <c r="K771" s="59" t="n">
        <f aca="false">H771/J771</f>
        <v>1.12830431979368</v>
      </c>
    </row>
    <row r="772" customFormat="false" ht="15" hidden="false" customHeight="false" outlineLevel="0" collapsed="false">
      <c r="A772" s="39" t="s">
        <v>879</v>
      </c>
      <c r="B772" s="39" t="s">
        <v>910</v>
      </c>
      <c r="C772" s="39" t="s">
        <v>904</v>
      </c>
      <c r="D772" s="39" t="s">
        <v>888</v>
      </c>
      <c r="E772" s="39" t="s">
        <v>883</v>
      </c>
      <c r="F772" s="39"/>
      <c r="G772" s="58" t="n">
        <v>1028</v>
      </c>
      <c r="H772" s="34" t="n">
        <f aca="false">G772*2</f>
        <v>2056</v>
      </c>
      <c r="I772" s="39" t="str">
        <f aca="false">A772&amp;"|"&amp;B772&amp;"|"&amp;D772&amp;"|"&amp;E772&amp;F772</f>
        <v>auto|Woodward|scenario E (age 70)|male</v>
      </c>
      <c r="J772" s="34" t="n">
        <f aca="false" t="array" ref="J772:J772">MEDIAN(IF($I$4:$I$1803=I772,$H$4:$H$1803))</f>
        <v>1442</v>
      </c>
      <c r="K772" s="59" t="n">
        <f aca="false">H772/J772</f>
        <v>1.42579750346741</v>
      </c>
    </row>
    <row r="773" customFormat="false" ht="15" hidden="false" customHeight="false" outlineLevel="0" collapsed="false">
      <c r="A773" s="39" t="s">
        <v>879</v>
      </c>
      <c r="B773" s="39" t="s">
        <v>910</v>
      </c>
      <c r="C773" s="39" t="s">
        <v>904</v>
      </c>
      <c r="D773" s="39" t="s">
        <v>888</v>
      </c>
      <c r="E773" s="39" t="s">
        <v>884</v>
      </c>
      <c r="F773" s="39"/>
      <c r="G773" s="58" t="n">
        <v>1001</v>
      </c>
      <c r="H773" s="34" t="n">
        <f aca="false">G773*2</f>
        <v>2002</v>
      </c>
      <c r="I773" s="39" t="str">
        <f aca="false">A773&amp;"|"&amp;B773&amp;"|"&amp;D773&amp;"|"&amp;E773&amp;F773</f>
        <v>auto|Woodward|scenario E (age 70)|female</v>
      </c>
      <c r="J773" s="34" t="n">
        <f aca="false" t="array" ref="J773:J773">MEDIAN(IF($I$4:$I$1803=I773,$H$4:$H$1803))</f>
        <v>1425</v>
      </c>
      <c r="K773" s="59" t="n">
        <f aca="false">H773/J773</f>
        <v>1.40491228070175</v>
      </c>
    </row>
    <row r="774" customFormat="false" ht="15" hidden="false" customHeight="false" outlineLevel="0" collapsed="false">
      <c r="A774" s="39" t="s">
        <v>879</v>
      </c>
      <c r="B774" s="39" t="s">
        <v>910</v>
      </c>
      <c r="C774" s="39" t="s">
        <v>905</v>
      </c>
      <c r="D774" s="39" t="s">
        <v>882</v>
      </c>
      <c r="E774" s="39" t="s">
        <v>883</v>
      </c>
      <c r="F774" s="39"/>
      <c r="G774" s="58" t="n">
        <v>2828</v>
      </c>
      <c r="H774" s="34" t="n">
        <f aca="false">G774*2</f>
        <v>5656</v>
      </c>
      <c r="I774" s="39" t="str">
        <f aca="false">A774&amp;"|"&amp;B774&amp;"|"&amp;D774&amp;"|"&amp;E774&amp;F774</f>
        <v>auto|Woodward|scenario A (age 16)|male</v>
      </c>
      <c r="J774" s="34" t="n">
        <f aca="false" t="array" ref="J774:J774">MEDIAN(IF($I$4:$I$1803=I774,$H$4:$H$1803))</f>
        <v>6758</v>
      </c>
      <c r="K774" s="59" t="n">
        <f aca="false">H774/J774</f>
        <v>0.836934004143238</v>
      </c>
    </row>
    <row r="775" customFormat="false" ht="15" hidden="false" customHeight="false" outlineLevel="0" collapsed="false">
      <c r="A775" s="39" t="s">
        <v>879</v>
      </c>
      <c r="B775" s="39" t="s">
        <v>910</v>
      </c>
      <c r="C775" s="39" t="s">
        <v>905</v>
      </c>
      <c r="D775" s="39" t="s">
        <v>882</v>
      </c>
      <c r="E775" s="39" t="s">
        <v>884</v>
      </c>
      <c r="F775" s="39"/>
      <c r="G775" s="58" t="n">
        <v>2680</v>
      </c>
      <c r="H775" s="34" t="n">
        <f aca="false">G775*2</f>
        <v>5360</v>
      </c>
      <c r="I775" s="39" t="str">
        <f aca="false">A775&amp;"|"&amp;B775&amp;"|"&amp;D775&amp;"|"&amp;E775&amp;F775</f>
        <v>auto|Woodward|scenario A (age 16)|female</v>
      </c>
      <c r="J775" s="34" t="n">
        <f aca="false" t="array" ref="J775:J775">MEDIAN(IF($I$4:$I$1803=I775,$H$4:$H$1803))</f>
        <v>5463</v>
      </c>
      <c r="K775" s="59" t="n">
        <f aca="false">H775/J775</f>
        <v>0.981145890536335</v>
      </c>
    </row>
    <row r="776" customFormat="false" ht="15" hidden="false" customHeight="false" outlineLevel="0" collapsed="false">
      <c r="A776" s="39" t="s">
        <v>879</v>
      </c>
      <c r="B776" s="39" t="s">
        <v>910</v>
      </c>
      <c r="C776" s="39" t="s">
        <v>905</v>
      </c>
      <c r="D776" s="39" t="s">
        <v>885</v>
      </c>
      <c r="E776" s="39" t="s">
        <v>883</v>
      </c>
      <c r="F776" s="39"/>
      <c r="G776" s="58" t="n">
        <v>1110</v>
      </c>
      <c r="H776" s="34" t="n">
        <f aca="false">G776*2</f>
        <v>2220</v>
      </c>
      <c r="I776" s="39" t="str">
        <f aca="false">A776&amp;"|"&amp;B776&amp;"|"&amp;D776&amp;"|"&amp;E776&amp;F776</f>
        <v>auto|Woodward|scenario B (age 21)|male</v>
      </c>
      <c r="J776" s="34" t="n">
        <f aca="false" t="array" ref="J776:J776">MEDIAN(IF($I$4:$I$1803=I776,$H$4:$H$1803))</f>
        <v>3072</v>
      </c>
      <c r="K776" s="59" t="n">
        <f aca="false">H776/J776</f>
        <v>0.72265625</v>
      </c>
    </row>
    <row r="777" customFormat="false" ht="15" hidden="false" customHeight="false" outlineLevel="0" collapsed="false">
      <c r="A777" s="39" t="s">
        <v>879</v>
      </c>
      <c r="B777" s="39" t="s">
        <v>910</v>
      </c>
      <c r="C777" s="39" t="s">
        <v>905</v>
      </c>
      <c r="D777" s="39" t="s">
        <v>885</v>
      </c>
      <c r="E777" s="39" t="s">
        <v>884</v>
      </c>
      <c r="F777" s="39"/>
      <c r="G777" s="58" t="n">
        <v>1035</v>
      </c>
      <c r="H777" s="34" t="n">
        <f aca="false">G777*2</f>
        <v>2070</v>
      </c>
      <c r="I777" s="39" t="str">
        <f aca="false">A777&amp;"|"&amp;B777&amp;"|"&amp;D777&amp;"|"&amp;E777&amp;F777</f>
        <v>auto|Woodward|scenario B (age 21)|female</v>
      </c>
      <c r="J777" s="34" t="n">
        <f aca="false" t="array" ref="J777:J777">MEDIAN(IF($I$4:$I$1803=I777,$H$4:$H$1803))</f>
        <v>2716</v>
      </c>
      <c r="K777" s="59" t="n">
        <f aca="false">H777/J777</f>
        <v>0.762150220913108</v>
      </c>
    </row>
    <row r="778" customFormat="false" ht="15" hidden="false" customHeight="false" outlineLevel="0" collapsed="false">
      <c r="A778" s="39" t="s">
        <v>879</v>
      </c>
      <c r="B778" s="39" t="s">
        <v>910</v>
      </c>
      <c r="C778" s="39" t="s">
        <v>905</v>
      </c>
      <c r="D778" s="39" t="s">
        <v>886</v>
      </c>
      <c r="E778" s="39" t="s">
        <v>883</v>
      </c>
      <c r="F778" s="39"/>
      <c r="G778" s="58" t="n">
        <v>638</v>
      </c>
      <c r="H778" s="34" t="n">
        <f aca="false">G778*2</f>
        <v>1276</v>
      </c>
      <c r="I778" s="39" t="str">
        <f aca="false">A778&amp;"|"&amp;B778&amp;"|"&amp;D778&amp;"|"&amp;E778&amp;F778</f>
        <v>auto|Woodward|scenario C (age 36)|male</v>
      </c>
      <c r="J778" s="34" t="n">
        <f aca="false" t="array" ref="J778:J778">MEDIAN(IF($I$4:$I$1803=I778,$H$4:$H$1803))</f>
        <v>1834</v>
      </c>
      <c r="K778" s="59" t="n">
        <f aca="false">H778/J778</f>
        <v>0.695747001090513</v>
      </c>
    </row>
    <row r="779" customFormat="false" ht="15" hidden="false" customHeight="false" outlineLevel="0" collapsed="false">
      <c r="A779" s="39" t="s">
        <v>879</v>
      </c>
      <c r="B779" s="39" t="s">
        <v>910</v>
      </c>
      <c r="C779" s="39" t="s">
        <v>905</v>
      </c>
      <c r="D779" s="39" t="s">
        <v>886</v>
      </c>
      <c r="E779" s="39" t="s">
        <v>884</v>
      </c>
      <c r="F779" s="39"/>
      <c r="G779" s="58" t="n">
        <v>627</v>
      </c>
      <c r="H779" s="34" t="n">
        <f aca="false">G779*2</f>
        <v>1254</v>
      </c>
      <c r="I779" s="39" t="str">
        <f aca="false">A779&amp;"|"&amp;B779&amp;"|"&amp;D779&amp;"|"&amp;E779&amp;F779</f>
        <v>auto|Woodward|scenario C (age 36)|female</v>
      </c>
      <c r="J779" s="34" t="n">
        <f aca="false" t="array" ref="J779:J779">MEDIAN(IF($I$4:$I$1803=I779,$H$4:$H$1803))</f>
        <v>1768</v>
      </c>
      <c r="K779" s="59" t="n">
        <f aca="false">H779/J779</f>
        <v>0.709276018099548</v>
      </c>
    </row>
    <row r="780" customFormat="false" ht="15" hidden="false" customHeight="false" outlineLevel="0" collapsed="false">
      <c r="A780" s="39" t="s">
        <v>879</v>
      </c>
      <c r="B780" s="39" t="s">
        <v>910</v>
      </c>
      <c r="C780" s="39" t="s">
        <v>905</v>
      </c>
      <c r="D780" s="39" t="s">
        <v>887</v>
      </c>
      <c r="E780" s="39" t="s">
        <v>883</v>
      </c>
      <c r="F780" s="39"/>
      <c r="G780" s="58" t="n">
        <v>583</v>
      </c>
      <c r="H780" s="34" t="n">
        <f aca="false">G780*2</f>
        <v>1166</v>
      </c>
      <c r="I780" s="39" t="str">
        <f aca="false">A780&amp;"|"&amp;B780&amp;"|"&amp;D780&amp;"|"&amp;E780&amp;F780</f>
        <v>auto|Woodward|scenario D (age 55)|male</v>
      </c>
      <c r="J780" s="34" t="n">
        <f aca="false" t="array" ref="J780:J780">MEDIAN(IF($I$4:$I$1803=I780,$H$4:$H$1803))</f>
        <v>1551</v>
      </c>
      <c r="K780" s="59" t="n">
        <f aca="false">H780/J780</f>
        <v>0.75177304964539</v>
      </c>
    </row>
    <row r="781" customFormat="false" ht="15" hidden="false" customHeight="false" outlineLevel="0" collapsed="false">
      <c r="A781" s="39" t="s">
        <v>879</v>
      </c>
      <c r="B781" s="39" t="s">
        <v>910</v>
      </c>
      <c r="C781" s="39" t="s">
        <v>905</v>
      </c>
      <c r="D781" s="39" t="s">
        <v>887</v>
      </c>
      <c r="E781" s="39" t="s">
        <v>884</v>
      </c>
      <c r="F781" s="39"/>
      <c r="G781" s="58" t="n">
        <v>574</v>
      </c>
      <c r="H781" s="34" t="n">
        <f aca="false">G781*2</f>
        <v>1148</v>
      </c>
      <c r="I781" s="39" t="str">
        <f aca="false">A781&amp;"|"&amp;B781&amp;"|"&amp;D781&amp;"|"&amp;E781&amp;F781</f>
        <v>auto|Woodward|scenario D (age 55)|female</v>
      </c>
      <c r="J781" s="34" t="n">
        <f aca="false" t="array" ref="J781:J781">MEDIAN(IF($I$4:$I$1803=I781,$H$4:$H$1803))</f>
        <v>1551</v>
      </c>
      <c r="K781" s="59" t="n">
        <f aca="false">H781/J781</f>
        <v>0.740167633784655</v>
      </c>
    </row>
    <row r="782" customFormat="false" ht="15" hidden="false" customHeight="false" outlineLevel="0" collapsed="false">
      <c r="A782" s="39" t="s">
        <v>879</v>
      </c>
      <c r="B782" s="39" t="s">
        <v>910</v>
      </c>
      <c r="C782" s="39" t="s">
        <v>905</v>
      </c>
      <c r="D782" s="39" t="s">
        <v>888</v>
      </c>
      <c r="E782" s="39" t="s">
        <v>883</v>
      </c>
      <c r="F782" s="39"/>
      <c r="G782" s="58" t="n">
        <v>576</v>
      </c>
      <c r="H782" s="34" t="n">
        <f aca="false">G782*2</f>
        <v>1152</v>
      </c>
      <c r="I782" s="39" t="str">
        <f aca="false">A782&amp;"|"&amp;B782&amp;"|"&amp;D782&amp;"|"&amp;E782&amp;F782</f>
        <v>auto|Woodward|scenario E (age 70)|male</v>
      </c>
      <c r="J782" s="34" t="n">
        <f aca="false" t="array" ref="J782:J782">MEDIAN(IF($I$4:$I$1803=I782,$H$4:$H$1803))</f>
        <v>1442</v>
      </c>
      <c r="K782" s="59" t="n">
        <f aca="false">H782/J782</f>
        <v>0.798890429958391</v>
      </c>
    </row>
    <row r="783" customFormat="false" ht="15" hidden="false" customHeight="false" outlineLevel="0" collapsed="false">
      <c r="A783" s="39" t="s">
        <v>879</v>
      </c>
      <c r="B783" s="39" t="s">
        <v>910</v>
      </c>
      <c r="C783" s="39" t="s">
        <v>905</v>
      </c>
      <c r="D783" s="39" t="s">
        <v>888</v>
      </c>
      <c r="E783" s="39" t="s">
        <v>884</v>
      </c>
      <c r="F783" s="39"/>
      <c r="G783" s="58" t="n">
        <v>579</v>
      </c>
      <c r="H783" s="34" t="n">
        <f aca="false">G783*2</f>
        <v>1158</v>
      </c>
      <c r="I783" s="39" t="str">
        <f aca="false">A783&amp;"|"&amp;B783&amp;"|"&amp;D783&amp;"|"&amp;E783&amp;F783</f>
        <v>auto|Woodward|scenario E (age 70)|female</v>
      </c>
      <c r="J783" s="34" t="n">
        <f aca="false" t="array" ref="J783:J783">MEDIAN(IF($I$4:$I$1803=I783,$H$4:$H$1803))</f>
        <v>1425</v>
      </c>
      <c r="K783" s="59" t="n">
        <f aca="false">H783/J783</f>
        <v>0.812631578947368</v>
      </c>
    </row>
    <row r="784" customFormat="false" ht="15" hidden="false" customHeight="false" outlineLevel="0" collapsed="false">
      <c r="A784" s="39" t="s">
        <v>879</v>
      </c>
      <c r="B784" s="39" t="s">
        <v>910</v>
      </c>
      <c r="C784" s="39" t="s">
        <v>906</v>
      </c>
      <c r="D784" s="39" t="s">
        <v>882</v>
      </c>
      <c r="E784" s="39" t="s">
        <v>883</v>
      </c>
      <c r="F784" s="39"/>
      <c r="G784" s="58" t="n">
        <v>2995</v>
      </c>
      <c r="H784" s="34" t="n">
        <f aca="false">G784*2</f>
        <v>5990</v>
      </c>
      <c r="I784" s="39" t="str">
        <f aca="false">A784&amp;"|"&amp;B784&amp;"|"&amp;D784&amp;"|"&amp;E784&amp;F784</f>
        <v>auto|Woodward|scenario A (age 16)|male</v>
      </c>
      <c r="J784" s="34" t="n">
        <f aca="false" t="array" ref="J784:J784">MEDIAN(IF($I$4:$I$1803=I784,$H$4:$H$1803))</f>
        <v>6758</v>
      </c>
      <c r="K784" s="59" t="n">
        <f aca="false">H784/J784</f>
        <v>0.8863569103285</v>
      </c>
    </row>
    <row r="785" customFormat="false" ht="15" hidden="false" customHeight="false" outlineLevel="0" collapsed="false">
      <c r="A785" s="39" t="s">
        <v>879</v>
      </c>
      <c r="B785" s="39" t="s">
        <v>910</v>
      </c>
      <c r="C785" s="39" t="s">
        <v>906</v>
      </c>
      <c r="D785" s="39" t="s">
        <v>882</v>
      </c>
      <c r="E785" s="39" t="s">
        <v>884</v>
      </c>
      <c r="F785" s="39"/>
      <c r="G785" s="58" t="n">
        <v>2879</v>
      </c>
      <c r="H785" s="34" t="n">
        <f aca="false">G785*2</f>
        <v>5758</v>
      </c>
      <c r="I785" s="39" t="str">
        <f aca="false">A785&amp;"|"&amp;B785&amp;"|"&amp;D785&amp;"|"&amp;E785&amp;F785</f>
        <v>auto|Woodward|scenario A (age 16)|female</v>
      </c>
      <c r="J785" s="34" t="n">
        <f aca="false" t="array" ref="J785:J785">MEDIAN(IF($I$4:$I$1803=I785,$H$4:$H$1803))</f>
        <v>5463</v>
      </c>
      <c r="K785" s="59" t="n">
        <f aca="false">H785/J785</f>
        <v>1.05399963390079</v>
      </c>
    </row>
    <row r="786" customFormat="false" ht="15" hidden="false" customHeight="false" outlineLevel="0" collapsed="false">
      <c r="A786" s="39" t="s">
        <v>879</v>
      </c>
      <c r="B786" s="39" t="s">
        <v>910</v>
      </c>
      <c r="C786" s="39" t="s">
        <v>906</v>
      </c>
      <c r="D786" s="39" t="s">
        <v>885</v>
      </c>
      <c r="E786" s="39" t="s">
        <v>883</v>
      </c>
      <c r="F786" s="39"/>
      <c r="G786" s="58" t="n">
        <v>1166</v>
      </c>
      <c r="H786" s="34" t="n">
        <f aca="false">G786*2</f>
        <v>2332</v>
      </c>
      <c r="I786" s="39" t="str">
        <f aca="false">A786&amp;"|"&amp;B786&amp;"|"&amp;D786&amp;"|"&amp;E786&amp;F786</f>
        <v>auto|Woodward|scenario B (age 21)|male</v>
      </c>
      <c r="J786" s="34" t="n">
        <f aca="false" t="array" ref="J786:J786">MEDIAN(IF($I$4:$I$1803=I786,$H$4:$H$1803))</f>
        <v>3072</v>
      </c>
      <c r="K786" s="59" t="n">
        <f aca="false">H786/J786</f>
        <v>0.759114583333333</v>
      </c>
    </row>
    <row r="787" customFormat="false" ht="15" hidden="false" customHeight="false" outlineLevel="0" collapsed="false">
      <c r="A787" s="39" t="s">
        <v>879</v>
      </c>
      <c r="B787" s="39" t="s">
        <v>910</v>
      </c>
      <c r="C787" s="39" t="s">
        <v>906</v>
      </c>
      <c r="D787" s="39" t="s">
        <v>885</v>
      </c>
      <c r="E787" s="39" t="s">
        <v>884</v>
      </c>
      <c r="F787" s="39"/>
      <c r="G787" s="58" t="n">
        <v>1114</v>
      </c>
      <c r="H787" s="34" t="n">
        <f aca="false">G787*2</f>
        <v>2228</v>
      </c>
      <c r="I787" s="39" t="str">
        <f aca="false">A787&amp;"|"&amp;B787&amp;"|"&amp;D787&amp;"|"&amp;E787&amp;F787</f>
        <v>auto|Woodward|scenario B (age 21)|female</v>
      </c>
      <c r="J787" s="34" t="n">
        <f aca="false" t="array" ref="J787:J787">MEDIAN(IF($I$4:$I$1803=I787,$H$4:$H$1803))</f>
        <v>2716</v>
      </c>
      <c r="K787" s="59" t="n">
        <f aca="false">H787/J787</f>
        <v>0.820324005891016</v>
      </c>
    </row>
    <row r="788" customFormat="false" ht="15" hidden="false" customHeight="false" outlineLevel="0" collapsed="false">
      <c r="A788" s="39" t="s">
        <v>879</v>
      </c>
      <c r="B788" s="39" t="s">
        <v>910</v>
      </c>
      <c r="C788" s="39" t="s">
        <v>906</v>
      </c>
      <c r="D788" s="39" t="s">
        <v>886</v>
      </c>
      <c r="E788" s="39" t="s">
        <v>883</v>
      </c>
      <c r="F788" s="39"/>
      <c r="G788" s="58" t="n">
        <v>683</v>
      </c>
      <c r="H788" s="34" t="n">
        <f aca="false">G788*2</f>
        <v>1366</v>
      </c>
      <c r="I788" s="39" t="str">
        <f aca="false">A788&amp;"|"&amp;B788&amp;"|"&amp;D788&amp;"|"&amp;E788&amp;F788</f>
        <v>auto|Woodward|scenario C (age 36)|male</v>
      </c>
      <c r="J788" s="34" t="n">
        <f aca="false" t="array" ref="J788:J788">MEDIAN(IF($I$4:$I$1803=I788,$H$4:$H$1803))</f>
        <v>1834</v>
      </c>
      <c r="K788" s="59" t="n">
        <f aca="false">H788/J788</f>
        <v>0.744820065430752</v>
      </c>
    </row>
    <row r="789" customFormat="false" ht="15" hidden="false" customHeight="false" outlineLevel="0" collapsed="false">
      <c r="A789" s="39" t="s">
        <v>879</v>
      </c>
      <c r="B789" s="39" t="s">
        <v>910</v>
      </c>
      <c r="C789" s="39" t="s">
        <v>906</v>
      </c>
      <c r="D789" s="39" t="s">
        <v>886</v>
      </c>
      <c r="E789" s="39" t="s">
        <v>884</v>
      </c>
      <c r="F789" s="39"/>
      <c r="G789" s="58" t="n">
        <v>664</v>
      </c>
      <c r="H789" s="34" t="n">
        <f aca="false">G789*2</f>
        <v>1328</v>
      </c>
      <c r="I789" s="39" t="str">
        <f aca="false">A789&amp;"|"&amp;B789&amp;"|"&amp;D789&amp;"|"&amp;E789&amp;F789</f>
        <v>auto|Woodward|scenario C (age 36)|female</v>
      </c>
      <c r="J789" s="34" t="n">
        <f aca="false" t="array" ref="J789:J789">MEDIAN(IF($I$4:$I$1803=I789,$H$4:$H$1803))</f>
        <v>1768</v>
      </c>
      <c r="K789" s="59" t="n">
        <f aca="false">H789/J789</f>
        <v>0.751131221719457</v>
      </c>
    </row>
    <row r="790" customFormat="false" ht="15" hidden="false" customHeight="false" outlineLevel="0" collapsed="false">
      <c r="A790" s="39" t="s">
        <v>879</v>
      </c>
      <c r="B790" s="39" t="s">
        <v>910</v>
      </c>
      <c r="C790" s="39" t="s">
        <v>906</v>
      </c>
      <c r="D790" s="39" t="s">
        <v>887</v>
      </c>
      <c r="E790" s="39" t="s">
        <v>883</v>
      </c>
      <c r="F790" s="39"/>
      <c r="G790" s="58" t="n">
        <v>586</v>
      </c>
      <c r="H790" s="34" t="n">
        <f aca="false">G790*2</f>
        <v>1172</v>
      </c>
      <c r="I790" s="39" t="str">
        <f aca="false">A790&amp;"|"&amp;B790&amp;"|"&amp;D790&amp;"|"&amp;E790&amp;F790</f>
        <v>auto|Woodward|scenario D (age 55)|male</v>
      </c>
      <c r="J790" s="34" t="n">
        <f aca="false" t="array" ref="J790:J790">MEDIAN(IF($I$4:$I$1803=I790,$H$4:$H$1803))</f>
        <v>1551</v>
      </c>
      <c r="K790" s="59" t="n">
        <f aca="false">H790/J790</f>
        <v>0.755641521598968</v>
      </c>
    </row>
    <row r="791" customFormat="false" ht="15" hidden="false" customHeight="false" outlineLevel="0" collapsed="false">
      <c r="A791" s="39" t="s">
        <v>879</v>
      </c>
      <c r="B791" s="39" t="s">
        <v>910</v>
      </c>
      <c r="C791" s="39" t="s">
        <v>906</v>
      </c>
      <c r="D791" s="39" t="s">
        <v>887</v>
      </c>
      <c r="E791" s="39" t="s">
        <v>884</v>
      </c>
      <c r="F791" s="39"/>
      <c r="G791" s="58" t="n">
        <v>582</v>
      </c>
      <c r="H791" s="34" t="n">
        <f aca="false">G791*2</f>
        <v>1164</v>
      </c>
      <c r="I791" s="39" t="str">
        <f aca="false">A791&amp;"|"&amp;B791&amp;"|"&amp;D791&amp;"|"&amp;E791&amp;F791</f>
        <v>auto|Woodward|scenario D (age 55)|female</v>
      </c>
      <c r="J791" s="34" t="n">
        <f aca="false" t="array" ref="J791:J791">MEDIAN(IF($I$4:$I$1803=I791,$H$4:$H$1803))</f>
        <v>1551</v>
      </c>
      <c r="K791" s="59" t="n">
        <f aca="false">H791/J791</f>
        <v>0.750483558994197</v>
      </c>
    </row>
    <row r="792" customFormat="false" ht="15" hidden="false" customHeight="false" outlineLevel="0" collapsed="false">
      <c r="A792" s="39" t="s">
        <v>879</v>
      </c>
      <c r="B792" s="39" t="s">
        <v>910</v>
      </c>
      <c r="C792" s="39" t="s">
        <v>906</v>
      </c>
      <c r="D792" s="39" t="s">
        <v>888</v>
      </c>
      <c r="E792" s="39" t="s">
        <v>883</v>
      </c>
      <c r="F792" s="39"/>
      <c r="G792" s="58" t="n">
        <v>586</v>
      </c>
      <c r="H792" s="34" t="n">
        <f aca="false">G792*2</f>
        <v>1172</v>
      </c>
      <c r="I792" s="39" t="str">
        <f aca="false">A792&amp;"|"&amp;B792&amp;"|"&amp;D792&amp;"|"&amp;E792&amp;F792</f>
        <v>auto|Woodward|scenario E (age 70)|male</v>
      </c>
      <c r="J792" s="34" t="n">
        <f aca="false" t="array" ref="J792:J792">MEDIAN(IF($I$4:$I$1803=I792,$H$4:$H$1803))</f>
        <v>1442</v>
      </c>
      <c r="K792" s="59" t="n">
        <f aca="false">H792/J792</f>
        <v>0.812760055478502</v>
      </c>
    </row>
    <row r="793" customFormat="false" ht="15" hidden="false" customHeight="false" outlineLevel="0" collapsed="false">
      <c r="A793" s="39" t="s">
        <v>879</v>
      </c>
      <c r="B793" s="39" t="s">
        <v>910</v>
      </c>
      <c r="C793" s="39" t="s">
        <v>906</v>
      </c>
      <c r="D793" s="39" t="s">
        <v>888</v>
      </c>
      <c r="E793" s="39" t="s">
        <v>884</v>
      </c>
      <c r="F793" s="39"/>
      <c r="G793" s="58" t="n">
        <v>587</v>
      </c>
      <c r="H793" s="34" t="n">
        <f aca="false">G793*2</f>
        <v>1174</v>
      </c>
      <c r="I793" s="39" t="str">
        <f aca="false">A793&amp;"|"&amp;B793&amp;"|"&amp;D793&amp;"|"&amp;E793&amp;F793</f>
        <v>auto|Woodward|scenario E (age 70)|female</v>
      </c>
      <c r="J793" s="34" t="n">
        <f aca="false" t="array" ref="J793:J793">MEDIAN(IF($I$4:$I$1803=I793,$H$4:$H$1803))</f>
        <v>1425</v>
      </c>
      <c r="K793" s="59" t="n">
        <f aca="false">H793/J793</f>
        <v>0.823859649122807</v>
      </c>
    </row>
    <row r="794" customFormat="false" ht="15" hidden="false" customHeight="false" outlineLevel="0" collapsed="false">
      <c r="A794" s="39" t="s">
        <v>879</v>
      </c>
      <c r="B794" s="39" t="s">
        <v>910</v>
      </c>
      <c r="C794" s="39" t="s">
        <v>907</v>
      </c>
      <c r="D794" s="39" t="s">
        <v>882</v>
      </c>
      <c r="E794" s="39" t="s">
        <v>883</v>
      </c>
      <c r="F794" s="39"/>
      <c r="G794" s="58" t="n">
        <v>3937</v>
      </c>
      <c r="H794" s="34" t="n">
        <f aca="false">G794*2</f>
        <v>7874</v>
      </c>
      <c r="I794" s="39" t="str">
        <f aca="false">A794&amp;"|"&amp;B794&amp;"|"&amp;D794&amp;"|"&amp;E794&amp;F794</f>
        <v>auto|Woodward|scenario A (age 16)|male</v>
      </c>
      <c r="J794" s="34" t="n">
        <f aca="false" t="array" ref="J794:J794">MEDIAN(IF($I$4:$I$1803=I794,$H$4:$H$1803))</f>
        <v>6758</v>
      </c>
      <c r="K794" s="59" t="n">
        <f aca="false">H794/J794</f>
        <v>1.1651376146789</v>
      </c>
    </row>
    <row r="795" customFormat="false" ht="15" hidden="false" customHeight="false" outlineLevel="0" collapsed="false">
      <c r="A795" s="39" t="s">
        <v>879</v>
      </c>
      <c r="B795" s="39" t="s">
        <v>910</v>
      </c>
      <c r="C795" s="39" t="s">
        <v>907</v>
      </c>
      <c r="D795" s="39" t="s">
        <v>882</v>
      </c>
      <c r="E795" s="39" t="s">
        <v>884</v>
      </c>
      <c r="F795" s="39"/>
      <c r="G795" s="58" t="n">
        <v>3763</v>
      </c>
      <c r="H795" s="34" t="n">
        <f aca="false">G795*2</f>
        <v>7526</v>
      </c>
      <c r="I795" s="39" t="str">
        <f aca="false">A795&amp;"|"&amp;B795&amp;"|"&amp;D795&amp;"|"&amp;E795&amp;F795</f>
        <v>auto|Woodward|scenario A (age 16)|female</v>
      </c>
      <c r="J795" s="34" t="n">
        <f aca="false" t="array" ref="J795:J795">MEDIAN(IF($I$4:$I$1803=I795,$H$4:$H$1803))</f>
        <v>5463</v>
      </c>
      <c r="K795" s="59" t="n">
        <f aca="false">H795/J795</f>
        <v>1.37763133809262</v>
      </c>
    </row>
    <row r="796" customFormat="false" ht="15" hidden="false" customHeight="false" outlineLevel="0" collapsed="false">
      <c r="A796" s="39" t="s">
        <v>879</v>
      </c>
      <c r="B796" s="39" t="s">
        <v>910</v>
      </c>
      <c r="C796" s="39" t="s">
        <v>907</v>
      </c>
      <c r="D796" s="39" t="s">
        <v>885</v>
      </c>
      <c r="E796" s="39" t="s">
        <v>883</v>
      </c>
      <c r="F796" s="39"/>
      <c r="G796" s="58" t="n">
        <v>1477</v>
      </c>
      <c r="H796" s="34" t="n">
        <f aca="false">G796*2</f>
        <v>2954</v>
      </c>
      <c r="I796" s="39" t="str">
        <f aca="false">A796&amp;"|"&amp;B796&amp;"|"&amp;D796&amp;"|"&amp;E796&amp;F796</f>
        <v>auto|Woodward|scenario B (age 21)|male</v>
      </c>
      <c r="J796" s="34" t="n">
        <f aca="false" t="array" ref="J796:J796">MEDIAN(IF($I$4:$I$1803=I796,$H$4:$H$1803))</f>
        <v>3072</v>
      </c>
      <c r="K796" s="59" t="n">
        <f aca="false">H796/J796</f>
        <v>0.961588541666667</v>
      </c>
    </row>
    <row r="797" customFormat="false" ht="15" hidden="false" customHeight="false" outlineLevel="0" collapsed="false">
      <c r="A797" s="39" t="s">
        <v>879</v>
      </c>
      <c r="B797" s="39" t="s">
        <v>910</v>
      </c>
      <c r="C797" s="39" t="s">
        <v>907</v>
      </c>
      <c r="D797" s="39" t="s">
        <v>885</v>
      </c>
      <c r="E797" s="39" t="s">
        <v>884</v>
      </c>
      <c r="F797" s="39"/>
      <c r="G797" s="58" t="n">
        <v>1407</v>
      </c>
      <c r="H797" s="34" t="n">
        <f aca="false">G797*2</f>
        <v>2814</v>
      </c>
      <c r="I797" s="39" t="str">
        <f aca="false">A797&amp;"|"&amp;B797&amp;"|"&amp;D797&amp;"|"&amp;E797&amp;F797</f>
        <v>auto|Woodward|scenario B (age 21)|female</v>
      </c>
      <c r="J797" s="34" t="n">
        <f aca="false" t="array" ref="J797:J797">MEDIAN(IF($I$4:$I$1803=I797,$H$4:$H$1803))</f>
        <v>2716</v>
      </c>
      <c r="K797" s="59" t="n">
        <f aca="false">H797/J797</f>
        <v>1.0360824742268</v>
      </c>
    </row>
    <row r="798" customFormat="false" ht="15" hidden="false" customHeight="false" outlineLevel="0" collapsed="false">
      <c r="A798" s="39" t="s">
        <v>879</v>
      </c>
      <c r="B798" s="39" t="s">
        <v>910</v>
      </c>
      <c r="C798" s="39" t="s">
        <v>907</v>
      </c>
      <c r="D798" s="39" t="s">
        <v>886</v>
      </c>
      <c r="E798" s="39" t="s">
        <v>883</v>
      </c>
      <c r="F798" s="39"/>
      <c r="G798" s="58" t="n">
        <v>855</v>
      </c>
      <c r="H798" s="34" t="n">
        <f aca="false">G798*2</f>
        <v>1710</v>
      </c>
      <c r="I798" s="39" t="str">
        <f aca="false">A798&amp;"|"&amp;B798&amp;"|"&amp;D798&amp;"|"&amp;E798&amp;F798</f>
        <v>auto|Woodward|scenario C (age 36)|male</v>
      </c>
      <c r="J798" s="34" t="n">
        <f aca="false" t="array" ref="J798:J798">MEDIAN(IF($I$4:$I$1803=I798,$H$4:$H$1803))</f>
        <v>1834</v>
      </c>
      <c r="K798" s="59" t="n">
        <f aca="false">H798/J798</f>
        <v>0.932388222464558</v>
      </c>
    </row>
    <row r="799" customFormat="false" ht="15" hidden="false" customHeight="false" outlineLevel="0" collapsed="false">
      <c r="A799" s="39" t="s">
        <v>879</v>
      </c>
      <c r="B799" s="39" t="s">
        <v>910</v>
      </c>
      <c r="C799" s="39" t="s">
        <v>907</v>
      </c>
      <c r="D799" s="39" t="s">
        <v>886</v>
      </c>
      <c r="E799" s="39" t="s">
        <v>884</v>
      </c>
      <c r="F799" s="39"/>
      <c r="G799" s="58" t="n">
        <v>829</v>
      </c>
      <c r="H799" s="34" t="n">
        <f aca="false">G799*2</f>
        <v>1658</v>
      </c>
      <c r="I799" s="39" t="str">
        <f aca="false">A799&amp;"|"&amp;B799&amp;"|"&amp;D799&amp;"|"&amp;E799&amp;F799</f>
        <v>auto|Woodward|scenario C (age 36)|female</v>
      </c>
      <c r="J799" s="34" t="n">
        <f aca="false" t="array" ref="J799:J799">MEDIAN(IF($I$4:$I$1803=I799,$H$4:$H$1803))</f>
        <v>1768</v>
      </c>
      <c r="K799" s="59" t="n">
        <f aca="false">H799/J799</f>
        <v>0.937782805429864</v>
      </c>
    </row>
    <row r="800" customFormat="false" ht="15" hidden="false" customHeight="false" outlineLevel="0" collapsed="false">
      <c r="A800" s="39" t="s">
        <v>879</v>
      </c>
      <c r="B800" s="39" t="s">
        <v>910</v>
      </c>
      <c r="C800" s="39" t="s">
        <v>907</v>
      </c>
      <c r="D800" s="39" t="s">
        <v>887</v>
      </c>
      <c r="E800" s="39" t="s">
        <v>883</v>
      </c>
      <c r="F800" s="39"/>
      <c r="G800" s="58" t="n">
        <v>759</v>
      </c>
      <c r="H800" s="34" t="n">
        <f aca="false">G800*2</f>
        <v>1518</v>
      </c>
      <c r="I800" s="39" t="str">
        <f aca="false">A800&amp;"|"&amp;B800&amp;"|"&amp;D800&amp;"|"&amp;E800&amp;F800</f>
        <v>auto|Woodward|scenario D (age 55)|male</v>
      </c>
      <c r="J800" s="34" t="n">
        <f aca="false" t="array" ref="J800:J800">MEDIAN(IF($I$4:$I$1803=I800,$H$4:$H$1803))</f>
        <v>1551</v>
      </c>
      <c r="K800" s="59" t="n">
        <f aca="false">H800/J800</f>
        <v>0.978723404255319</v>
      </c>
    </row>
    <row r="801" customFormat="false" ht="15" hidden="false" customHeight="false" outlineLevel="0" collapsed="false">
      <c r="A801" s="39" t="s">
        <v>879</v>
      </c>
      <c r="B801" s="39" t="s">
        <v>910</v>
      </c>
      <c r="C801" s="39" t="s">
        <v>907</v>
      </c>
      <c r="D801" s="39" t="s">
        <v>887</v>
      </c>
      <c r="E801" s="39" t="s">
        <v>884</v>
      </c>
      <c r="F801" s="39"/>
      <c r="G801" s="58" t="n">
        <v>751</v>
      </c>
      <c r="H801" s="34" t="n">
        <f aca="false">G801*2</f>
        <v>1502</v>
      </c>
      <c r="I801" s="39" t="str">
        <f aca="false">A801&amp;"|"&amp;B801&amp;"|"&amp;D801&amp;"|"&amp;E801&amp;F801</f>
        <v>auto|Woodward|scenario D (age 55)|female</v>
      </c>
      <c r="J801" s="34" t="n">
        <f aca="false" t="array" ref="J801:J801">MEDIAN(IF($I$4:$I$1803=I801,$H$4:$H$1803))</f>
        <v>1551</v>
      </c>
      <c r="K801" s="59" t="n">
        <f aca="false">H801/J801</f>
        <v>0.968407479045777</v>
      </c>
    </row>
    <row r="802" customFormat="false" ht="15" hidden="false" customHeight="false" outlineLevel="0" collapsed="false">
      <c r="A802" s="39" t="s">
        <v>879</v>
      </c>
      <c r="B802" s="39" t="s">
        <v>910</v>
      </c>
      <c r="C802" s="39" t="s">
        <v>907</v>
      </c>
      <c r="D802" s="39" t="s">
        <v>888</v>
      </c>
      <c r="E802" s="39" t="s">
        <v>883</v>
      </c>
      <c r="F802" s="39"/>
      <c r="G802" s="58" t="n">
        <v>751</v>
      </c>
      <c r="H802" s="34" t="n">
        <f aca="false">G802*2</f>
        <v>1502</v>
      </c>
      <c r="I802" s="39" t="str">
        <f aca="false">A802&amp;"|"&amp;B802&amp;"|"&amp;D802&amp;"|"&amp;E802&amp;F802</f>
        <v>auto|Woodward|scenario E (age 70)|male</v>
      </c>
      <c r="J802" s="34" t="n">
        <f aca="false" t="array" ref="J802:J802">MEDIAN(IF($I$4:$I$1803=I802,$H$4:$H$1803))</f>
        <v>1442</v>
      </c>
      <c r="K802" s="59" t="n">
        <f aca="false">H802/J802</f>
        <v>1.04160887656033</v>
      </c>
    </row>
    <row r="803" customFormat="false" ht="15" hidden="false" customHeight="false" outlineLevel="0" collapsed="false">
      <c r="A803" s="39" t="s">
        <v>879</v>
      </c>
      <c r="B803" s="39" t="s">
        <v>910</v>
      </c>
      <c r="C803" s="39" t="s">
        <v>907</v>
      </c>
      <c r="D803" s="39" t="s">
        <v>888</v>
      </c>
      <c r="E803" s="39" t="s">
        <v>884</v>
      </c>
      <c r="F803" s="39"/>
      <c r="G803" s="58" t="n">
        <v>750</v>
      </c>
      <c r="H803" s="34" t="n">
        <f aca="false">G803*2</f>
        <v>1500</v>
      </c>
      <c r="I803" s="39" t="str">
        <f aca="false">A803&amp;"|"&amp;B803&amp;"|"&amp;D803&amp;"|"&amp;E803&amp;F803</f>
        <v>auto|Woodward|scenario E (age 70)|female</v>
      </c>
      <c r="J803" s="34" t="n">
        <f aca="false" t="array" ref="J803:J803">MEDIAN(IF($I$4:$I$1803=I803,$H$4:$H$1803))</f>
        <v>1425</v>
      </c>
      <c r="K803" s="59" t="n">
        <f aca="false">H803/J803</f>
        <v>1.05263157894737</v>
      </c>
    </row>
    <row r="804" customFormat="false" ht="15" hidden="false" customHeight="false" outlineLevel="0" collapsed="false">
      <c r="A804" s="39" t="s">
        <v>879</v>
      </c>
      <c r="B804" s="39" t="s">
        <v>911</v>
      </c>
      <c r="C804" s="39" t="s">
        <v>881</v>
      </c>
      <c r="D804" s="39" t="s">
        <v>882</v>
      </c>
      <c r="E804" s="39" t="s">
        <v>883</v>
      </c>
      <c r="F804" s="39"/>
      <c r="G804" s="58" t="n">
        <v>5125</v>
      </c>
      <c r="H804" s="34" t="n">
        <f aca="false">G804*2</f>
        <v>10250</v>
      </c>
      <c r="I804" s="39" t="str">
        <f aca="false">A804&amp;"|"&amp;B804&amp;"|"&amp;D804&amp;"|"&amp;E804&amp;F804</f>
        <v>auto|McAlester|scenario A (age 16)|male</v>
      </c>
      <c r="J804" s="34" t="n">
        <f aca="false" t="array" ref="J804:J804">MEDIAN(IF($I$4:$I$1803=I804,$H$4:$H$1803))</f>
        <v>7266</v>
      </c>
      <c r="K804" s="59" t="n">
        <f aca="false">H804/J804</f>
        <v>1.41067987888797</v>
      </c>
    </row>
    <row r="805" customFormat="false" ht="15" hidden="false" customHeight="false" outlineLevel="0" collapsed="false">
      <c r="A805" s="39" t="s">
        <v>879</v>
      </c>
      <c r="B805" s="39" t="s">
        <v>911</v>
      </c>
      <c r="C805" s="39" t="s">
        <v>881</v>
      </c>
      <c r="D805" s="39" t="s">
        <v>882</v>
      </c>
      <c r="E805" s="39" t="s">
        <v>884</v>
      </c>
      <c r="F805" s="39"/>
      <c r="G805" s="58" t="n">
        <v>4649</v>
      </c>
      <c r="H805" s="34" t="n">
        <f aca="false">G805*2</f>
        <v>9298</v>
      </c>
      <c r="I805" s="39" t="str">
        <f aca="false">A805&amp;"|"&amp;B805&amp;"|"&amp;D805&amp;"|"&amp;E805&amp;F805</f>
        <v>auto|McAlester|scenario A (age 16)|female</v>
      </c>
      <c r="J805" s="34" t="n">
        <f aca="false" t="array" ref="J805:J805">MEDIAN(IF($I$4:$I$1803=I805,$H$4:$H$1803))</f>
        <v>5984</v>
      </c>
      <c r="K805" s="59" t="n">
        <f aca="false">H805/J805</f>
        <v>1.55381016042781</v>
      </c>
    </row>
    <row r="806" customFormat="false" ht="15" hidden="false" customHeight="false" outlineLevel="0" collapsed="false">
      <c r="A806" s="39" t="s">
        <v>879</v>
      </c>
      <c r="B806" s="39" t="s">
        <v>911</v>
      </c>
      <c r="C806" s="39" t="s">
        <v>881</v>
      </c>
      <c r="D806" s="39" t="s">
        <v>885</v>
      </c>
      <c r="E806" s="39" t="s">
        <v>883</v>
      </c>
      <c r="F806" s="39"/>
      <c r="G806" s="58" t="n">
        <v>1658</v>
      </c>
      <c r="H806" s="34" t="n">
        <f aca="false">G806*2</f>
        <v>3316</v>
      </c>
      <c r="I806" s="39" t="str">
        <f aca="false">A806&amp;"|"&amp;B806&amp;"|"&amp;D806&amp;"|"&amp;E806&amp;F806</f>
        <v>auto|McAlester|scenario B (age 21)|male</v>
      </c>
      <c r="J806" s="34" t="n">
        <f aca="false" t="array" ref="J806:J806">MEDIAN(IF($I$4:$I$1803=I806,$H$4:$H$1803))</f>
        <v>3026</v>
      </c>
      <c r="K806" s="59" t="n">
        <f aca="false">H806/J806</f>
        <v>1.09583608724389</v>
      </c>
    </row>
    <row r="807" customFormat="false" ht="15" hidden="false" customHeight="false" outlineLevel="0" collapsed="false">
      <c r="A807" s="39" t="s">
        <v>879</v>
      </c>
      <c r="B807" s="39" t="s">
        <v>911</v>
      </c>
      <c r="C807" s="39" t="s">
        <v>881</v>
      </c>
      <c r="D807" s="39" t="s">
        <v>885</v>
      </c>
      <c r="E807" s="39" t="s">
        <v>884</v>
      </c>
      <c r="F807" s="39"/>
      <c r="G807" s="58" t="n">
        <v>1346</v>
      </c>
      <c r="H807" s="34" t="n">
        <f aca="false">G807*2</f>
        <v>2692</v>
      </c>
      <c r="I807" s="39" t="str">
        <f aca="false">A807&amp;"|"&amp;B807&amp;"|"&amp;D807&amp;"|"&amp;E807&amp;F807</f>
        <v>auto|McAlester|scenario B (age 21)|female</v>
      </c>
      <c r="J807" s="34" t="n">
        <f aca="false" t="array" ref="J807:J807">MEDIAN(IF($I$4:$I$1803=I807,$H$4:$H$1803))</f>
        <v>2705</v>
      </c>
      <c r="K807" s="59" t="n">
        <f aca="false">H807/J807</f>
        <v>0.995194085027726</v>
      </c>
    </row>
    <row r="808" customFormat="false" ht="15" hidden="false" customHeight="false" outlineLevel="0" collapsed="false">
      <c r="A808" s="39" t="s">
        <v>879</v>
      </c>
      <c r="B808" s="39" t="s">
        <v>911</v>
      </c>
      <c r="C808" s="39" t="s">
        <v>881</v>
      </c>
      <c r="D808" s="39" t="s">
        <v>886</v>
      </c>
      <c r="E808" s="39" t="s">
        <v>883</v>
      </c>
      <c r="F808" s="39"/>
      <c r="G808" s="58" t="n">
        <v>883</v>
      </c>
      <c r="H808" s="34" t="n">
        <f aca="false">G808*2</f>
        <v>1766</v>
      </c>
      <c r="I808" s="39" t="str">
        <f aca="false">A808&amp;"|"&amp;B808&amp;"|"&amp;D808&amp;"|"&amp;E808&amp;F808</f>
        <v>auto|McAlester|scenario C (age 36)|male</v>
      </c>
      <c r="J808" s="34" t="n">
        <f aca="false" t="array" ref="J808:J808">MEDIAN(IF($I$4:$I$1803=I808,$H$4:$H$1803))</f>
        <v>1788</v>
      </c>
      <c r="K808" s="59" t="n">
        <f aca="false">H808/J808</f>
        <v>0.987695749440716</v>
      </c>
    </row>
    <row r="809" customFormat="false" ht="15" hidden="false" customHeight="false" outlineLevel="0" collapsed="false">
      <c r="A809" s="39" t="s">
        <v>879</v>
      </c>
      <c r="B809" s="39" t="s">
        <v>911</v>
      </c>
      <c r="C809" s="39" t="s">
        <v>881</v>
      </c>
      <c r="D809" s="39" t="s">
        <v>886</v>
      </c>
      <c r="E809" s="39" t="s">
        <v>884</v>
      </c>
      <c r="F809" s="39"/>
      <c r="G809" s="58" t="n">
        <v>879</v>
      </c>
      <c r="H809" s="34" t="n">
        <f aca="false">G809*2</f>
        <v>1758</v>
      </c>
      <c r="I809" s="39" t="str">
        <f aca="false">A809&amp;"|"&amp;B809&amp;"|"&amp;D809&amp;"|"&amp;E809&amp;F809</f>
        <v>auto|McAlester|scenario C (age 36)|female</v>
      </c>
      <c r="J809" s="34" t="n">
        <f aca="false" t="array" ref="J809:J809">MEDIAN(IF($I$4:$I$1803=I809,$H$4:$H$1803))</f>
        <v>1761</v>
      </c>
      <c r="K809" s="59" t="n">
        <f aca="false">H809/J809</f>
        <v>0.998296422487223</v>
      </c>
    </row>
    <row r="810" customFormat="false" ht="15" hidden="false" customHeight="false" outlineLevel="0" collapsed="false">
      <c r="A810" s="39" t="s">
        <v>879</v>
      </c>
      <c r="B810" s="39" t="s">
        <v>911</v>
      </c>
      <c r="C810" s="39" t="s">
        <v>881</v>
      </c>
      <c r="D810" s="39" t="s">
        <v>887</v>
      </c>
      <c r="E810" s="39" t="s">
        <v>883</v>
      </c>
      <c r="F810" s="39"/>
      <c r="G810" s="58" t="n">
        <v>861</v>
      </c>
      <c r="H810" s="34" t="n">
        <f aca="false">G810*2</f>
        <v>1722</v>
      </c>
      <c r="I810" s="39" t="str">
        <f aca="false">A810&amp;"|"&amp;B810&amp;"|"&amp;D810&amp;"|"&amp;E810&amp;F810</f>
        <v>auto|McAlester|scenario D (age 55)|male</v>
      </c>
      <c r="J810" s="34" t="n">
        <f aca="false" t="array" ref="J810:J810">MEDIAN(IF($I$4:$I$1803=I810,$H$4:$H$1803))</f>
        <v>1605</v>
      </c>
      <c r="K810" s="59" t="n">
        <f aca="false">H810/J810</f>
        <v>1.07289719626168</v>
      </c>
    </row>
    <row r="811" customFormat="false" ht="15" hidden="false" customHeight="false" outlineLevel="0" collapsed="false">
      <c r="A811" s="39" t="s">
        <v>879</v>
      </c>
      <c r="B811" s="39" t="s">
        <v>911</v>
      </c>
      <c r="C811" s="39" t="s">
        <v>881</v>
      </c>
      <c r="D811" s="39" t="s">
        <v>887</v>
      </c>
      <c r="E811" s="39" t="s">
        <v>884</v>
      </c>
      <c r="F811" s="39"/>
      <c r="G811" s="58" t="n">
        <v>816</v>
      </c>
      <c r="H811" s="34" t="n">
        <f aca="false">G811*2</f>
        <v>1632</v>
      </c>
      <c r="I811" s="39" t="str">
        <f aca="false">A811&amp;"|"&amp;B811&amp;"|"&amp;D811&amp;"|"&amp;E811&amp;F811</f>
        <v>auto|McAlester|scenario D (age 55)|female</v>
      </c>
      <c r="J811" s="34" t="n">
        <f aca="false" t="array" ref="J811:J811">MEDIAN(IF($I$4:$I$1803=I811,$H$4:$H$1803))</f>
        <v>1587</v>
      </c>
      <c r="K811" s="59" t="n">
        <f aca="false">H811/J811</f>
        <v>1.02835538752363</v>
      </c>
    </row>
    <row r="812" customFormat="false" ht="15" hidden="false" customHeight="false" outlineLevel="0" collapsed="false">
      <c r="A812" s="39" t="s">
        <v>879</v>
      </c>
      <c r="B812" s="39" t="s">
        <v>911</v>
      </c>
      <c r="C812" s="39" t="s">
        <v>881</v>
      </c>
      <c r="D812" s="39" t="s">
        <v>888</v>
      </c>
      <c r="E812" s="39" t="s">
        <v>883</v>
      </c>
      <c r="F812" s="39"/>
      <c r="G812" s="58" t="n">
        <v>901</v>
      </c>
      <c r="H812" s="34" t="n">
        <f aca="false">G812*2</f>
        <v>1802</v>
      </c>
      <c r="I812" s="39" t="str">
        <f aca="false">A812&amp;"|"&amp;B812&amp;"|"&amp;D812&amp;"|"&amp;E812&amp;F812</f>
        <v>auto|McAlester|scenario E (age 70)|male</v>
      </c>
      <c r="J812" s="34" t="n">
        <f aca="false" t="array" ref="J812:J812">MEDIAN(IF($I$4:$I$1803=I812,$H$4:$H$1803))</f>
        <v>1392</v>
      </c>
      <c r="K812" s="59" t="n">
        <f aca="false">H812/J812</f>
        <v>1.29454022988506</v>
      </c>
    </row>
    <row r="813" customFormat="false" ht="15" hidden="false" customHeight="false" outlineLevel="0" collapsed="false">
      <c r="A813" s="39" t="s">
        <v>879</v>
      </c>
      <c r="B813" s="39" t="s">
        <v>911</v>
      </c>
      <c r="C813" s="39" t="s">
        <v>881</v>
      </c>
      <c r="D813" s="39" t="s">
        <v>888</v>
      </c>
      <c r="E813" s="39" t="s">
        <v>884</v>
      </c>
      <c r="F813" s="39"/>
      <c r="G813" s="58" t="n">
        <v>854</v>
      </c>
      <c r="H813" s="34" t="n">
        <f aca="false">G813*2</f>
        <v>1708</v>
      </c>
      <c r="I813" s="39" t="str">
        <f aca="false">A813&amp;"|"&amp;B813&amp;"|"&amp;D813&amp;"|"&amp;E813&amp;F813</f>
        <v>auto|McAlester|scenario E (age 70)|female</v>
      </c>
      <c r="J813" s="34" t="n">
        <f aca="false" t="array" ref="J813:J813">MEDIAN(IF($I$4:$I$1803=I813,$H$4:$H$1803))</f>
        <v>1353</v>
      </c>
      <c r="K813" s="59" t="n">
        <f aca="false">H813/J813</f>
        <v>1.26237989652624</v>
      </c>
    </row>
    <row r="814" customFormat="false" ht="15" hidden="false" customHeight="false" outlineLevel="0" collapsed="false">
      <c r="A814" s="39" t="s">
        <v>879</v>
      </c>
      <c r="B814" s="39" t="s">
        <v>911</v>
      </c>
      <c r="C814" s="39" t="s">
        <v>889</v>
      </c>
      <c r="D814" s="39" t="s">
        <v>882</v>
      </c>
      <c r="E814" s="39" t="s">
        <v>883</v>
      </c>
      <c r="F814" s="39"/>
      <c r="G814" s="58" t="n">
        <v>2872</v>
      </c>
      <c r="H814" s="34" t="n">
        <f aca="false">G814*2</f>
        <v>5744</v>
      </c>
      <c r="I814" s="39" t="str">
        <f aca="false">A814&amp;"|"&amp;B814&amp;"|"&amp;D814&amp;"|"&amp;E814&amp;F814</f>
        <v>auto|McAlester|scenario A (age 16)|male</v>
      </c>
      <c r="J814" s="34" t="n">
        <f aca="false" t="array" ref="J814:J814">MEDIAN(IF($I$4:$I$1803=I814,$H$4:$H$1803))</f>
        <v>7266</v>
      </c>
      <c r="K814" s="59" t="n">
        <f aca="false">H814/J814</f>
        <v>0.790531241398293</v>
      </c>
    </row>
    <row r="815" customFormat="false" ht="15" hidden="false" customHeight="false" outlineLevel="0" collapsed="false">
      <c r="A815" s="39" t="s">
        <v>879</v>
      </c>
      <c r="B815" s="39" t="s">
        <v>911</v>
      </c>
      <c r="C815" s="39" t="s">
        <v>889</v>
      </c>
      <c r="D815" s="39" t="s">
        <v>882</v>
      </c>
      <c r="E815" s="39" t="s">
        <v>884</v>
      </c>
      <c r="F815" s="39"/>
      <c r="G815" s="58" t="n">
        <v>2759</v>
      </c>
      <c r="H815" s="34" t="n">
        <f aca="false">G815*2</f>
        <v>5518</v>
      </c>
      <c r="I815" s="39" t="str">
        <f aca="false">A815&amp;"|"&amp;B815&amp;"|"&amp;D815&amp;"|"&amp;E815&amp;F815</f>
        <v>auto|McAlester|scenario A (age 16)|female</v>
      </c>
      <c r="J815" s="34" t="n">
        <f aca="false" t="array" ref="J815:J815">MEDIAN(IF($I$4:$I$1803=I815,$H$4:$H$1803))</f>
        <v>5984</v>
      </c>
      <c r="K815" s="59" t="n">
        <f aca="false">H815/J815</f>
        <v>0.922125668449198</v>
      </c>
    </row>
    <row r="816" customFormat="false" ht="15" hidden="false" customHeight="false" outlineLevel="0" collapsed="false">
      <c r="A816" s="39" t="s">
        <v>879</v>
      </c>
      <c r="B816" s="39" t="s">
        <v>911</v>
      </c>
      <c r="C816" s="39" t="s">
        <v>889</v>
      </c>
      <c r="D816" s="39" t="s">
        <v>885</v>
      </c>
      <c r="E816" s="39" t="s">
        <v>883</v>
      </c>
      <c r="F816" s="39"/>
      <c r="G816" s="58" t="n">
        <v>2034</v>
      </c>
      <c r="H816" s="34" t="n">
        <f aca="false">G816*2</f>
        <v>4068</v>
      </c>
      <c r="I816" s="39" t="str">
        <f aca="false">A816&amp;"|"&amp;B816&amp;"|"&amp;D816&amp;"|"&amp;E816&amp;F816</f>
        <v>auto|McAlester|scenario B (age 21)|male</v>
      </c>
      <c r="J816" s="34" t="n">
        <f aca="false" t="array" ref="J816:J816">MEDIAN(IF($I$4:$I$1803=I816,$H$4:$H$1803))</f>
        <v>3026</v>
      </c>
      <c r="K816" s="59" t="n">
        <f aca="false">H816/J816</f>
        <v>1.34434897554527</v>
      </c>
    </row>
    <row r="817" customFormat="false" ht="15" hidden="false" customHeight="false" outlineLevel="0" collapsed="false">
      <c r="A817" s="39" t="s">
        <v>879</v>
      </c>
      <c r="B817" s="39" t="s">
        <v>911</v>
      </c>
      <c r="C817" s="39" t="s">
        <v>889</v>
      </c>
      <c r="D817" s="39" t="s">
        <v>885</v>
      </c>
      <c r="E817" s="39" t="s">
        <v>884</v>
      </c>
      <c r="F817" s="39"/>
      <c r="G817" s="58" t="n">
        <v>1961</v>
      </c>
      <c r="H817" s="34" t="n">
        <f aca="false">G817*2</f>
        <v>3922</v>
      </c>
      <c r="I817" s="39" t="str">
        <f aca="false">A817&amp;"|"&amp;B817&amp;"|"&amp;D817&amp;"|"&amp;E817&amp;F817</f>
        <v>auto|McAlester|scenario B (age 21)|female</v>
      </c>
      <c r="J817" s="34" t="n">
        <f aca="false" t="array" ref="J817:J817">MEDIAN(IF($I$4:$I$1803=I817,$H$4:$H$1803))</f>
        <v>2705</v>
      </c>
      <c r="K817" s="59" t="n">
        <f aca="false">H817/J817</f>
        <v>1.44990757855823</v>
      </c>
    </row>
    <row r="818" customFormat="false" ht="15" hidden="false" customHeight="false" outlineLevel="0" collapsed="false">
      <c r="A818" s="39" t="s">
        <v>879</v>
      </c>
      <c r="B818" s="39" t="s">
        <v>911</v>
      </c>
      <c r="C818" s="39" t="s">
        <v>889</v>
      </c>
      <c r="D818" s="39" t="s">
        <v>886</v>
      </c>
      <c r="E818" s="39" t="s">
        <v>883</v>
      </c>
      <c r="F818" s="39"/>
      <c r="G818" s="58" t="n">
        <v>1391</v>
      </c>
      <c r="H818" s="34" t="n">
        <f aca="false">G818*2</f>
        <v>2782</v>
      </c>
      <c r="I818" s="39" t="str">
        <f aca="false">A818&amp;"|"&amp;B818&amp;"|"&amp;D818&amp;"|"&amp;E818&amp;F818</f>
        <v>auto|McAlester|scenario C (age 36)|male</v>
      </c>
      <c r="J818" s="34" t="n">
        <f aca="false" t="array" ref="J818:J818">MEDIAN(IF($I$4:$I$1803=I818,$H$4:$H$1803))</f>
        <v>1788</v>
      </c>
      <c r="K818" s="59" t="n">
        <f aca="false">H818/J818</f>
        <v>1.55592841163311</v>
      </c>
    </row>
    <row r="819" customFormat="false" ht="15" hidden="false" customHeight="false" outlineLevel="0" collapsed="false">
      <c r="A819" s="39" t="s">
        <v>879</v>
      </c>
      <c r="B819" s="39" t="s">
        <v>911</v>
      </c>
      <c r="C819" s="39" t="s">
        <v>889</v>
      </c>
      <c r="D819" s="39" t="s">
        <v>886</v>
      </c>
      <c r="E819" s="39" t="s">
        <v>884</v>
      </c>
      <c r="F819" s="39"/>
      <c r="G819" s="58" t="n">
        <v>1349</v>
      </c>
      <c r="H819" s="34" t="n">
        <f aca="false">G819*2</f>
        <v>2698</v>
      </c>
      <c r="I819" s="39" t="str">
        <f aca="false">A819&amp;"|"&amp;B819&amp;"|"&amp;D819&amp;"|"&amp;E819&amp;F819</f>
        <v>auto|McAlester|scenario C (age 36)|female</v>
      </c>
      <c r="J819" s="34" t="n">
        <f aca="false" t="array" ref="J819:J819">MEDIAN(IF($I$4:$I$1803=I819,$H$4:$H$1803))</f>
        <v>1761</v>
      </c>
      <c r="K819" s="59" t="n">
        <f aca="false">H819/J819</f>
        <v>1.5320840431573</v>
      </c>
    </row>
    <row r="820" customFormat="false" ht="15" hidden="false" customHeight="false" outlineLevel="0" collapsed="false">
      <c r="A820" s="39" t="s">
        <v>879</v>
      </c>
      <c r="B820" s="39" t="s">
        <v>911</v>
      </c>
      <c r="C820" s="39" t="s">
        <v>889</v>
      </c>
      <c r="D820" s="39" t="s">
        <v>887</v>
      </c>
      <c r="E820" s="39" t="s">
        <v>883</v>
      </c>
      <c r="F820" s="39"/>
      <c r="G820" s="58" t="n">
        <v>1370</v>
      </c>
      <c r="H820" s="34" t="n">
        <f aca="false">G820*2</f>
        <v>2740</v>
      </c>
      <c r="I820" s="39" t="str">
        <f aca="false">A820&amp;"|"&amp;B820&amp;"|"&amp;D820&amp;"|"&amp;E820&amp;F820</f>
        <v>auto|McAlester|scenario D (age 55)|male</v>
      </c>
      <c r="J820" s="34" t="n">
        <f aca="false" t="array" ref="J820:J820">MEDIAN(IF($I$4:$I$1803=I820,$H$4:$H$1803))</f>
        <v>1605</v>
      </c>
      <c r="K820" s="59" t="n">
        <f aca="false">H820/J820</f>
        <v>1.70716510903427</v>
      </c>
    </row>
    <row r="821" customFormat="false" ht="15" hidden="false" customHeight="false" outlineLevel="0" collapsed="false">
      <c r="A821" s="39" t="s">
        <v>879</v>
      </c>
      <c r="B821" s="39" t="s">
        <v>911</v>
      </c>
      <c r="C821" s="39" t="s">
        <v>889</v>
      </c>
      <c r="D821" s="39" t="s">
        <v>887</v>
      </c>
      <c r="E821" s="39" t="s">
        <v>884</v>
      </c>
      <c r="F821" s="39"/>
      <c r="G821" s="58" t="n">
        <v>1329</v>
      </c>
      <c r="H821" s="34" t="n">
        <f aca="false">G821*2</f>
        <v>2658</v>
      </c>
      <c r="I821" s="39" t="str">
        <f aca="false">A821&amp;"|"&amp;B821&amp;"|"&amp;D821&amp;"|"&amp;E821&amp;F821</f>
        <v>auto|McAlester|scenario D (age 55)|female</v>
      </c>
      <c r="J821" s="34" t="n">
        <f aca="false" t="array" ref="J821:J821">MEDIAN(IF($I$4:$I$1803=I821,$H$4:$H$1803))</f>
        <v>1587</v>
      </c>
      <c r="K821" s="59" t="n">
        <f aca="false">H821/J821</f>
        <v>1.67485822306238</v>
      </c>
    </row>
    <row r="822" customFormat="false" ht="15" hidden="false" customHeight="false" outlineLevel="0" collapsed="false">
      <c r="A822" s="39" t="s">
        <v>879</v>
      </c>
      <c r="B822" s="39" t="s">
        <v>911</v>
      </c>
      <c r="C822" s="39" t="s">
        <v>889</v>
      </c>
      <c r="D822" s="39" t="s">
        <v>888</v>
      </c>
      <c r="E822" s="39" t="s">
        <v>883</v>
      </c>
      <c r="F822" s="39"/>
      <c r="G822" s="58" t="n">
        <v>1349</v>
      </c>
      <c r="H822" s="34" t="n">
        <f aca="false">G822*2</f>
        <v>2698</v>
      </c>
      <c r="I822" s="39" t="str">
        <f aca="false">A822&amp;"|"&amp;B822&amp;"|"&amp;D822&amp;"|"&amp;E822&amp;F822</f>
        <v>auto|McAlester|scenario E (age 70)|male</v>
      </c>
      <c r="J822" s="34" t="n">
        <f aca="false" t="array" ref="J822:J822">MEDIAN(IF($I$4:$I$1803=I822,$H$4:$H$1803))</f>
        <v>1392</v>
      </c>
      <c r="K822" s="59" t="n">
        <f aca="false">H822/J822</f>
        <v>1.9382183908046</v>
      </c>
    </row>
    <row r="823" customFormat="false" ht="15" hidden="false" customHeight="false" outlineLevel="0" collapsed="false">
      <c r="A823" s="39" t="s">
        <v>879</v>
      </c>
      <c r="B823" s="39" t="s">
        <v>911</v>
      </c>
      <c r="C823" s="39" t="s">
        <v>889</v>
      </c>
      <c r="D823" s="39" t="s">
        <v>888</v>
      </c>
      <c r="E823" s="39" t="s">
        <v>884</v>
      </c>
      <c r="F823" s="39"/>
      <c r="G823" s="58" t="n">
        <v>1309</v>
      </c>
      <c r="H823" s="34" t="n">
        <f aca="false">G823*2</f>
        <v>2618</v>
      </c>
      <c r="I823" s="39" t="str">
        <f aca="false">A823&amp;"|"&amp;B823&amp;"|"&amp;D823&amp;"|"&amp;E823&amp;F823</f>
        <v>auto|McAlester|scenario E (age 70)|female</v>
      </c>
      <c r="J823" s="34" t="n">
        <f aca="false" t="array" ref="J823:J823">MEDIAN(IF($I$4:$I$1803=I823,$H$4:$H$1803))</f>
        <v>1353</v>
      </c>
      <c r="K823" s="59" t="n">
        <f aca="false">H823/J823</f>
        <v>1.9349593495935</v>
      </c>
    </row>
    <row r="824" customFormat="false" ht="15" hidden="false" customHeight="false" outlineLevel="0" collapsed="false">
      <c r="A824" s="39" t="s">
        <v>879</v>
      </c>
      <c r="B824" s="39" t="s">
        <v>911</v>
      </c>
      <c r="C824" s="39" t="s">
        <v>890</v>
      </c>
      <c r="D824" s="39" t="s">
        <v>882</v>
      </c>
      <c r="E824" s="39" t="s">
        <v>883</v>
      </c>
      <c r="F824" s="39"/>
      <c r="G824" s="58" t="n">
        <v>3667</v>
      </c>
      <c r="H824" s="34" t="n">
        <f aca="false">G824*2</f>
        <v>7334</v>
      </c>
      <c r="I824" s="39" t="str">
        <f aca="false">A824&amp;"|"&amp;B824&amp;"|"&amp;D824&amp;"|"&amp;E824&amp;F824</f>
        <v>auto|McAlester|scenario A (age 16)|male</v>
      </c>
      <c r="J824" s="34" t="n">
        <f aca="false" t="array" ref="J824:J824">MEDIAN(IF($I$4:$I$1803=I824,$H$4:$H$1803))</f>
        <v>7266</v>
      </c>
      <c r="K824" s="59" t="n">
        <f aca="false">H824/J824</f>
        <v>1.0093586567575</v>
      </c>
    </row>
    <row r="825" customFormat="false" ht="15" hidden="false" customHeight="false" outlineLevel="0" collapsed="false">
      <c r="A825" s="39" t="s">
        <v>879</v>
      </c>
      <c r="B825" s="39" t="s">
        <v>911</v>
      </c>
      <c r="C825" s="39" t="s">
        <v>890</v>
      </c>
      <c r="D825" s="39" t="s">
        <v>882</v>
      </c>
      <c r="E825" s="39" t="s">
        <v>884</v>
      </c>
      <c r="F825" s="39"/>
      <c r="G825" s="58" t="n">
        <v>3193</v>
      </c>
      <c r="H825" s="34" t="n">
        <f aca="false">G825*2</f>
        <v>6386</v>
      </c>
      <c r="I825" s="39" t="str">
        <f aca="false">A825&amp;"|"&amp;B825&amp;"|"&amp;D825&amp;"|"&amp;E825&amp;F825</f>
        <v>auto|McAlester|scenario A (age 16)|female</v>
      </c>
      <c r="J825" s="34" t="n">
        <f aca="false" t="array" ref="J825:J825">MEDIAN(IF($I$4:$I$1803=I825,$H$4:$H$1803))</f>
        <v>5984</v>
      </c>
      <c r="K825" s="59" t="n">
        <f aca="false">H825/J825</f>
        <v>1.06717914438503</v>
      </c>
    </row>
    <row r="826" customFormat="false" ht="15" hidden="false" customHeight="false" outlineLevel="0" collapsed="false">
      <c r="A826" s="39" t="s">
        <v>879</v>
      </c>
      <c r="B826" s="39" t="s">
        <v>911</v>
      </c>
      <c r="C826" s="39" t="s">
        <v>890</v>
      </c>
      <c r="D826" s="39" t="s">
        <v>885</v>
      </c>
      <c r="E826" s="39" t="s">
        <v>883</v>
      </c>
      <c r="F826" s="39"/>
      <c r="G826" s="58" t="n">
        <v>2396</v>
      </c>
      <c r="H826" s="34" t="n">
        <f aca="false">G826*2</f>
        <v>4792</v>
      </c>
      <c r="I826" s="39" t="str">
        <f aca="false">A826&amp;"|"&amp;B826&amp;"|"&amp;D826&amp;"|"&amp;E826&amp;F826</f>
        <v>auto|McAlester|scenario B (age 21)|male</v>
      </c>
      <c r="J826" s="34" t="n">
        <f aca="false" t="array" ref="J826:J826">MEDIAN(IF($I$4:$I$1803=I826,$H$4:$H$1803))</f>
        <v>3026</v>
      </c>
      <c r="K826" s="59" t="n">
        <f aca="false">H826/J826</f>
        <v>1.58360872438863</v>
      </c>
    </row>
    <row r="827" customFormat="false" ht="15" hidden="false" customHeight="false" outlineLevel="0" collapsed="false">
      <c r="A827" s="39" t="s">
        <v>879</v>
      </c>
      <c r="B827" s="39" t="s">
        <v>911</v>
      </c>
      <c r="C827" s="39" t="s">
        <v>890</v>
      </c>
      <c r="D827" s="39" t="s">
        <v>885</v>
      </c>
      <c r="E827" s="39" t="s">
        <v>884</v>
      </c>
      <c r="F827" s="39"/>
      <c r="G827" s="58" t="n">
        <v>1862</v>
      </c>
      <c r="H827" s="34" t="n">
        <f aca="false">G827*2</f>
        <v>3724</v>
      </c>
      <c r="I827" s="39" t="str">
        <f aca="false">A827&amp;"|"&amp;B827&amp;"|"&amp;D827&amp;"|"&amp;E827&amp;F827</f>
        <v>auto|McAlester|scenario B (age 21)|female</v>
      </c>
      <c r="J827" s="34" t="n">
        <f aca="false" t="array" ref="J827:J827">MEDIAN(IF($I$4:$I$1803=I827,$H$4:$H$1803))</f>
        <v>2705</v>
      </c>
      <c r="K827" s="59" t="n">
        <f aca="false">H827/J827</f>
        <v>1.37670979667283</v>
      </c>
    </row>
    <row r="828" customFormat="false" ht="15" hidden="false" customHeight="false" outlineLevel="0" collapsed="false">
      <c r="A828" s="39" t="s">
        <v>879</v>
      </c>
      <c r="B828" s="39" t="s">
        <v>911</v>
      </c>
      <c r="C828" s="39" t="s">
        <v>890</v>
      </c>
      <c r="D828" s="39" t="s">
        <v>886</v>
      </c>
      <c r="E828" s="39" t="s">
        <v>883</v>
      </c>
      <c r="F828" s="39"/>
      <c r="G828" s="58" t="n">
        <v>1023</v>
      </c>
      <c r="H828" s="34" t="n">
        <f aca="false">G828*2</f>
        <v>2046</v>
      </c>
      <c r="I828" s="39" t="str">
        <f aca="false">A828&amp;"|"&amp;B828&amp;"|"&amp;D828&amp;"|"&amp;E828&amp;F828</f>
        <v>auto|McAlester|scenario C (age 36)|male</v>
      </c>
      <c r="J828" s="34" t="n">
        <f aca="false" t="array" ref="J828:J828">MEDIAN(IF($I$4:$I$1803=I828,$H$4:$H$1803))</f>
        <v>1788</v>
      </c>
      <c r="K828" s="59" t="n">
        <f aca="false">H828/J828</f>
        <v>1.14429530201342</v>
      </c>
    </row>
    <row r="829" customFormat="false" ht="15" hidden="false" customHeight="false" outlineLevel="0" collapsed="false">
      <c r="A829" s="39" t="s">
        <v>879</v>
      </c>
      <c r="B829" s="39" t="s">
        <v>911</v>
      </c>
      <c r="C829" s="39" t="s">
        <v>890</v>
      </c>
      <c r="D829" s="39" t="s">
        <v>886</v>
      </c>
      <c r="E829" s="39" t="s">
        <v>884</v>
      </c>
      <c r="F829" s="39"/>
      <c r="G829" s="58" t="n">
        <v>1028</v>
      </c>
      <c r="H829" s="34" t="n">
        <f aca="false">G829*2</f>
        <v>2056</v>
      </c>
      <c r="I829" s="39" t="str">
        <f aca="false">A829&amp;"|"&amp;B829&amp;"|"&amp;D829&amp;"|"&amp;E829&amp;F829</f>
        <v>auto|McAlester|scenario C (age 36)|female</v>
      </c>
      <c r="J829" s="34" t="n">
        <f aca="false" t="array" ref="J829:J829">MEDIAN(IF($I$4:$I$1803=I829,$H$4:$H$1803))</f>
        <v>1761</v>
      </c>
      <c r="K829" s="59" t="n">
        <f aca="false">H829/J829</f>
        <v>1.16751845542306</v>
      </c>
    </row>
    <row r="830" customFormat="false" ht="15" hidden="false" customHeight="false" outlineLevel="0" collapsed="false">
      <c r="A830" s="39" t="s">
        <v>879</v>
      </c>
      <c r="B830" s="39" t="s">
        <v>911</v>
      </c>
      <c r="C830" s="39" t="s">
        <v>890</v>
      </c>
      <c r="D830" s="39" t="s">
        <v>887</v>
      </c>
      <c r="E830" s="39" t="s">
        <v>883</v>
      </c>
      <c r="F830" s="39"/>
      <c r="G830" s="58" t="n">
        <v>803</v>
      </c>
      <c r="H830" s="34" t="n">
        <f aca="false">G830*2</f>
        <v>1606</v>
      </c>
      <c r="I830" s="39" t="str">
        <f aca="false">A830&amp;"|"&amp;B830&amp;"|"&amp;D830&amp;"|"&amp;E830&amp;F830</f>
        <v>auto|McAlester|scenario D (age 55)|male</v>
      </c>
      <c r="J830" s="34" t="n">
        <f aca="false" t="array" ref="J830:J830">MEDIAN(IF($I$4:$I$1803=I830,$H$4:$H$1803))</f>
        <v>1605</v>
      </c>
      <c r="K830" s="59" t="n">
        <f aca="false">H830/J830</f>
        <v>1.0006230529595</v>
      </c>
    </row>
    <row r="831" customFormat="false" ht="15" hidden="false" customHeight="false" outlineLevel="0" collapsed="false">
      <c r="A831" s="39" t="s">
        <v>879</v>
      </c>
      <c r="B831" s="39" t="s">
        <v>911</v>
      </c>
      <c r="C831" s="39" t="s">
        <v>890</v>
      </c>
      <c r="D831" s="39" t="s">
        <v>887</v>
      </c>
      <c r="E831" s="39" t="s">
        <v>884</v>
      </c>
      <c r="F831" s="39"/>
      <c r="G831" s="58" t="n">
        <v>828</v>
      </c>
      <c r="H831" s="34" t="n">
        <f aca="false">G831*2</f>
        <v>1656</v>
      </c>
      <c r="I831" s="39" t="str">
        <f aca="false">A831&amp;"|"&amp;B831&amp;"|"&amp;D831&amp;"|"&amp;E831&amp;F831</f>
        <v>auto|McAlester|scenario D (age 55)|female</v>
      </c>
      <c r="J831" s="34" t="n">
        <f aca="false" t="array" ref="J831:J831">MEDIAN(IF($I$4:$I$1803=I831,$H$4:$H$1803))</f>
        <v>1587</v>
      </c>
      <c r="K831" s="59" t="n">
        <f aca="false">H831/J831</f>
        <v>1.04347826086957</v>
      </c>
    </row>
    <row r="832" customFormat="false" ht="15" hidden="false" customHeight="false" outlineLevel="0" collapsed="false">
      <c r="A832" s="39" t="s">
        <v>879</v>
      </c>
      <c r="B832" s="39" t="s">
        <v>911</v>
      </c>
      <c r="C832" s="39" t="s">
        <v>890</v>
      </c>
      <c r="D832" s="39" t="s">
        <v>888</v>
      </c>
      <c r="E832" s="39" t="s">
        <v>883</v>
      </c>
      <c r="F832" s="39"/>
      <c r="G832" s="58" t="n">
        <v>869</v>
      </c>
      <c r="H832" s="34" t="n">
        <f aca="false">G832*2</f>
        <v>1738</v>
      </c>
      <c r="I832" s="39" t="str">
        <f aca="false">A832&amp;"|"&amp;B832&amp;"|"&amp;D832&amp;"|"&amp;E832&amp;F832</f>
        <v>auto|McAlester|scenario E (age 70)|male</v>
      </c>
      <c r="J832" s="34" t="n">
        <f aca="false" t="array" ref="J832:J832">MEDIAN(IF($I$4:$I$1803=I832,$H$4:$H$1803))</f>
        <v>1392</v>
      </c>
      <c r="K832" s="59" t="n">
        <f aca="false">H832/J832</f>
        <v>1.2485632183908</v>
      </c>
    </row>
    <row r="833" customFormat="false" ht="15" hidden="false" customHeight="false" outlineLevel="0" collapsed="false">
      <c r="A833" s="39" t="s">
        <v>879</v>
      </c>
      <c r="B833" s="39" t="s">
        <v>911</v>
      </c>
      <c r="C833" s="39" t="s">
        <v>890</v>
      </c>
      <c r="D833" s="39" t="s">
        <v>888</v>
      </c>
      <c r="E833" s="39" t="s">
        <v>884</v>
      </c>
      <c r="F833" s="39"/>
      <c r="G833" s="58" t="n">
        <v>900</v>
      </c>
      <c r="H833" s="34" t="n">
        <f aca="false">G833*2</f>
        <v>1800</v>
      </c>
      <c r="I833" s="39" t="str">
        <f aca="false">A833&amp;"|"&amp;B833&amp;"|"&amp;D833&amp;"|"&amp;E833&amp;F833</f>
        <v>auto|McAlester|scenario E (age 70)|female</v>
      </c>
      <c r="J833" s="34" t="n">
        <f aca="false" t="array" ref="J833:J833">MEDIAN(IF($I$4:$I$1803=I833,$H$4:$H$1803))</f>
        <v>1353</v>
      </c>
      <c r="K833" s="59" t="n">
        <f aca="false">H833/J833</f>
        <v>1.33037694013304</v>
      </c>
    </row>
    <row r="834" customFormat="false" ht="15" hidden="false" customHeight="false" outlineLevel="0" collapsed="false">
      <c r="A834" s="39" t="s">
        <v>879</v>
      </c>
      <c r="B834" s="39" t="s">
        <v>911</v>
      </c>
      <c r="C834" s="39" t="s">
        <v>891</v>
      </c>
      <c r="D834" s="39" t="s">
        <v>882</v>
      </c>
      <c r="E834" s="39" t="s">
        <v>883</v>
      </c>
      <c r="F834" s="39"/>
      <c r="G834" s="58" t="n">
        <v>4727</v>
      </c>
      <c r="H834" s="34" t="n">
        <f aca="false">G834*2</f>
        <v>9454</v>
      </c>
      <c r="I834" s="39" t="str">
        <f aca="false">A834&amp;"|"&amp;B834&amp;"|"&amp;D834&amp;"|"&amp;E834&amp;F834</f>
        <v>auto|McAlester|scenario A (age 16)|male</v>
      </c>
      <c r="J834" s="34" t="n">
        <f aca="false" t="array" ref="J834:J834">MEDIAN(IF($I$4:$I$1803=I834,$H$4:$H$1803))</f>
        <v>7266</v>
      </c>
      <c r="K834" s="59" t="n">
        <f aca="false">H834/J834</f>
        <v>1.30112854390311</v>
      </c>
    </row>
    <row r="835" customFormat="false" ht="15" hidden="false" customHeight="false" outlineLevel="0" collapsed="false">
      <c r="A835" s="39" t="s">
        <v>879</v>
      </c>
      <c r="B835" s="39" t="s">
        <v>911</v>
      </c>
      <c r="C835" s="39" t="s">
        <v>891</v>
      </c>
      <c r="D835" s="39" t="s">
        <v>882</v>
      </c>
      <c r="E835" s="39" t="s">
        <v>884</v>
      </c>
      <c r="F835" s="39"/>
      <c r="G835" s="58" t="n">
        <v>4831</v>
      </c>
      <c r="H835" s="34" t="n">
        <f aca="false">G835*2</f>
        <v>9662</v>
      </c>
      <c r="I835" s="39" t="str">
        <f aca="false">A835&amp;"|"&amp;B835&amp;"|"&amp;D835&amp;"|"&amp;E835&amp;F835</f>
        <v>auto|McAlester|scenario A (age 16)|female</v>
      </c>
      <c r="J835" s="34" t="n">
        <f aca="false" t="array" ref="J835:J835">MEDIAN(IF($I$4:$I$1803=I835,$H$4:$H$1803))</f>
        <v>5984</v>
      </c>
      <c r="K835" s="59" t="n">
        <f aca="false">H835/J835</f>
        <v>1.61463903743316</v>
      </c>
    </row>
    <row r="836" customFormat="false" ht="15" hidden="false" customHeight="false" outlineLevel="0" collapsed="false">
      <c r="A836" s="39" t="s">
        <v>879</v>
      </c>
      <c r="B836" s="39" t="s">
        <v>911</v>
      </c>
      <c r="C836" s="39" t="s">
        <v>891</v>
      </c>
      <c r="D836" s="39" t="s">
        <v>885</v>
      </c>
      <c r="E836" s="39" t="s">
        <v>883</v>
      </c>
      <c r="F836" s="39"/>
      <c r="G836" s="58" t="n">
        <v>1513</v>
      </c>
      <c r="H836" s="34" t="n">
        <f aca="false">G836*2</f>
        <v>3026</v>
      </c>
      <c r="I836" s="39" t="str">
        <f aca="false">A836&amp;"|"&amp;B836&amp;"|"&amp;D836&amp;"|"&amp;E836&amp;F836</f>
        <v>auto|McAlester|scenario B (age 21)|male</v>
      </c>
      <c r="J836" s="34" t="n">
        <f aca="false" t="array" ref="J836:J836">MEDIAN(IF($I$4:$I$1803=I836,$H$4:$H$1803))</f>
        <v>3026</v>
      </c>
      <c r="K836" s="59" t="n">
        <f aca="false">H836/J836</f>
        <v>1</v>
      </c>
    </row>
    <row r="837" customFormat="false" ht="15" hidden="false" customHeight="false" outlineLevel="0" collapsed="false">
      <c r="A837" s="39" t="s">
        <v>879</v>
      </c>
      <c r="B837" s="39" t="s">
        <v>911</v>
      </c>
      <c r="C837" s="39" t="s">
        <v>891</v>
      </c>
      <c r="D837" s="39" t="s">
        <v>885</v>
      </c>
      <c r="E837" s="39" t="s">
        <v>884</v>
      </c>
      <c r="F837" s="39"/>
      <c r="G837" s="58" t="n">
        <v>1515</v>
      </c>
      <c r="H837" s="34" t="n">
        <f aca="false">G837*2</f>
        <v>3030</v>
      </c>
      <c r="I837" s="39" t="str">
        <f aca="false">A837&amp;"|"&amp;B837&amp;"|"&amp;D837&amp;"|"&amp;E837&amp;F837</f>
        <v>auto|McAlester|scenario B (age 21)|female</v>
      </c>
      <c r="J837" s="34" t="n">
        <f aca="false" t="array" ref="J837:J837">MEDIAN(IF($I$4:$I$1803=I837,$H$4:$H$1803))</f>
        <v>2705</v>
      </c>
      <c r="K837" s="59" t="n">
        <f aca="false">H837/J837</f>
        <v>1.12014787430684</v>
      </c>
    </row>
    <row r="838" customFormat="false" ht="15" hidden="false" customHeight="false" outlineLevel="0" collapsed="false">
      <c r="A838" s="39" t="s">
        <v>879</v>
      </c>
      <c r="B838" s="39" t="s">
        <v>911</v>
      </c>
      <c r="C838" s="39" t="s">
        <v>891</v>
      </c>
      <c r="D838" s="39" t="s">
        <v>886</v>
      </c>
      <c r="E838" s="39" t="s">
        <v>883</v>
      </c>
      <c r="F838" s="39"/>
      <c r="G838" s="58" t="n">
        <v>1023</v>
      </c>
      <c r="H838" s="34" t="n">
        <f aca="false">G838*2</f>
        <v>2046</v>
      </c>
      <c r="I838" s="39" t="str">
        <f aca="false">A838&amp;"|"&amp;B838&amp;"|"&amp;D838&amp;"|"&amp;E838&amp;F838</f>
        <v>auto|McAlester|scenario C (age 36)|male</v>
      </c>
      <c r="J838" s="34" t="n">
        <f aca="false" t="array" ref="J838:J838">MEDIAN(IF($I$4:$I$1803=I838,$H$4:$H$1803))</f>
        <v>1788</v>
      </c>
      <c r="K838" s="59" t="n">
        <f aca="false">H838/J838</f>
        <v>1.14429530201342</v>
      </c>
    </row>
    <row r="839" customFormat="false" ht="15" hidden="false" customHeight="false" outlineLevel="0" collapsed="false">
      <c r="A839" s="39" t="s">
        <v>879</v>
      </c>
      <c r="B839" s="39" t="s">
        <v>911</v>
      </c>
      <c r="C839" s="39" t="s">
        <v>891</v>
      </c>
      <c r="D839" s="39" t="s">
        <v>886</v>
      </c>
      <c r="E839" s="39" t="s">
        <v>884</v>
      </c>
      <c r="F839" s="39"/>
      <c r="G839" s="58" t="n">
        <v>944</v>
      </c>
      <c r="H839" s="34" t="n">
        <f aca="false">G839*2</f>
        <v>1888</v>
      </c>
      <c r="I839" s="39" t="str">
        <f aca="false">A839&amp;"|"&amp;B839&amp;"|"&amp;D839&amp;"|"&amp;E839&amp;F839</f>
        <v>auto|McAlester|scenario C (age 36)|female</v>
      </c>
      <c r="J839" s="34" t="n">
        <f aca="false" t="array" ref="J839:J839">MEDIAN(IF($I$4:$I$1803=I839,$H$4:$H$1803))</f>
        <v>1761</v>
      </c>
      <c r="K839" s="59" t="n">
        <f aca="false">H839/J839</f>
        <v>1.07211811470755</v>
      </c>
    </row>
    <row r="840" customFormat="false" ht="15" hidden="false" customHeight="false" outlineLevel="0" collapsed="false">
      <c r="A840" s="39" t="s">
        <v>879</v>
      </c>
      <c r="B840" s="39" t="s">
        <v>911</v>
      </c>
      <c r="C840" s="39" t="s">
        <v>891</v>
      </c>
      <c r="D840" s="39" t="s">
        <v>887</v>
      </c>
      <c r="E840" s="39" t="s">
        <v>883</v>
      </c>
      <c r="F840" s="39"/>
      <c r="G840" s="58" t="n">
        <v>909</v>
      </c>
      <c r="H840" s="34" t="n">
        <f aca="false">G840*2</f>
        <v>1818</v>
      </c>
      <c r="I840" s="39" t="str">
        <f aca="false">A840&amp;"|"&amp;B840&amp;"|"&amp;D840&amp;"|"&amp;E840&amp;F840</f>
        <v>auto|McAlester|scenario D (age 55)|male</v>
      </c>
      <c r="J840" s="34" t="n">
        <f aca="false" t="array" ref="J840:J840">MEDIAN(IF($I$4:$I$1803=I840,$H$4:$H$1803))</f>
        <v>1605</v>
      </c>
      <c r="K840" s="59" t="n">
        <f aca="false">H840/J840</f>
        <v>1.13271028037383</v>
      </c>
    </row>
    <row r="841" customFormat="false" ht="15" hidden="false" customHeight="false" outlineLevel="0" collapsed="false">
      <c r="A841" s="39" t="s">
        <v>879</v>
      </c>
      <c r="B841" s="39" t="s">
        <v>911</v>
      </c>
      <c r="C841" s="39" t="s">
        <v>891</v>
      </c>
      <c r="D841" s="39" t="s">
        <v>887</v>
      </c>
      <c r="E841" s="39" t="s">
        <v>884</v>
      </c>
      <c r="F841" s="39"/>
      <c r="G841" s="58" t="n">
        <v>807</v>
      </c>
      <c r="H841" s="34" t="n">
        <f aca="false">G841*2</f>
        <v>1614</v>
      </c>
      <c r="I841" s="39" t="str">
        <f aca="false">A841&amp;"|"&amp;B841&amp;"|"&amp;D841&amp;"|"&amp;E841&amp;F841</f>
        <v>auto|McAlester|scenario D (age 55)|female</v>
      </c>
      <c r="J841" s="34" t="n">
        <f aca="false" t="array" ref="J841:J841">MEDIAN(IF($I$4:$I$1803=I841,$H$4:$H$1803))</f>
        <v>1587</v>
      </c>
      <c r="K841" s="59" t="n">
        <f aca="false">H841/J841</f>
        <v>1.01701323251418</v>
      </c>
    </row>
    <row r="842" customFormat="false" ht="15" hidden="false" customHeight="false" outlineLevel="0" collapsed="false">
      <c r="A842" s="39" t="s">
        <v>879</v>
      </c>
      <c r="B842" s="39" t="s">
        <v>911</v>
      </c>
      <c r="C842" s="39" t="s">
        <v>891</v>
      </c>
      <c r="D842" s="39" t="s">
        <v>888</v>
      </c>
      <c r="E842" s="39" t="s">
        <v>883</v>
      </c>
      <c r="F842" s="39"/>
      <c r="G842" s="58" t="n">
        <v>969</v>
      </c>
      <c r="H842" s="34" t="n">
        <f aca="false">G842*2</f>
        <v>1938</v>
      </c>
      <c r="I842" s="39" t="str">
        <f aca="false">A842&amp;"|"&amp;B842&amp;"|"&amp;D842&amp;"|"&amp;E842&amp;F842</f>
        <v>auto|McAlester|scenario E (age 70)|male</v>
      </c>
      <c r="J842" s="34" t="n">
        <f aca="false" t="array" ref="J842:J842">MEDIAN(IF($I$4:$I$1803=I842,$H$4:$H$1803))</f>
        <v>1392</v>
      </c>
      <c r="K842" s="59" t="n">
        <f aca="false">H842/J842</f>
        <v>1.39224137931034</v>
      </c>
    </row>
    <row r="843" customFormat="false" ht="15" hidden="false" customHeight="false" outlineLevel="0" collapsed="false">
      <c r="A843" s="39" t="s">
        <v>879</v>
      </c>
      <c r="B843" s="39" t="s">
        <v>911</v>
      </c>
      <c r="C843" s="39" t="s">
        <v>891</v>
      </c>
      <c r="D843" s="39" t="s">
        <v>888</v>
      </c>
      <c r="E843" s="39" t="s">
        <v>884</v>
      </c>
      <c r="F843" s="39"/>
      <c r="G843" s="58" t="n">
        <v>799</v>
      </c>
      <c r="H843" s="34" t="n">
        <f aca="false">G843*2</f>
        <v>1598</v>
      </c>
      <c r="I843" s="39" t="str">
        <f aca="false">A843&amp;"|"&amp;B843&amp;"|"&amp;D843&amp;"|"&amp;E843&amp;F843</f>
        <v>auto|McAlester|scenario E (age 70)|female</v>
      </c>
      <c r="J843" s="34" t="n">
        <f aca="false" t="array" ref="J843:J843">MEDIAN(IF($I$4:$I$1803=I843,$H$4:$H$1803))</f>
        <v>1353</v>
      </c>
      <c r="K843" s="59" t="n">
        <f aca="false">H843/J843</f>
        <v>1.18107908351811</v>
      </c>
    </row>
    <row r="844" customFormat="false" ht="15" hidden="false" customHeight="false" outlineLevel="0" collapsed="false">
      <c r="A844" s="39" t="s">
        <v>879</v>
      </c>
      <c r="B844" s="39" t="s">
        <v>911</v>
      </c>
      <c r="C844" s="39" t="s">
        <v>892</v>
      </c>
      <c r="D844" s="39" t="s">
        <v>882</v>
      </c>
      <c r="E844" s="39" t="s">
        <v>883</v>
      </c>
      <c r="F844" s="39"/>
      <c r="G844" s="58" t="n">
        <v>4109</v>
      </c>
      <c r="H844" s="34" t="n">
        <f aca="false">G844*2</f>
        <v>8218</v>
      </c>
      <c r="I844" s="39" t="str">
        <f aca="false">A844&amp;"|"&amp;B844&amp;"|"&amp;D844&amp;"|"&amp;E844&amp;F844</f>
        <v>auto|McAlester|scenario A (age 16)|male</v>
      </c>
      <c r="J844" s="34" t="n">
        <f aca="false" t="array" ref="J844:J844">MEDIAN(IF($I$4:$I$1803=I844,$H$4:$H$1803))</f>
        <v>7266</v>
      </c>
      <c r="K844" s="59" t="n">
        <f aca="false">H844/J844</f>
        <v>1.13102119460501</v>
      </c>
    </row>
    <row r="845" customFormat="false" ht="15" hidden="false" customHeight="false" outlineLevel="0" collapsed="false">
      <c r="A845" s="39" t="s">
        <v>879</v>
      </c>
      <c r="B845" s="39" t="s">
        <v>911</v>
      </c>
      <c r="C845" s="39" t="s">
        <v>892</v>
      </c>
      <c r="D845" s="39" t="s">
        <v>882</v>
      </c>
      <c r="E845" s="39" t="s">
        <v>884</v>
      </c>
      <c r="F845" s="39"/>
      <c r="G845" s="58" t="n">
        <v>2995</v>
      </c>
      <c r="H845" s="34" t="n">
        <f aca="false">G845*2</f>
        <v>5990</v>
      </c>
      <c r="I845" s="39" t="str">
        <f aca="false">A845&amp;"|"&amp;B845&amp;"|"&amp;D845&amp;"|"&amp;E845&amp;F845</f>
        <v>auto|McAlester|scenario A (age 16)|female</v>
      </c>
      <c r="J845" s="34" t="n">
        <f aca="false" t="array" ref="J845:J845">MEDIAN(IF($I$4:$I$1803=I845,$H$4:$H$1803))</f>
        <v>5984</v>
      </c>
      <c r="K845" s="59" t="n">
        <f aca="false">H845/J845</f>
        <v>1.00100267379679</v>
      </c>
    </row>
    <row r="846" customFormat="false" ht="15" hidden="false" customHeight="false" outlineLevel="0" collapsed="false">
      <c r="A846" s="39" t="s">
        <v>879</v>
      </c>
      <c r="B846" s="39" t="s">
        <v>911</v>
      </c>
      <c r="C846" s="39" t="s">
        <v>892</v>
      </c>
      <c r="D846" s="39" t="s">
        <v>885</v>
      </c>
      <c r="E846" s="39" t="s">
        <v>883</v>
      </c>
      <c r="F846" s="39"/>
      <c r="G846" s="58" t="n">
        <v>2240</v>
      </c>
      <c r="H846" s="34" t="n">
        <f aca="false">G846*2</f>
        <v>4480</v>
      </c>
      <c r="I846" s="39" t="str">
        <f aca="false">A846&amp;"|"&amp;B846&amp;"|"&amp;D846&amp;"|"&amp;E846&amp;F846</f>
        <v>auto|McAlester|scenario B (age 21)|male</v>
      </c>
      <c r="J846" s="34" t="n">
        <f aca="false" t="array" ref="J846:J846">MEDIAN(IF($I$4:$I$1803=I846,$H$4:$H$1803))</f>
        <v>3026</v>
      </c>
      <c r="K846" s="59" t="n">
        <f aca="false">H846/J846</f>
        <v>1.48050231328486</v>
      </c>
    </row>
    <row r="847" customFormat="false" ht="15" hidden="false" customHeight="false" outlineLevel="0" collapsed="false">
      <c r="A847" s="39" t="s">
        <v>879</v>
      </c>
      <c r="B847" s="39" t="s">
        <v>911</v>
      </c>
      <c r="C847" s="39" t="s">
        <v>892</v>
      </c>
      <c r="D847" s="39" t="s">
        <v>885</v>
      </c>
      <c r="E847" s="39" t="s">
        <v>884</v>
      </c>
      <c r="F847" s="39"/>
      <c r="G847" s="58" t="n">
        <v>2024</v>
      </c>
      <c r="H847" s="34" t="n">
        <f aca="false">G847*2</f>
        <v>4048</v>
      </c>
      <c r="I847" s="39" t="str">
        <f aca="false">A847&amp;"|"&amp;B847&amp;"|"&amp;D847&amp;"|"&amp;E847&amp;F847</f>
        <v>auto|McAlester|scenario B (age 21)|female</v>
      </c>
      <c r="J847" s="34" t="n">
        <f aca="false" t="array" ref="J847:J847">MEDIAN(IF($I$4:$I$1803=I847,$H$4:$H$1803))</f>
        <v>2705</v>
      </c>
      <c r="K847" s="59" t="n">
        <f aca="false">H847/J847</f>
        <v>1.49648798521257</v>
      </c>
    </row>
    <row r="848" customFormat="false" ht="15" hidden="false" customHeight="false" outlineLevel="0" collapsed="false">
      <c r="A848" s="39" t="s">
        <v>879</v>
      </c>
      <c r="B848" s="39" t="s">
        <v>911</v>
      </c>
      <c r="C848" s="39" t="s">
        <v>892</v>
      </c>
      <c r="D848" s="39" t="s">
        <v>886</v>
      </c>
      <c r="E848" s="39" t="s">
        <v>883</v>
      </c>
      <c r="F848" s="39"/>
      <c r="G848" s="58" t="n">
        <v>1247</v>
      </c>
      <c r="H848" s="34" t="n">
        <f aca="false">G848*2</f>
        <v>2494</v>
      </c>
      <c r="I848" s="39" t="str">
        <f aca="false">A848&amp;"|"&amp;B848&amp;"|"&amp;D848&amp;"|"&amp;E848&amp;F848</f>
        <v>auto|McAlester|scenario C (age 36)|male</v>
      </c>
      <c r="J848" s="34" t="n">
        <f aca="false" t="array" ref="J848:J848">MEDIAN(IF($I$4:$I$1803=I848,$H$4:$H$1803))</f>
        <v>1788</v>
      </c>
      <c r="K848" s="59" t="n">
        <f aca="false">H848/J848</f>
        <v>1.39485458612975</v>
      </c>
    </row>
    <row r="849" customFormat="false" ht="15" hidden="false" customHeight="false" outlineLevel="0" collapsed="false">
      <c r="A849" s="39" t="s">
        <v>879</v>
      </c>
      <c r="B849" s="39" t="s">
        <v>911</v>
      </c>
      <c r="C849" s="39" t="s">
        <v>892</v>
      </c>
      <c r="D849" s="39" t="s">
        <v>886</v>
      </c>
      <c r="E849" s="39" t="s">
        <v>884</v>
      </c>
      <c r="F849" s="39"/>
      <c r="G849" s="58" t="n">
        <v>1214</v>
      </c>
      <c r="H849" s="34" t="n">
        <f aca="false">G849*2</f>
        <v>2428</v>
      </c>
      <c r="I849" s="39" t="str">
        <f aca="false">A849&amp;"|"&amp;B849&amp;"|"&amp;D849&amp;"|"&amp;E849&amp;F849</f>
        <v>auto|McAlester|scenario C (age 36)|female</v>
      </c>
      <c r="J849" s="34" t="n">
        <f aca="false" t="array" ref="J849:J849">MEDIAN(IF($I$4:$I$1803=I849,$H$4:$H$1803))</f>
        <v>1761</v>
      </c>
      <c r="K849" s="59" t="n">
        <f aca="false">H849/J849</f>
        <v>1.37876206700738</v>
      </c>
    </row>
    <row r="850" customFormat="false" ht="15" hidden="false" customHeight="false" outlineLevel="0" collapsed="false">
      <c r="A850" s="39" t="s">
        <v>879</v>
      </c>
      <c r="B850" s="39" t="s">
        <v>911</v>
      </c>
      <c r="C850" s="39" t="s">
        <v>892</v>
      </c>
      <c r="D850" s="39" t="s">
        <v>887</v>
      </c>
      <c r="E850" s="39" t="s">
        <v>883</v>
      </c>
      <c r="F850" s="39"/>
      <c r="G850" s="58" t="n">
        <v>1164</v>
      </c>
      <c r="H850" s="34" t="n">
        <f aca="false">G850*2</f>
        <v>2328</v>
      </c>
      <c r="I850" s="39" t="str">
        <f aca="false">A850&amp;"|"&amp;B850&amp;"|"&amp;D850&amp;"|"&amp;E850&amp;F850</f>
        <v>auto|McAlester|scenario D (age 55)|male</v>
      </c>
      <c r="J850" s="34" t="n">
        <f aca="false" t="array" ref="J850:J850">MEDIAN(IF($I$4:$I$1803=I850,$H$4:$H$1803))</f>
        <v>1605</v>
      </c>
      <c r="K850" s="59" t="n">
        <f aca="false">H850/J850</f>
        <v>1.45046728971963</v>
      </c>
    </row>
    <row r="851" customFormat="false" ht="15" hidden="false" customHeight="false" outlineLevel="0" collapsed="false">
      <c r="A851" s="39" t="s">
        <v>879</v>
      </c>
      <c r="B851" s="39" t="s">
        <v>911</v>
      </c>
      <c r="C851" s="39" t="s">
        <v>892</v>
      </c>
      <c r="D851" s="39" t="s">
        <v>887</v>
      </c>
      <c r="E851" s="39" t="s">
        <v>884</v>
      </c>
      <c r="F851" s="39"/>
      <c r="G851" s="58" t="n">
        <v>1204</v>
      </c>
      <c r="H851" s="34" t="n">
        <f aca="false">G851*2</f>
        <v>2408</v>
      </c>
      <c r="I851" s="39" t="str">
        <f aca="false">A851&amp;"|"&amp;B851&amp;"|"&amp;D851&amp;"|"&amp;E851&amp;F851</f>
        <v>auto|McAlester|scenario D (age 55)|female</v>
      </c>
      <c r="J851" s="34" t="n">
        <f aca="false" t="array" ref="J851:J851">MEDIAN(IF($I$4:$I$1803=I851,$H$4:$H$1803))</f>
        <v>1587</v>
      </c>
      <c r="K851" s="59" t="n">
        <f aca="false">H851/J851</f>
        <v>1.51732829237555</v>
      </c>
    </row>
    <row r="852" customFormat="false" ht="15" hidden="false" customHeight="false" outlineLevel="0" collapsed="false">
      <c r="A852" s="39" t="s">
        <v>879</v>
      </c>
      <c r="B852" s="39" t="s">
        <v>911</v>
      </c>
      <c r="C852" s="39" t="s">
        <v>892</v>
      </c>
      <c r="D852" s="39" t="s">
        <v>888</v>
      </c>
      <c r="E852" s="39" t="s">
        <v>883</v>
      </c>
      <c r="F852" s="39"/>
      <c r="G852" s="58" t="n">
        <v>1448</v>
      </c>
      <c r="H852" s="34" t="n">
        <f aca="false">G852*2</f>
        <v>2896</v>
      </c>
      <c r="I852" s="39" t="str">
        <f aca="false">A852&amp;"|"&amp;B852&amp;"|"&amp;D852&amp;"|"&amp;E852&amp;F852</f>
        <v>auto|McAlester|scenario E (age 70)|male</v>
      </c>
      <c r="J852" s="34" t="n">
        <f aca="false" t="array" ref="J852:J852">MEDIAN(IF($I$4:$I$1803=I852,$H$4:$H$1803))</f>
        <v>1392</v>
      </c>
      <c r="K852" s="59" t="n">
        <f aca="false">H852/J852</f>
        <v>2.08045977011494</v>
      </c>
    </row>
    <row r="853" customFormat="false" ht="15" hidden="false" customHeight="false" outlineLevel="0" collapsed="false">
      <c r="A853" s="39" t="s">
        <v>879</v>
      </c>
      <c r="B853" s="39" t="s">
        <v>911</v>
      </c>
      <c r="C853" s="39" t="s">
        <v>892</v>
      </c>
      <c r="D853" s="39" t="s">
        <v>888</v>
      </c>
      <c r="E853" s="39" t="s">
        <v>884</v>
      </c>
      <c r="F853" s="39"/>
      <c r="G853" s="58" t="n">
        <v>1409</v>
      </c>
      <c r="H853" s="34" t="n">
        <f aca="false">G853*2</f>
        <v>2818</v>
      </c>
      <c r="I853" s="39" t="str">
        <f aca="false">A853&amp;"|"&amp;B853&amp;"|"&amp;D853&amp;"|"&amp;E853&amp;F853</f>
        <v>auto|McAlester|scenario E (age 70)|female</v>
      </c>
      <c r="J853" s="34" t="n">
        <f aca="false" t="array" ref="J853:J853">MEDIAN(IF($I$4:$I$1803=I853,$H$4:$H$1803))</f>
        <v>1353</v>
      </c>
      <c r="K853" s="59" t="n">
        <f aca="false">H853/J853</f>
        <v>2.08277900960828</v>
      </c>
    </row>
    <row r="854" customFormat="false" ht="15" hidden="false" customHeight="false" outlineLevel="0" collapsed="false">
      <c r="A854" s="39" t="s">
        <v>879</v>
      </c>
      <c r="B854" s="39" t="s">
        <v>911</v>
      </c>
      <c r="C854" s="39" t="s">
        <v>893</v>
      </c>
      <c r="D854" s="39" t="s">
        <v>882</v>
      </c>
      <c r="E854" s="39" t="s">
        <v>883</v>
      </c>
      <c r="F854" s="39"/>
      <c r="G854" s="58" t="n">
        <v>3722</v>
      </c>
      <c r="H854" s="34" t="n">
        <f aca="false">G854*2</f>
        <v>7444</v>
      </c>
      <c r="I854" s="39" t="str">
        <f aca="false">A854&amp;"|"&amp;B854&amp;"|"&amp;D854&amp;"|"&amp;E854&amp;F854</f>
        <v>auto|McAlester|scenario A (age 16)|male</v>
      </c>
      <c r="J854" s="34" t="n">
        <f aca="false" t="array" ref="J854:J854">MEDIAN(IF($I$4:$I$1803=I854,$H$4:$H$1803))</f>
        <v>7266</v>
      </c>
      <c r="K854" s="59" t="n">
        <f aca="false">H854/J854</f>
        <v>1.02449766033581</v>
      </c>
    </row>
    <row r="855" customFormat="false" ht="15" hidden="false" customHeight="false" outlineLevel="0" collapsed="false">
      <c r="A855" s="39" t="s">
        <v>879</v>
      </c>
      <c r="B855" s="39" t="s">
        <v>911</v>
      </c>
      <c r="C855" s="39" t="s">
        <v>893</v>
      </c>
      <c r="D855" s="39" t="s">
        <v>882</v>
      </c>
      <c r="E855" s="39" t="s">
        <v>884</v>
      </c>
      <c r="F855" s="39"/>
      <c r="G855" s="58" t="n">
        <v>2887</v>
      </c>
      <c r="H855" s="34" t="n">
        <f aca="false">G855*2</f>
        <v>5774</v>
      </c>
      <c r="I855" s="39" t="str">
        <f aca="false">A855&amp;"|"&amp;B855&amp;"|"&amp;D855&amp;"|"&amp;E855&amp;F855</f>
        <v>auto|McAlester|scenario A (age 16)|female</v>
      </c>
      <c r="J855" s="34" t="n">
        <f aca="false" t="array" ref="J855:J855">MEDIAN(IF($I$4:$I$1803=I855,$H$4:$H$1803))</f>
        <v>5984</v>
      </c>
      <c r="K855" s="59" t="n">
        <f aca="false">H855/J855</f>
        <v>0.9649064171123</v>
      </c>
    </row>
    <row r="856" customFormat="false" ht="15" hidden="false" customHeight="false" outlineLevel="0" collapsed="false">
      <c r="A856" s="39" t="s">
        <v>879</v>
      </c>
      <c r="B856" s="39" t="s">
        <v>911</v>
      </c>
      <c r="C856" s="39" t="s">
        <v>893</v>
      </c>
      <c r="D856" s="39" t="s">
        <v>885</v>
      </c>
      <c r="E856" s="39" t="s">
        <v>883</v>
      </c>
      <c r="F856" s="39"/>
      <c r="G856" s="58" t="n">
        <v>1635</v>
      </c>
      <c r="H856" s="34" t="n">
        <f aca="false">G856*2</f>
        <v>3270</v>
      </c>
      <c r="I856" s="39" t="str">
        <f aca="false">A856&amp;"|"&amp;B856&amp;"|"&amp;D856&amp;"|"&amp;E856&amp;F856</f>
        <v>auto|McAlester|scenario B (age 21)|male</v>
      </c>
      <c r="J856" s="34" t="n">
        <f aca="false" t="array" ref="J856:J856">MEDIAN(IF($I$4:$I$1803=I856,$H$4:$H$1803))</f>
        <v>3026</v>
      </c>
      <c r="K856" s="59" t="n">
        <f aca="false">H856/J856</f>
        <v>1.08063450099141</v>
      </c>
    </row>
    <row r="857" customFormat="false" ht="15" hidden="false" customHeight="false" outlineLevel="0" collapsed="false">
      <c r="A857" s="39" t="s">
        <v>879</v>
      </c>
      <c r="B857" s="39" t="s">
        <v>911</v>
      </c>
      <c r="C857" s="39" t="s">
        <v>893</v>
      </c>
      <c r="D857" s="39" t="s">
        <v>885</v>
      </c>
      <c r="E857" s="39" t="s">
        <v>884</v>
      </c>
      <c r="F857" s="39"/>
      <c r="G857" s="58" t="n">
        <v>1380</v>
      </c>
      <c r="H857" s="34" t="n">
        <f aca="false">G857*2</f>
        <v>2760</v>
      </c>
      <c r="I857" s="39" t="str">
        <f aca="false">A857&amp;"|"&amp;B857&amp;"|"&amp;D857&amp;"|"&amp;E857&amp;F857</f>
        <v>auto|McAlester|scenario B (age 21)|female</v>
      </c>
      <c r="J857" s="34" t="n">
        <f aca="false" t="array" ref="J857:J857">MEDIAN(IF($I$4:$I$1803=I857,$H$4:$H$1803))</f>
        <v>2705</v>
      </c>
      <c r="K857" s="59" t="n">
        <f aca="false">H857/J857</f>
        <v>1.02033271719039</v>
      </c>
    </row>
    <row r="858" customFormat="false" ht="15" hidden="false" customHeight="false" outlineLevel="0" collapsed="false">
      <c r="A858" s="39" t="s">
        <v>879</v>
      </c>
      <c r="B858" s="39" t="s">
        <v>911</v>
      </c>
      <c r="C858" s="39" t="s">
        <v>893</v>
      </c>
      <c r="D858" s="39" t="s">
        <v>886</v>
      </c>
      <c r="E858" s="39" t="s">
        <v>883</v>
      </c>
      <c r="F858" s="39"/>
      <c r="G858" s="58" t="n">
        <v>782</v>
      </c>
      <c r="H858" s="34" t="n">
        <f aca="false">G858*2</f>
        <v>1564</v>
      </c>
      <c r="I858" s="39" t="str">
        <f aca="false">A858&amp;"|"&amp;B858&amp;"|"&amp;D858&amp;"|"&amp;E858&amp;F858</f>
        <v>auto|McAlester|scenario C (age 36)|male</v>
      </c>
      <c r="J858" s="34" t="n">
        <f aca="false" t="array" ref="J858:J858">MEDIAN(IF($I$4:$I$1803=I858,$H$4:$H$1803))</f>
        <v>1788</v>
      </c>
      <c r="K858" s="59" t="n">
        <f aca="false">H858/J858</f>
        <v>0.874720357941834</v>
      </c>
    </row>
    <row r="859" customFormat="false" ht="15" hidden="false" customHeight="false" outlineLevel="0" collapsed="false">
      <c r="A859" s="39" t="s">
        <v>879</v>
      </c>
      <c r="B859" s="39" t="s">
        <v>911</v>
      </c>
      <c r="C859" s="39" t="s">
        <v>893</v>
      </c>
      <c r="D859" s="39" t="s">
        <v>886</v>
      </c>
      <c r="E859" s="39" t="s">
        <v>884</v>
      </c>
      <c r="F859" s="39"/>
      <c r="G859" s="58" t="n">
        <v>834</v>
      </c>
      <c r="H859" s="34" t="n">
        <f aca="false">G859*2</f>
        <v>1668</v>
      </c>
      <c r="I859" s="39" t="str">
        <f aca="false">A859&amp;"|"&amp;B859&amp;"|"&amp;D859&amp;"|"&amp;E859&amp;F859</f>
        <v>auto|McAlester|scenario C (age 36)|female</v>
      </c>
      <c r="J859" s="34" t="n">
        <f aca="false" t="array" ref="J859:J859">MEDIAN(IF($I$4:$I$1803=I859,$H$4:$H$1803))</f>
        <v>1761</v>
      </c>
      <c r="K859" s="59" t="n">
        <f aca="false">H859/J859</f>
        <v>0.947189097103918</v>
      </c>
    </row>
    <row r="860" customFormat="false" ht="15" hidden="false" customHeight="false" outlineLevel="0" collapsed="false">
      <c r="A860" s="39" t="s">
        <v>879</v>
      </c>
      <c r="B860" s="39" t="s">
        <v>911</v>
      </c>
      <c r="C860" s="39" t="s">
        <v>893</v>
      </c>
      <c r="D860" s="39" t="s">
        <v>887</v>
      </c>
      <c r="E860" s="39" t="s">
        <v>883</v>
      </c>
      <c r="F860" s="39"/>
      <c r="G860" s="58" t="n">
        <v>688</v>
      </c>
      <c r="H860" s="34" t="n">
        <f aca="false">G860*2</f>
        <v>1376</v>
      </c>
      <c r="I860" s="39" t="str">
        <f aca="false">A860&amp;"|"&amp;B860&amp;"|"&amp;D860&amp;"|"&amp;E860&amp;F860</f>
        <v>auto|McAlester|scenario D (age 55)|male</v>
      </c>
      <c r="J860" s="34" t="n">
        <f aca="false" t="array" ref="J860:J860">MEDIAN(IF($I$4:$I$1803=I860,$H$4:$H$1803))</f>
        <v>1605</v>
      </c>
      <c r="K860" s="59" t="n">
        <f aca="false">H860/J860</f>
        <v>0.857320872274143</v>
      </c>
    </row>
    <row r="861" customFormat="false" ht="15" hidden="false" customHeight="false" outlineLevel="0" collapsed="false">
      <c r="A861" s="39" t="s">
        <v>879</v>
      </c>
      <c r="B861" s="39" t="s">
        <v>911</v>
      </c>
      <c r="C861" s="39" t="s">
        <v>893</v>
      </c>
      <c r="D861" s="39" t="s">
        <v>887</v>
      </c>
      <c r="E861" s="39" t="s">
        <v>884</v>
      </c>
      <c r="F861" s="39"/>
      <c r="G861" s="58" t="n">
        <v>688</v>
      </c>
      <c r="H861" s="34" t="n">
        <f aca="false">G861*2</f>
        <v>1376</v>
      </c>
      <c r="I861" s="39" t="str">
        <f aca="false">A861&amp;"|"&amp;B861&amp;"|"&amp;D861&amp;"|"&amp;E861&amp;F861</f>
        <v>auto|McAlester|scenario D (age 55)|female</v>
      </c>
      <c r="J861" s="34" t="n">
        <f aca="false" t="array" ref="J861:J861">MEDIAN(IF($I$4:$I$1803=I861,$H$4:$H$1803))</f>
        <v>1587</v>
      </c>
      <c r="K861" s="59" t="n">
        <f aca="false">H861/J861</f>
        <v>0.867044738500315</v>
      </c>
    </row>
    <row r="862" customFormat="false" ht="15" hidden="false" customHeight="false" outlineLevel="0" collapsed="false">
      <c r="A862" s="39" t="s">
        <v>879</v>
      </c>
      <c r="B862" s="39" t="s">
        <v>911</v>
      </c>
      <c r="C862" s="39" t="s">
        <v>893</v>
      </c>
      <c r="D862" s="39" t="s">
        <v>888</v>
      </c>
      <c r="E862" s="39" t="s">
        <v>883</v>
      </c>
      <c r="F862" s="39"/>
      <c r="G862" s="58" t="n">
        <v>592</v>
      </c>
      <c r="H862" s="34" t="n">
        <f aca="false">G862*2</f>
        <v>1184</v>
      </c>
      <c r="I862" s="39" t="str">
        <f aca="false">A862&amp;"|"&amp;B862&amp;"|"&amp;D862&amp;"|"&amp;E862&amp;F862</f>
        <v>auto|McAlester|scenario E (age 70)|male</v>
      </c>
      <c r="J862" s="34" t="n">
        <f aca="false" t="array" ref="J862:J862">MEDIAN(IF($I$4:$I$1803=I862,$H$4:$H$1803))</f>
        <v>1392</v>
      </c>
      <c r="K862" s="59" t="n">
        <f aca="false">H862/J862</f>
        <v>0.850574712643678</v>
      </c>
    </row>
    <row r="863" customFormat="false" ht="15" hidden="false" customHeight="false" outlineLevel="0" collapsed="false">
      <c r="A863" s="39" t="s">
        <v>879</v>
      </c>
      <c r="B863" s="39" t="s">
        <v>911</v>
      </c>
      <c r="C863" s="39" t="s">
        <v>893</v>
      </c>
      <c r="D863" s="39" t="s">
        <v>888</v>
      </c>
      <c r="E863" s="39" t="s">
        <v>884</v>
      </c>
      <c r="F863" s="39"/>
      <c r="G863" s="58" t="n">
        <v>632</v>
      </c>
      <c r="H863" s="34" t="n">
        <f aca="false">G863*2</f>
        <v>1264</v>
      </c>
      <c r="I863" s="39" t="str">
        <f aca="false">A863&amp;"|"&amp;B863&amp;"|"&amp;D863&amp;"|"&amp;E863&amp;F863</f>
        <v>auto|McAlester|scenario E (age 70)|female</v>
      </c>
      <c r="J863" s="34" t="n">
        <f aca="false" t="array" ref="J863:J863">MEDIAN(IF($I$4:$I$1803=I863,$H$4:$H$1803))</f>
        <v>1353</v>
      </c>
      <c r="K863" s="59" t="n">
        <f aca="false">H863/J863</f>
        <v>0.934220251293422</v>
      </c>
    </row>
    <row r="864" customFormat="false" ht="15" hidden="false" customHeight="false" outlineLevel="0" collapsed="false">
      <c r="A864" s="39" t="s">
        <v>879</v>
      </c>
      <c r="B864" s="39" t="s">
        <v>911</v>
      </c>
      <c r="C864" s="39" t="s">
        <v>894</v>
      </c>
      <c r="D864" s="39" t="s">
        <v>882</v>
      </c>
      <c r="E864" s="39" t="s">
        <v>883</v>
      </c>
      <c r="F864" s="39"/>
      <c r="G864" s="58" t="n">
        <v>3689</v>
      </c>
      <c r="H864" s="34" t="n">
        <f aca="false">G864*2</f>
        <v>7378</v>
      </c>
      <c r="I864" s="39" t="str">
        <f aca="false">A864&amp;"|"&amp;B864&amp;"|"&amp;D864&amp;"|"&amp;E864&amp;F864</f>
        <v>auto|McAlester|scenario A (age 16)|male</v>
      </c>
      <c r="J864" s="34" t="n">
        <f aca="false" t="array" ref="J864:J864">MEDIAN(IF($I$4:$I$1803=I864,$H$4:$H$1803))</f>
        <v>7266</v>
      </c>
      <c r="K864" s="59" t="n">
        <f aca="false">H864/J864</f>
        <v>1.01541425818882</v>
      </c>
    </row>
    <row r="865" customFormat="false" ht="15" hidden="false" customHeight="false" outlineLevel="0" collapsed="false">
      <c r="A865" s="39" t="s">
        <v>879</v>
      </c>
      <c r="B865" s="39" t="s">
        <v>911</v>
      </c>
      <c r="C865" s="39" t="s">
        <v>894</v>
      </c>
      <c r="D865" s="39" t="s">
        <v>882</v>
      </c>
      <c r="E865" s="39" t="s">
        <v>884</v>
      </c>
      <c r="F865" s="39"/>
      <c r="G865" s="58" t="n">
        <v>3548</v>
      </c>
      <c r="H865" s="34" t="n">
        <f aca="false">G865*2</f>
        <v>7096</v>
      </c>
      <c r="I865" s="39" t="str">
        <f aca="false">A865&amp;"|"&amp;B865&amp;"|"&amp;D865&amp;"|"&amp;E865&amp;F865</f>
        <v>auto|McAlester|scenario A (age 16)|female</v>
      </c>
      <c r="J865" s="34" t="n">
        <f aca="false" t="array" ref="J865:J865">MEDIAN(IF($I$4:$I$1803=I865,$H$4:$H$1803))</f>
        <v>5984</v>
      </c>
      <c r="K865" s="59" t="n">
        <f aca="false">H865/J865</f>
        <v>1.18582887700535</v>
      </c>
    </row>
    <row r="866" customFormat="false" ht="15" hidden="false" customHeight="false" outlineLevel="0" collapsed="false">
      <c r="A866" s="39" t="s">
        <v>879</v>
      </c>
      <c r="B866" s="39" t="s">
        <v>911</v>
      </c>
      <c r="C866" s="39" t="s">
        <v>894</v>
      </c>
      <c r="D866" s="39" t="s">
        <v>885</v>
      </c>
      <c r="E866" s="39" t="s">
        <v>883</v>
      </c>
      <c r="F866" s="39"/>
      <c r="G866" s="58" t="n">
        <v>1369</v>
      </c>
      <c r="H866" s="34" t="n">
        <f aca="false">G866*2</f>
        <v>2738</v>
      </c>
      <c r="I866" s="39" t="str">
        <f aca="false">A866&amp;"|"&amp;B866&amp;"|"&amp;D866&amp;"|"&amp;E866&amp;F866</f>
        <v>auto|McAlester|scenario B (age 21)|male</v>
      </c>
      <c r="J866" s="34" t="n">
        <f aca="false" t="array" ref="J866:J866">MEDIAN(IF($I$4:$I$1803=I866,$H$4:$H$1803))</f>
        <v>3026</v>
      </c>
      <c r="K866" s="59" t="n">
        <f aca="false">H866/J866</f>
        <v>0.90482485128883</v>
      </c>
    </row>
    <row r="867" customFormat="false" ht="15" hidden="false" customHeight="false" outlineLevel="0" collapsed="false">
      <c r="A867" s="39" t="s">
        <v>879</v>
      </c>
      <c r="B867" s="39" t="s">
        <v>911</v>
      </c>
      <c r="C867" s="39" t="s">
        <v>894</v>
      </c>
      <c r="D867" s="39" t="s">
        <v>885</v>
      </c>
      <c r="E867" s="39" t="s">
        <v>884</v>
      </c>
      <c r="F867" s="39"/>
      <c r="G867" s="58" t="n">
        <v>1314</v>
      </c>
      <c r="H867" s="34" t="n">
        <f aca="false">G867*2</f>
        <v>2628</v>
      </c>
      <c r="I867" s="39" t="str">
        <f aca="false">A867&amp;"|"&amp;B867&amp;"|"&amp;D867&amp;"|"&amp;E867&amp;F867</f>
        <v>auto|McAlester|scenario B (age 21)|female</v>
      </c>
      <c r="J867" s="34" t="n">
        <f aca="false" t="array" ref="J867:J867">MEDIAN(IF($I$4:$I$1803=I867,$H$4:$H$1803))</f>
        <v>2705</v>
      </c>
      <c r="K867" s="59" t="n">
        <f aca="false">H867/J867</f>
        <v>0.971534195933457</v>
      </c>
    </row>
    <row r="868" customFormat="false" ht="15" hidden="false" customHeight="false" outlineLevel="0" collapsed="false">
      <c r="A868" s="39" t="s">
        <v>879</v>
      </c>
      <c r="B868" s="39" t="s">
        <v>911</v>
      </c>
      <c r="C868" s="39" t="s">
        <v>894</v>
      </c>
      <c r="D868" s="39" t="s">
        <v>886</v>
      </c>
      <c r="E868" s="39" t="s">
        <v>883</v>
      </c>
      <c r="F868" s="39"/>
      <c r="G868" s="58" t="n">
        <v>777</v>
      </c>
      <c r="H868" s="34" t="n">
        <f aca="false">G868*2</f>
        <v>1554</v>
      </c>
      <c r="I868" s="39" t="str">
        <f aca="false">A868&amp;"|"&amp;B868&amp;"|"&amp;D868&amp;"|"&amp;E868&amp;F868</f>
        <v>auto|McAlester|scenario C (age 36)|male</v>
      </c>
      <c r="J868" s="34" t="n">
        <f aca="false" t="array" ref="J868:J868">MEDIAN(IF($I$4:$I$1803=I868,$H$4:$H$1803))</f>
        <v>1788</v>
      </c>
      <c r="K868" s="59" t="n">
        <f aca="false">H868/J868</f>
        <v>0.869127516778524</v>
      </c>
    </row>
    <row r="869" customFormat="false" ht="15" hidden="false" customHeight="false" outlineLevel="0" collapsed="false">
      <c r="A869" s="39" t="s">
        <v>879</v>
      </c>
      <c r="B869" s="39" t="s">
        <v>911</v>
      </c>
      <c r="C869" s="39" t="s">
        <v>894</v>
      </c>
      <c r="D869" s="39" t="s">
        <v>886</v>
      </c>
      <c r="E869" s="39" t="s">
        <v>884</v>
      </c>
      <c r="F869" s="39"/>
      <c r="G869" s="58" t="n">
        <v>757</v>
      </c>
      <c r="H869" s="34" t="n">
        <f aca="false">G869*2</f>
        <v>1514</v>
      </c>
      <c r="I869" s="39" t="str">
        <f aca="false">A869&amp;"|"&amp;B869&amp;"|"&amp;D869&amp;"|"&amp;E869&amp;F869</f>
        <v>auto|McAlester|scenario C (age 36)|female</v>
      </c>
      <c r="J869" s="34" t="n">
        <f aca="false" t="array" ref="J869:J869">MEDIAN(IF($I$4:$I$1803=I869,$H$4:$H$1803))</f>
        <v>1761</v>
      </c>
      <c r="K869" s="59" t="n">
        <f aca="false">H869/J869</f>
        <v>0.859738784781374</v>
      </c>
    </row>
    <row r="870" customFormat="false" ht="15" hidden="false" customHeight="false" outlineLevel="0" collapsed="false">
      <c r="A870" s="39" t="s">
        <v>879</v>
      </c>
      <c r="B870" s="39" t="s">
        <v>911</v>
      </c>
      <c r="C870" s="39" t="s">
        <v>894</v>
      </c>
      <c r="D870" s="39" t="s">
        <v>887</v>
      </c>
      <c r="E870" s="39" t="s">
        <v>883</v>
      </c>
      <c r="F870" s="39"/>
      <c r="G870" s="58" t="n">
        <v>690</v>
      </c>
      <c r="H870" s="34" t="n">
        <f aca="false">G870*2</f>
        <v>1380</v>
      </c>
      <c r="I870" s="39" t="str">
        <f aca="false">A870&amp;"|"&amp;B870&amp;"|"&amp;D870&amp;"|"&amp;E870&amp;F870</f>
        <v>auto|McAlester|scenario D (age 55)|male</v>
      </c>
      <c r="J870" s="34" t="n">
        <f aca="false" t="array" ref="J870:J870">MEDIAN(IF($I$4:$I$1803=I870,$H$4:$H$1803))</f>
        <v>1605</v>
      </c>
      <c r="K870" s="59" t="n">
        <f aca="false">H870/J870</f>
        <v>0.85981308411215</v>
      </c>
    </row>
    <row r="871" customFormat="false" ht="15" hidden="false" customHeight="false" outlineLevel="0" collapsed="false">
      <c r="A871" s="39" t="s">
        <v>879</v>
      </c>
      <c r="B871" s="39" t="s">
        <v>911</v>
      </c>
      <c r="C871" s="39" t="s">
        <v>894</v>
      </c>
      <c r="D871" s="39" t="s">
        <v>887</v>
      </c>
      <c r="E871" s="39" t="s">
        <v>884</v>
      </c>
      <c r="F871" s="39"/>
      <c r="G871" s="58" t="n">
        <v>685</v>
      </c>
      <c r="H871" s="34" t="n">
        <f aca="false">G871*2</f>
        <v>1370</v>
      </c>
      <c r="I871" s="39" t="str">
        <f aca="false">A871&amp;"|"&amp;B871&amp;"|"&amp;D871&amp;"|"&amp;E871&amp;F871</f>
        <v>auto|McAlester|scenario D (age 55)|female</v>
      </c>
      <c r="J871" s="34" t="n">
        <f aca="false" t="array" ref="J871:J871">MEDIAN(IF($I$4:$I$1803=I871,$H$4:$H$1803))</f>
        <v>1587</v>
      </c>
      <c r="K871" s="59" t="n">
        <f aca="false">H871/J871</f>
        <v>0.863264020163831</v>
      </c>
    </row>
    <row r="872" customFormat="false" ht="15" hidden="false" customHeight="false" outlineLevel="0" collapsed="false">
      <c r="A872" s="39" t="s">
        <v>879</v>
      </c>
      <c r="B872" s="39" t="s">
        <v>911</v>
      </c>
      <c r="C872" s="39" t="s">
        <v>894</v>
      </c>
      <c r="D872" s="39" t="s">
        <v>888</v>
      </c>
      <c r="E872" s="39" t="s">
        <v>883</v>
      </c>
      <c r="F872" s="39"/>
      <c r="G872" s="58" t="n">
        <v>695</v>
      </c>
      <c r="H872" s="34" t="n">
        <f aca="false">G872*2</f>
        <v>1390</v>
      </c>
      <c r="I872" s="39" t="str">
        <f aca="false">A872&amp;"|"&amp;B872&amp;"|"&amp;D872&amp;"|"&amp;E872&amp;F872</f>
        <v>auto|McAlester|scenario E (age 70)|male</v>
      </c>
      <c r="J872" s="34" t="n">
        <f aca="false" t="array" ref="J872:J872">MEDIAN(IF($I$4:$I$1803=I872,$H$4:$H$1803))</f>
        <v>1392</v>
      </c>
      <c r="K872" s="59" t="n">
        <f aca="false">H872/J872</f>
        <v>0.998563218390805</v>
      </c>
    </row>
    <row r="873" customFormat="false" ht="15" hidden="false" customHeight="false" outlineLevel="0" collapsed="false">
      <c r="A873" s="39" t="s">
        <v>879</v>
      </c>
      <c r="B873" s="39" t="s">
        <v>911</v>
      </c>
      <c r="C873" s="39" t="s">
        <v>894</v>
      </c>
      <c r="D873" s="39" t="s">
        <v>888</v>
      </c>
      <c r="E873" s="39" t="s">
        <v>884</v>
      </c>
      <c r="F873" s="39"/>
      <c r="G873" s="58" t="n">
        <v>697</v>
      </c>
      <c r="H873" s="34" t="n">
        <f aca="false">G873*2</f>
        <v>1394</v>
      </c>
      <c r="I873" s="39" t="str">
        <f aca="false">A873&amp;"|"&amp;B873&amp;"|"&amp;D873&amp;"|"&amp;E873&amp;F873</f>
        <v>auto|McAlester|scenario E (age 70)|female</v>
      </c>
      <c r="J873" s="34" t="n">
        <f aca="false" t="array" ref="J873:J873">MEDIAN(IF($I$4:$I$1803=I873,$H$4:$H$1803))</f>
        <v>1353</v>
      </c>
      <c r="K873" s="59" t="n">
        <f aca="false">H873/J873</f>
        <v>1.03030303030303</v>
      </c>
    </row>
    <row r="874" customFormat="false" ht="15" hidden="false" customHeight="false" outlineLevel="0" collapsed="false">
      <c r="A874" s="39" t="s">
        <v>879</v>
      </c>
      <c r="B874" s="39" t="s">
        <v>911</v>
      </c>
      <c r="C874" s="39" t="s">
        <v>895</v>
      </c>
      <c r="D874" s="39" t="s">
        <v>882</v>
      </c>
      <c r="E874" s="39" t="s">
        <v>883</v>
      </c>
      <c r="F874" s="39"/>
      <c r="G874" s="58" t="n">
        <v>1902</v>
      </c>
      <c r="H874" s="34" t="n">
        <f aca="false">G874*2</f>
        <v>3804</v>
      </c>
      <c r="I874" s="39" t="str">
        <f aca="false">A874&amp;"|"&amp;B874&amp;"|"&amp;D874&amp;"|"&amp;E874&amp;F874</f>
        <v>auto|McAlester|scenario A (age 16)|male</v>
      </c>
      <c r="J874" s="34" t="n">
        <f aca="false" t="array" ref="J874:J874">MEDIAN(IF($I$4:$I$1803=I874,$H$4:$H$1803))</f>
        <v>7266</v>
      </c>
      <c r="K874" s="59" t="n">
        <f aca="false">H874/J874</f>
        <v>0.523534269199009</v>
      </c>
    </row>
    <row r="875" customFormat="false" ht="15" hidden="false" customHeight="false" outlineLevel="0" collapsed="false">
      <c r="A875" s="39" t="s">
        <v>879</v>
      </c>
      <c r="B875" s="39" t="s">
        <v>911</v>
      </c>
      <c r="C875" s="39" t="s">
        <v>895</v>
      </c>
      <c r="D875" s="39" t="s">
        <v>882</v>
      </c>
      <c r="E875" s="39" t="s">
        <v>884</v>
      </c>
      <c r="F875" s="39"/>
      <c r="G875" s="58" t="n">
        <v>1909</v>
      </c>
      <c r="H875" s="34" t="n">
        <f aca="false">G875*2</f>
        <v>3818</v>
      </c>
      <c r="I875" s="39" t="str">
        <f aca="false">A875&amp;"|"&amp;B875&amp;"|"&amp;D875&amp;"|"&amp;E875&amp;F875</f>
        <v>auto|McAlester|scenario A (age 16)|female</v>
      </c>
      <c r="J875" s="34" t="n">
        <f aca="false" t="array" ref="J875:J875">MEDIAN(IF($I$4:$I$1803=I875,$H$4:$H$1803))</f>
        <v>5984</v>
      </c>
      <c r="K875" s="59" t="n">
        <f aca="false">H875/J875</f>
        <v>0.638034759358289</v>
      </c>
    </row>
    <row r="876" customFormat="false" ht="15" hidden="false" customHeight="false" outlineLevel="0" collapsed="false">
      <c r="A876" s="39" t="s">
        <v>879</v>
      </c>
      <c r="B876" s="39" t="s">
        <v>911</v>
      </c>
      <c r="C876" s="39" t="s">
        <v>895</v>
      </c>
      <c r="D876" s="39" t="s">
        <v>885</v>
      </c>
      <c r="E876" s="39" t="s">
        <v>883</v>
      </c>
      <c r="F876" s="39"/>
      <c r="G876" s="58" t="n">
        <v>695</v>
      </c>
      <c r="H876" s="34" t="n">
        <f aca="false">G876*2</f>
        <v>1390</v>
      </c>
      <c r="I876" s="39" t="str">
        <f aca="false">A876&amp;"|"&amp;B876&amp;"|"&amp;D876&amp;"|"&amp;E876&amp;F876</f>
        <v>auto|McAlester|scenario B (age 21)|male</v>
      </c>
      <c r="J876" s="34" t="n">
        <f aca="false" t="array" ref="J876:J876">MEDIAN(IF($I$4:$I$1803=I876,$H$4:$H$1803))</f>
        <v>3026</v>
      </c>
      <c r="K876" s="59" t="n">
        <f aca="false">H876/J876</f>
        <v>0.459352280237938</v>
      </c>
    </row>
    <row r="877" customFormat="false" ht="15" hidden="false" customHeight="false" outlineLevel="0" collapsed="false">
      <c r="A877" s="39" t="s">
        <v>879</v>
      </c>
      <c r="B877" s="39" t="s">
        <v>911</v>
      </c>
      <c r="C877" s="39" t="s">
        <v>895</v>
      </c>
      <c r="D877" s="39" t="s">
        <v>885</v>
      </c>
      <c r="E877" s="39" t="s">
        <v>884</v>
      </c>
      <c r="F877" s="39"/>
      <c r="G877" s="58" t="n">
        <v>690</v>
      </c>
      <c r="H877" s="34" t="n">
        <f aca="false">G877*2</f>
        <v>1380</v>
      </c>
      <c r="I877" s="39" t="str">
        <f aca="false">A877&amp;"|"&amp;B877&amp;"|"&amp;D877&amp;"|"&amp;E877&amp;F877</f>
        <v>auto|McAlester|scenario B (age 21)|female</v>
      </c>
      <c r="J877" s="34" t="n">
        <f aca="false" t="array" ref="J877:J877">MEDIAN(IF($I$4:$I$1803=I877,$H$4:$H$1803))</f>
        <v>2705</v>
      </c>
      <c r="K877" s="59" t="n">
        <f aca="false">H877/J877</f>
        <v>0.510166358595194</v>
      </c>
    </row>
    <row r="878" customFormat="false" ht="15" hidden="false" customHeight="false" outlineLevel="0" collapsed="false">
      <c r="A878" s="39" t="s">
        <v>879</v>
      </c>
      <c r="B878" s="39" t="s">
        <v>911</v>
      </c>
      <c r="C878" s="39" t="s">
        <v>895</v>
      </c>
      <c r="D878" s="39" t="s">
        <v>886</v>
      </c>
      <c r="E878" s="39" t="s">
        <v>883</v>
      </c>
      <c r="F878" s="39"/>
      <c r="G878" s="58" t="n">
        <v>438</v>
      </c>
      <c r="H878" s="34" t="n">
        <f aca="false">G878*2</f>
        <v>876</v>
      </c>
      <c r="I878" s="39" t="str">
        <f aca="false">A878&amp;"|"&amp;B878&amp;"|"&amp;D878&amp;"|"&amp;E878&amp;F878</f>
        <v>auto|McAlester|scenario C (age 36)|male</v>
      </c>
      <c r="J878" s="34" t="n">
        <f aca="false" t="array" ref="J878:J878">MEDIAN(IF($I$4:$I$1803=I878,$H$4:$H$1803))</f>
        <v>1788</v>
      </c>
      <c r="K878" s="59" t="n">
        <f aca="false">H878/J878</f>
        <v>0.48993288590604</v>
      </c>
    </row>
    <row r="879" customFormat="false" ht="15" hidden="false" customHeight="false" outlineLevel="0" collapsed="false">
      <c r="A879" s="39" t="s">
        <v>879</v>
      </c>
      <c r="B879" s="39" t="s">
        <v>911</v>
      </c>
      <c r="C879" s="39" t="s">
        <v>895</v>
      </c>
      <c r="D879" s="39" t="s">
        <v>886</v>
      </c>
      <c r="E879" s="39" t="s">
        <v>884</v>
      </c>
      <c r="F879" s="39"/>
      <c r="G879" s="58" t="n">
        <v>438</v>
      </c>
      <c r="H879" s="34" t="n">
        <f aca="false">G879*2</f>
        <v>876</v>
      </c>
      <c r="I879" s="39" t="str">
        <f aca="false">A879&amp;"|"&amp;B879&amp;"|"&amp;D879&amp;"|"&amp;E879&amp;F879</f>
        <v>auto|McAlester|scenario C (age 36)|female</v>
      </c>
      <c r="J879" s="34" t="n">
        <f aca="false" t="array" ref="J879:J879">MEDIAN(IF($I$4:$I$1803=I879,$H$4:$H$1803))</f>
        <v>1761</v>
      </c>
      <c r="K879" s="59" t="n">
        <f aca="false">H879/J879</f>
        <v>0.497444633730835</v>
      </c>
    </row>
    <row r="880" customFormat="false" ht="15" hidden="false" customHeight="false" outlineLevel="0" collapsed="false">
      <c r="A880" s="39" t="s">
        <v>879</v>
      </c>
      <c r="B880" s="39" t="s">
        <v>911</v>
      </c>
      <c r="C880" s="39" t="s">
        <v>895</v>
      </c>
      <c r="D880" s="39" t="s">
        <v>887</v>
      </c>
      <c r="E880" s="39" t="s">
        <v>883</v>
      </c>
      <c r="F880" s="39"/>
      <c r="G880" s="58" t="n">
        <v>409</v>
      </c>
      <c r="H880" s="34" t="n">
        <f aca="false">G880*2</f>
        <v>818</v>
      </c>
      <c r="I880" s="39" t="str">
        <f aca="false">A880&amp;"|"&amp;B880&amp;"|"&amp;D880&amp;"|"&amp;E880&amp;F880</f>
        <v>auto|McAlester|scenario D (age 55)|male</v>
      </c>
      <c r="J880" s="34" t="n">
        <f aca="false" t="array" ref="J880:J880">MEDIAN(IF($I$4:$I$1803=I880,$H$4:$H$1803))</f>
        <v>1605</v>
      </c>
      <c r="K880" s="59" t="n">
        <f aca="false">H880/J880</f>
        <v>0.509657320872274</v>
      </c>
    </row>
    <row r="881" customFormat="false" ht="15" hidden="false" customHeight="false" outlineLevel="0" collapsed="false">
      <c r="A881" s="39" t="s">
        <v>879</v>
      </c>
      <c r="B881" s="39" t="s">
        <v>911</v>
      </c>
      <c r="C881" s="39" t="s">
        <v>895</v>
      </c>
      <c r="D881" s="39" t="s">
        <v>887</v>
      </c>
      <c r="E881" s="39" t="s">
        <v>884</v>
      </c>
      <c r="F881" s="39"/>
      <c r="G881" s="58" t="n">
        <v>409</v>
      </c>
      <c r="H881" s="34" t="n">
        <f aca="false">G881*2</f>
        <v>818</v>
      </c>
      <c r="I881" s="39" t="str">
        <f aca="false">A881&amp;"|"&amp;B881&amp;"|"&amp;D881&amp;"|"&amp;E881&amp;F881</f>
        <v>auto|McAlester|scenario D (age 55)|female</v>
      </c>
      <c r="J881" s="34" t="n">
        <f aca="false" t="array" ref="J881:J881">MEDIAN(IF($I$4:$I$1803=I881,$H$4:$H$1803))</f>
        <v>1587</v>
      </c>
      <c r="K881" s="59" t="n">
        <f aca="false">H881/J881</f>
        <v>0.515437933207309</v>
      </c>
    </row>
    <row r="882" customFormat="false" ht="15" hidden="false" customHeight="false" outlineLevel="0" collapsed="false">
      <c r="A882" s="39" t="s">
        <v>879</v>
      </c>
      <c r="B882" s="39" t="s">
        <v>911</v>
      </c>
      <c r="C882" s="39" t="s">
        <v>895</v>
      </c>
      <c r="D882" s="39" t="s">
        <v>888</v>
      </c>
      <c r="E882" s="39" t="s">
        <v>883</v>
      </c>
      <c r="F882" s="39"/>
      <c r="G882" s="58" t="n">
        <v>413</v>
      </c>
      <c r="H882" s="34" t="n">
        <f aca="false">G882*2</f>
        <v>826</v>
      </c>
      <c r="I882" s="39" t="str">
        <f aca="false">A882&amp;"|"&amp;B882&amp;"|"&amp;D882&amp;"|"&amp;E882&amp;F882</f>
        <v>auto|McAlester|scenario E (age 70)|male</v>
      </c>
      <c r="J882" s="34" t="n">
        <f aca="false" t="array" ref="J882:J882">MEDIAN(IF($I$4:$I$1803=I882,$H$4:$H$1803))</f>
        <v>1392</v>
      </c>
      <c r="K882" s="59" t="n">
        <f aca="false">H882/J882</f>
        <v>0.593390804597701</v>
      </c>
    </row>
    <row r="883" customFormat="false" ht="15" hidden="false" customHeight="false" outlineLevel="0" collapsed="false">
      <c r="A883" s="39" t="s">
        <v>879</v>
      </c>
      <c r="B883" s="39" t="s">
        <v>911</v>
      </c>
      <c r="C883" s="39" t="s">
        <v>895</v>
      </c>
      <c r="D883" s="39" t="s">
        <v>888</v>
      </c>
      <c r="E883" s="39" t="s">
        <v>884</v>
      </c>
      <c r="F883" s="39"/>
      <c r="G883" s="58" t="n">
        <v>413</v>
      </c>
      <c r="H883" s="34" t="n">
        <f aca="false">G883*2</f>
        <v>826</v>
      </c>
      <c r="I883" s="39" t="str">
        <f aca="false">A883&amp;"|"&amp;B883&amp;"|"&amp;D883&amp;"|"&amp;E883&amp;F883</f>
        <v>auto|McAlester|scenario E (age 70)|female</v>
      </c>
      <c r="J883" s="34" t="n">
        <f aca="false" t="array" ref="J883:J883">MEDIAN(IF($I$4:$I$1803=I883,$H$4:$H$1803))</f>
        <v>1353</v>
      </c>
      <c r="K883" s="59" t="n">
        <f aca="false">H883/J883</f>
        <v>0.61049519586105</v>
      </c>
    </row>
    <row r="884" customFormat="false" ht="15" hidden="false" customHeight="false" outlineLevel="0" collapsed="false">
      <c r="A884" s="39" t="s">
        <v>879</v>
      </c>
      <c r="B884" s="39" t="s">
        <v>911</v>
      </c>
      <c r="C884" s="39" t="s">
        <v>896</v>
      </c>
      <c r="D884" s="39" t="s">
        <v>882</v>
      </c>
      <c r="E884" s="39" t="s">
        <v>883</v>
      </c>
      <c r="F884" s="39"/>
      <c r="G884" s="58" t="n">
        <v>3732</v>
      </c>
      <c r="H884" s="34" t="n">
        <f aca="false">G884*2</f>
        <v>7464</v>
      </c>
      <c r="I884" s="39" t="str">
        <f aca="false">A884&amp;"|"&amp;B884&amp;"|"&amp;D884&amp;"|"&amp;E884&amp;F884</f>
        <v>auto|McAlester|scenario A (age 16)|male</v>
      </c>
      <c r="J884" s="34" t="n">
        <f aca="false" t="array" ref="J884:J884">MEDIAN(IF($I$4:$I$1803=I884,$H$4:$H$1803))</f>
        <v>7266</v>
      </c>
      <c r="K884" s="59" t="n">
        <f aca="false">H884/J884</f>
        <v>1.02725020644096</v>
      </c>
    </row>
    <row r="885" customFormat="false" ht="15" hidden="false" customHeight="false" outlineLevel="0" collapsed="false">
      <c r="A885" s="39" t="s">
        <v>879</v>
      </c>
      <c r="B885" s="39" t="s">
        <v>911</v>
      </c>
      <c r="C885" s="39" t="s">
        <v>896</v>
      </c>
      <c r="D885" s="39" t="s">
        <v>882</v>
      </c>
      <c r="E885" s="39" t="s">
        <v>884</v>
      </c>
      <c r="F885" s="39"/>
      <c r="G885" s="58" t="n">
        <v>2324</v>
      </c>
      <c r="H885" s="34" t="n">
        <f aca="false">G885*2</f>
        <v>4648</v>
      </c>
      <c r="I885" s="39" t="str">
        <f aca="false">A885&amp;"|"&amp;B885&amp;"|"&amp;D885&amp;"|"&amp;E885&amp;F885</f>
        <v>auto|McAlester|scenario A (age 16)|female</v>
      </c>
      <c r="J885" s="34" t="n">
        <f aca="false" t="array" ref="J885:J885">MEDIAN(IF($I$4:$I$1803=I885,$H$4:$H$1803))</f>
        <v>5984</v>
      </c>
      <c r="K885" s="59" t="n">
        <f aca="false">H885/J885</f>
        <v>0.776737967914439</v>
      </c>
    </row>
    <row r="886" customFormat="false" ht="15" hidden="false" customHeight="false" outlineLevel="0" collapsed="false">
      <c r="A886" s="39" t="s">
        <v>879</v>
      </c>
      <c r="B886" s="39" t="s">
        <v>911</v>
      </c>
      <c r="C886" s="39" t="s">
        <v>896</v>
      </c>
      <c r="D886" s="39" t="s">
        <v>885</v>
      </c>
      <c r="E886" s="39" t="s">
        <v>883</v>
      </c>
      <c r="F886" s="39"/>
      <c r="G886" s="58" t="n">
        <v>2151</v>
      </c>
      <c r="H886" s="34" t="n">
        <f aca="false">G886*2</f>
        <v>4302</v>
      </c>
      <c r="I886" s="39" t="str">
        <f aca="false">A886&amp;"|"&amp;B886&amp;"|"&amp;D886&amp;"|"&amp;E886&amp;F886</f>
        <v>auto|McAlester|scenario B (age 21)|male</v>
      </c>
      <c r="J886" s="34" t="n">
        <f aca="false" t="array" ref="J886:J886">MEDIAN(IF($I$4:$I$1803=I886,$H$4:$H$1803))</f>
        <v>3026</v>
      </c>
      <c r="K886" s="59" t="n">
        <f aca="false">H886/J886</f>
        <v>1.4216787838731</v>
      </c>
    </row>
    <row r="887" customFormat="false" ht="15" hidden="false" customHeight="false" outlineLevel="0" collapsed="false">
      <c r="A887" s="39" t="s">
        <v>879</v>
      </c>
      <c r="B887" s="39" t="s">
        <v>911</v>
      </c>
      <c r="C887" s="39" t="s">
        <v>896</v>
      </c>
      <c r="D887" s="39" t="s">
        <v>885</v>
      </c>
      <c r="E887" s="39" t="s">
        <v>884</v>
      </c>
      <c r="F887" s="39"/>
      <c r="G887" s="58" t="n">
        <v>1597</v>
      </c>
      <c r="H887" s="34" t="n">
        <f aca="false">G887*2</f>
        <v>3194</v>
      </c>
      <c r="I887" s="39" t="str">
        <f aca="false">A887&amp;"|"&amp;B887&amp;"|"&amp;D887&amp;"|"&amp;E887&amp;F887</f>
        <v>auto|McAlester|scenario B (age 21)|female</v>
      </c>
      <c r="J887" s="34" t="n">
        <f aca="false" t="array" ref="J887:J887">MEDIAN(IF($I$4:$I$1803=I887,$H$4:$H$1803))</f>
        <v>2705</v>
      </c>
      <c r="K887" s="59" t="n">
        <f aca="false">H887/J887</f>
        <v>1.18077634011091</v>
      </c>
    </row>
    <row r="888" customFormat="false" ht="15" hidden="false" customHeight="false" outlineLevel="0" collapsed="false">
      <c r="A888" s="39" t="s">
        <v>879</v>
      </c>
      <c r="B888" s="39" t="s">
        <v>911</v>
      </c>
      <c r="C888" s="39" t="s">
        <v>896</v>
      </c>
      <c r="D888" s="39" t="s">
        <v>886</v>
      </c>
      <c r="E888" s="39" t="s">
        <v>883</v>
      </c>
      <c r="F888" s="39"/>
      <c r="G888" s="58" t="n">
        <v>967</v>
      </c>
      <c r="H888" s="34" t="n">
        <f aca="false">G888*2</f>
        <v>1934</v>
      </c>
      <c r="I888" s="39" t="str">
        <f aca="false">A888&amp;"|"&amp;B888&amp;"|"&amp;D888&amp;"|"&amp;E888&amp;F888</f>
        <v>auto|McAlester|scenario C (age 36)|male</v>
      </c>
      <c r="J888" s="34" t="n">
        <f aca="false" t="array" ref="J888:J888">MEDIAN(IF($I$4:$I$1803=I888,$H$4:$H$1803))</f>
        <v>1788</v>
      </c>
      <c r="K888" s="59" t="n">
        <f aca="false">H888/J888</f>
        <v>1.08165548098434</v>
      </c>
    </row>
    <row r="889" customFormat="false" ht="15" hidden="false" customHeight="false" outlineLevel="0" collapsed="false">
      <c r="A889" s="39" t="s">
        <v>879</v>
      </c>
      <c r="B889" s="39" t="s">
        <v>911</v>
      </c>
      <c r="C889" s="39" t="s">
        <v>896</v>
      </c>
      <c r="D889" s="39" t="s">
        <v>886</v>
      </c>
      <c r="E889" s="39" t="s">
        <v>884</v>
      </c>
      <c r="F889" s="39"/>
      <c r="G889" s="58" t="n">
        <v>967</v>
      </c>
      <c r="H889" s="34" t="n">
        <f aca="false">G889*2</f>
        <v>1934</v>
      </c>
      <c r="I889" s="39" t="str">
        <f aca="false">A889&amp;"|"&amp;B889&amp;"|"&amp;D889&amp;"|"&amp;E889&amp;F889</f>
        <v>auto|McAlester|scenario C (age 36)|female</v>
      </c>
      <c r="J889" s="34" t="n">
        <f aca="false" t="array" ref="J889:J889">MEDIAN(IF($I$4:$I$1803=I889,$H$4:$H$1803))</f>
        <v>1761</v>
      </c>
      <c r="K889" s="59" t="n">
        <f aca="false">H889/J889</f>
        <v>1.09823963657013</v>
      </c>
    </row>
    <row r="890" customFormat="false" ht="15" hidden="false" customHeight="false" outlineLevel="0" collapsed="false">
      <c r="A890" s="39" t="s">
        <v>879</v>
      </c>
      <c r="B890" s="39" t="s">
        <v>911</v>
      </c>
      <c r="C890" s="39" t="s">
        <v>896</v>
      </c>
      <c r="D890" s="39" t="s">
        <v>887</v>
      </c>
      <c r="E890" s="39" t="s">
        <v>883</v>
      </c>
      <c r="F890" s="39"/>
      <c r="G890" s="58" t="n">
        <v>870</v>
      </c>
      <c r="H890" s="34" t="n">
        <f aca="false">G890*2</f>
        <v>1740</v>
      </c>
      <c r="I890" s="39" t="str">
        <f aca="false">A890&amp;"|"&amp;B890&amp;"|"&amp;D890&amp;"|"&amp;E890&amp;F890</f>
        <v>auto|McAlester|scenario D (age 55)|male</v>
      </c>
      <c r="J890" s="34" t="n">
        <f aca="false" t="array" ref="J890:J890">MEDIAN(IF($I$4:$I$1803=I890,$H$4:$H$1803))</f>
        <v>1605</v>
      </c>
      <c r="K890" s="59" t="n">
        <f aca="false">H890/J890</f>
        <v>1.08411214953271</v>
      </c>
    </row>
    <row r="891" customFormat="false" ht="15" hidden="false" customHeight="false" outlineLevel="0" collapsed="false">
      <c r="A891" s="39" t="s">
        <v>879</v>
      </c>
      <c r="B891" s="39" t="s">
        <v>911</v>
      </c>
      <c r="C891" s="39" t="s">
        <v>896</v>
      </c>
      <c r="D891" s="39" t="s">
        <v>887</v>
      </c>
      <c r="E891" s="39" t="s">
        <v>884</v>
      </c>
      <c r="F891" s="39"/>
      <c r="G891" s="58" t="n">
        <v>870</v>
      </c>
      <c r="H891" s="34" t="n">
        <f aca="false">G891*2</f>
        <v>1740</v>
      </c>
      <c r="I891" s="39" t="str">
        <f aca="false">A891&amp;"|"&amp;B891&amp;"|"&amp;D891&amp;"|"&amp;E891&amp;F891</f>
        <v>auto|McAlester|scenario D (age 55)|female</v>
      </c>
      <c r="J891" s="34" t="n">
        <f aca="false" t="array" ref="J891:J891">MEDIAN(IF($I$4:$I$1803=I891,$H$4:$H$1803))</f>
        <v>1587</v>
      </c>
      <c r="K891" s="59" t="n">
        <f aca="false">H891/J891</f>
        <v>1.09640831758034</v>
      </c>
    </row>
    <row r="892" customFormat="false" ht="15" hidden="false" customHeight="false" outlineLevel="0" collapsed="false">
      <c r="A892" s="39" t="s">
        <v>879</v>
      </c>
      <c r="B892" s="39" t="s">
        <v>911</v>
      </c>
      <c r="C892" s="39" t="s">
        <v>896</v>
      </c>
      <c r="D892" s="39" t="s">
        <v>888</v>
      </c>
      <c r="E892" s="39" t="s">
        <v>883</v>
      </c>
      <c r="F892" s="39"/>
      <c r="G892" s="58" t="n">
        <v>793</v>
      </c>
      <c r="H892" s="34" t="n">
        <f aca="false">G892*2</f>
        <v>1586</v>
      </c>
      <c r="I892" s="39" t="str">
        <f aca="false">A892&amp;"|"&amp;B892&amp;"|"&amp;D892&amp;"|"&amp;E892&amp;F892</f>
        <v>auto|McAlester|scenario E (age 70)|male</v>
      </c>
      <c r="J892" s="34" t="n">
        <f aca="false" t="array" ref="J892:J892">MEDIAN(IF($I$4:$I$1803=I892,$H$4:$H$1803))</f>
        <v>1392</v>
      </c>
      <c r="K892" s="59" t="n">
        <f aca="false">H892/J892</f>
        <v>1.13936781609195</v>
      </c>
    </row>
    <row r="893" customFormat="false" ht="15" hidden="false" customHeight="false" outlineLevel="0" collapsed="false">
      <c r="A893" s="39" t="s">
        <v>879</v>
      </c>
      <c r="B893" s="39" t="s">
        <v>911</v>
      </c>
      <c r="C893" s="39" t="s">
        <v>896</v>
      </c>
      <c r="D893" s="39" t="s">
        <v>888</v>
      </c>
      <c r="E893" s="39" t="s">
        <v>884</v>
      </c>
      <c r="F893" s="39"/>
      <c r="G893" s="58" t="n">
        <v>793</v>
      </c>
      <c r="H893" s="34" t="n">
        <f aca="false">G893*2</f>
        <v>1586</v>
      </c>
      <c r="I893" s="39" t="str">
        <f aca="false">A893&amp;"|"&amp;B893&amp;"|"&amp;D893&amp;"|"&amp;E893&amp;F893</f>
        <v>auto|McAlester|scenario E (age 70)|female</v>
      </c>
      <c r="J893" s="34" t="n">
        <f aca="false" t="array" ref="J893:J893">MEDIAN(IF($I$4:$I$1803=I893,$H$4:$H$1803))</f>
        <v>1353</v>
      </c>
      <c r="K893" s="59" t="n">
        <f aca="false">H893/J893</f>
        <v>1.17220990391722</v>
      </c>
    </row>
    <row r="894" customFormat="false" ht="15" hidden="false" customHeight="false" outlineLevel="0" collapsed="false">
      <c r="A894" s="39" t="s">
        <v>879</v>
      </c>
      <c r="B894" s="39" t="s">
        <v>911</v>
      </c>
      <c r="C894" s="39" t="s">
        <v>897</v>
      </c>
      <c r="D894" s="39" t="s">
        <v>882</v>
      </c>
      <c r="E894" s="39" t="s">
        <v>883</v>
      </c>
      <c r="F894" s="39"/>
      <c r="G894" s="58" t="n">
        <v>3599</v>
      </c>
      <c r="H894" s="34" t="n">
        <f aca="false">G894*2</f>
        <v>7198</v>
      </c>
      <c r="I894" s="39" t="str">
        <f aca="false">A894&amp;"|"&amp;B894&amp;"|"&amp;D894&amp;"|"&amp;E894&amp;F894</f>
        <v>auto|McAlester|scenario A (age 16)|male</v>
      </c>
      <c r="J894" s="34" t="n">
        <f aca="false" t="array" ref="J894:J894">MEDIAN(IF($I$4:$I$1803=I894,$H$4:$H$1803))</f>
        <v>7266</v>
      </c>
      <c r="K894" s="59" t="n">
        <f aca="false">H894/J894</f>
        <v>0.990641343242499</v>
      </c>
    </row>
    <row r="895" customFormat="false" ht="15" hidden="false" customHeight="false" outlineLevel="0" collapsed="false">
      <c r="A895" s="39" t="s">
        <v>879</v>
      </c>
      <c r="B895" s="39" t="s">
        <v>911</v>
      </c>
      <c r="C895" s="39" t="s">
        <v>897</v>
      </c>
      <c r="D895" s="39" t="s">
        <v>882</v>
      </c>
      <c r="E895" s="39" t="s">
        <v>884</v>
      </c>
      <c r="F895" s="39"/>
      <c r="G895" s="58" t="n">
        <v>3192</v>
      </c>
      <c r="H895" s="34" t="n">
        <f aca="false">G895*2</f>
        <v>6384</v>
      </c>
      <c r="I895" s="39" t="str">
        <f aca="false">A895&amp;"|"&amp;B895&amp;"|"&amp;D895&amp;"|"&amp;E895&amp;F895</f>
        <v>auto|McAlester|scenario A (age 16)|female</v>
      </c>
      <c r="J895" s="34" t="n">
        <f aca="false" t="array" ref="J895:J895">MEDIAN(IF($I$4:$I$1803=I895,$H$4:$H$1803))</f>
        <v>5984</v>
      </c>
      <c r="K895" s="59" t="n">
        <f aca="false">H895/J895</f>
        <v>1.0668449197861</v>
      </c>
    </row>
    <row r="896" customFormat="false" ht="15" hidden="false" customHeight="false" outlineLevel="0" collapsed="false">
      <c r="A896" s="39" t="s">
        <v>879</v>
      </c>
      <c r="B896" s="39" t="s">
        <v>911</v>
      </c>
      <c r="C896" s="39" t="s">
        <v>897</v>
      </c>
      <c r="D896" s="39" t="s">
        <v>885</v>
      </c>
      <c r="E896" s="39" t="s">
        <v>883</v>
      </c>
      <c r="F896" s="39"/>
      <c r="G896" s="58" t="n">
        <v>1418</v>
      </c>
      <c r="H896" s="34" t="n">
        <f aca="false">G896*2</f>
        <v>2836</v>
      </c>
      <c r="I896" s="39" t="str">
        <f aca="false">A896&amp;"|"&amp;B896&amp;"|"&amp;D896&amp;"|"&amp;E896&amp;F896</f>
        <v>auto|McAlester|scenario B (age 21)|male</v>
      </c>
      <c r="J896" s="34" t="n">
        <f aca="false" t="array" ref="J896:J896">MEDIAN(IF($I$4:$I$1803=I896,$H$4:$H$1803))</f>
        <v>3026</v>
      </c>
      <c r="K896" s="59" t="n">
        <f aca="false">H896/J896</f>
        <v>0.937210839391937</v>
      </c>
    </row>
    <row r="897" customFormat="false" ht="15" hidden="false" customHeight="false" outlineLevel="0" collapsed="false">
      <c r="A897" s="39" t="s">
        <v>879</v>
      </c>
      <c r="B897" s="39" t="s">
        <v>911</v>
      </c>
      <c r="C897" s="39" t="s">
        <v>897</v>
      </c>
      <c r="D897" s="39" t="s">
        <v>885</v>
      </c>
      <c r="E897" s="39" t="s">
        <v>884</v>
      </c>
      <c r="F897" s="39"/>
      <c r="G897" s="58" t="n">
        <v>1224</v>
      </c>
      <c r="H897" s="34" t="n">
        <f aca="false">G897*2</f>
        <v>2448</v>
      </c>
      <c r="I897" s="39" t="str">
        <f aca="false">A897&amp;"|"&amp;B897&amp;"|"&amp;D897&amp;"|"&amp;E897&amp;F897</f>
        <v>auto|McAlester|scenario B (age 21)|female</v>
      </c>
      <c r="J897" s="34" t="n">
        <f aca="false" t="array" ref="J897:J897">MEDIAN(IF($I$4:$I$1803=I897,$H$4:$H$1803))</f>
        <v>2705</v>
      </c>
      <c r="K897" s="59" t="n">
        <f aca="false">H897/J897</f>
        <v>0.904990757855823</v>
      </c>
    </row>
    <row r="898" customFormat="false" ht="15" hidden="false" customHeight="false" outlineLevel="0" collapsed="false">
      <c r="A898" s="39" t="s">
        <v>879</v>
      </c>
      <c r="B898" s="39" t="s">
        <v>911</v>
      </c>
      <c r="C898" s="39" t="s">
        <v>897</v>
      </c>
      <c r="D898" s="39" t="s">
        <v>886</v>
      </c>
      <c r="E898" s="39" t="s">
        <v>883</v>
      </c>
      <c r="F898" s="39"/>
      <c r="G898" s="58" t="n">
        <v>842</v>
      </c>
      <c r="H898" s="34" t="n">
        <f aca="false">G898*2</f>
        <v>1684</v>
      </c>
      <c r="I898" s="39" t="str">
        <f aca="false">A898&amp;"|"&amp;B898&amp;"|"&amp;D898&amp;"|"&amp;E898&amp;F898</f>
        <v>auto|McAlester|scenario C (age 36)|male</v>
      </c>
      <c r="J898" s="34" t="n">
        <f aca="false" t="array" ref="J898:J898">MEDIAN(IF($I$4:$I$1803=I898,$H$4:$H$1803))</f>
        <v>1788</v>
      </c>
      <c r="K898" s="59" t="n">
        <f aca="false">H898/J898</f>
        <v>0.941834451901566</v>
      </c>
    </row>
    <row r="899" customFormat="false" ht="15" hidden="false" customHeight="false" outlineLevel="0" collapsed="false">
      <c r="A899" s="39" t="s">
        <v>879</v>
      </c>
      <c r="B899" s="39" t="s">
        <v>911</v>
      </c>
      <c r="C899" s="39" t="s">
        <v>897</v>
      </c>
      <c r="D899" s="39" t="s">
        <v>886</v>
      </c>
      <c r="E899" s="39" t="s">
        <v>884</v>
      </c>
      <c r="F899" s="39"/>
      <c r="G899" s="58" t="n">
        <v>812</v>
      </c>
      <c r="H899" s="34" t="n">
        <f aca="false">G899*2</f>
        <v>1624</v>
      </c>
      <c r="I899" s="39" t="str">
        <f aca="false">A899&amp;"|"&amp;B899&amp;"|"&amp;D899&amp;"|"&amp;E899&amp;F899</f>
        <v>auto|McAlester|scenario C (age 36)|female</v>
      </c>
      <c r="J899" s="34" t="n">
        <f aca="false" t="array" ref="J899:J899">MEDIAN(IF($I$4:$I$1803=I899,$H$4:$H$1803))</f>
        <v>1761</v>
      </c>
      <c r="K899" s="59" t="n">
        <f aca="false">H899/J899</f>
        <v>0.922203293583191</v>
      </c>
    </row>
    <row r="900" customFormat="false" ht="15" hidden="false" customHeight="false" outlineLevel="0" collapsed="false">
      <c r="A900" s="39" t="s">
        <v>879</v>
      </c>
      <c r="B900" s="39" t="s">
        <v>911</v>
      </c>
      <c r="C900" s="39" t="s">
        <v>897</v>
      </c>
      <c r="D900" s="39" t="s">
        <v>887</v>
      </c>
      <c r="E900" s="39" t="s">
        <v>883</v>
      </c>
      <c r="F900" s="39"/>
      <c r="G900" s="58" t="n">
        <v>712</v>
      </c>
      <c r="H900" s="34" t="n">
        <f aca="false">G900*2</f>
        <v>1424</v>
      </c>
      <c r="I900" s="39" t="str">
        <f aca="false">A900&amp;"|"&amp;B900&amp;"|"&amp;D900&amp;"|"&amp;E900&amp;F900</f>
        <v>auto|McAlester|scenario D (age 55)|male</v>
      </c>
      <c r="J900" s="34" t="n">
        <f aca="false" t="array" ref="J900:J900">MEDIAN(IF($I$4:$I$1803=I900,$H$4:$H$1803))</f>
        <v>1605</v>
      </c>
      <c r="K900" s="59" t="n">
        <f aca="false">H900/J900</f>
        <v>0.887227414330218</v>
      </c>
    </row>
    <row r="901" customFormat="false" ht="15" hidden="false" customHeight="false" outlineLevel="0" collapsed="false">
      <c r="A901" s="39" t="s">
        <v>879</v>
      </c>
      <c r="B901" s="39" t="s">
        <v>911</v>
      </c>
      <c r="C901" s="39" t="s">
        <v>897</v>
      </c>
      <c r="D901" s="39" t="s">
        <v>887</v>
      </c>
      <c r="E901" s="39" t="s">
        <v>884</v>
      </c>
      <c r="F901" s="39"/>
      <c r="G901" s="58" t="n">
        <v>651</v>
      </c>
      <c r="H901" s="34" t="n">
        <f aca="false">G901*2</f>
        <v>1302</v>
      </c>
      <c r="I901" s="39" t="str">
        <f aca="false">A901&amp;"|"&amp;B901&amp;"|"&amp;D901&amp;"|"&amp;E901&amp;F901</f>
        <v>auto|McAlester|scenario D (age 55)|female</v>
      </c>
      <c r="J901" s="34" t="n">
        <f aca="false" t="array" ref="J901:J901">MEDIAN(IF($I$4:$I$1803=I901,$H$4:$H$1803))</f>
        <v>1587</v>
      </c>
      <c r="K901" s="59" t="n">
        <f aca="false">H901/J901</f>
        <v>0.820415879017013</v>
      </c>
    </row>
    <row r="902" customFormat="false" ht="15" hidden="false" customHeight="false" outlineLevel="0" collapsed="false">
      <c r="A902" s="39" t="s">
        <v>879</v>
      </c>
      <c r="B902" s="39" t="s">
        <v>911</v>
      </c>
      <c r="C902" s="39" t="s">
        <v>897</v>
      </c>
      <c r="D902" s="39" t="s">
        <v>888</v>
      </c>
      <c r="E902" s="39" t="s">
        <v>883</v>
      </c>
      <c r="F902" s="39"/>
      <c r="G902" s="58" t="n">
        <v>697</v>
      </c>
      <c r="H902" s="34" t="n">
        <f aca="false">G902*2</f>
        <v>1394</v>
      </c>
      <c r="I902" s="39" t="str">
        <f aca="false">A902&amp;"|"&amp;B902&amp;"|"&amp;D902&amp;"|"&amp;E902&amp;F902</f>
        <v>auto|McAlester|scenario E (age 70)|male</v>
      </c>
      <c r="J902" s="34" t="n">
        <f aca="false" t="array" ref="J902:J902">MEDIAN(IF($I$4:$I$1803=I902,$H$4:$H$1803))</f>
        <v>1392</v>
      </c>
      <c r="K902" s="59" t="n">
        <f aca="false">H902/J902</f>
        <v>1.0014367816092</v>
      </c>
    </row>
    <row r="903" customFormat="false" ht="15" hidden="false" customHeight="false" outlineLevel="0" collapsed="false">
      <c r="A903" s="39" t="s">
        <v>879</v>
      </c>
      <c r="B903" s="39" t="s">
        <v>911</v>
      </c>
      <c r="C903" s="39" t="s">
        <v>897</v>
      </c>
      <c r="D903" s="39" t="s">
        <v>888</v>
      </c>
      <c r="E903" s="39" t="s">
        <v>884</v>
      </c>
      <c r="F903" s="39"/>
      <c r="G903" s="58" t="n">
        <v>656</v>
      </c>
      <c r="H903" s="34" t="n">
        <f aca="false">G903*2</f>
        <v>1312</v>
      </c>
      <c r="I903" s="39" t="str">
        <f aca="false">A903&amp;"|"&amp;B903&amp;"|"&amp;D903&amp;"|"&amp;E903&amp;F903</f>
        <v>auto|McAlester|scenario E (age 70)|female</v>
      </c>
      <c r="J903" s="34" t="n">
        <f aca="false" t="array" ref="J903:J903">MEDIAN(IF($I$4:$I$1803=I903,$H$4:$H$1803))</f>
        <v>1353</v>
      </c>
      <c r="K903" s="59" t="n">
        <f aca="false">H903/J903</f>
        <v>0.96969696969697</v>
      </c>
    </row>
    <row r="904" customFormat="false" ht="15" hidden="false" customHeight="false" outlineLevel="0" collapsed="false">
      <c r="A904" s="39" t="s">
        <v>879</v>
      </c>
      <c r="B904" s="39" t="s">
        <v>911</v>
      </c>
      <c r="C904" s="39" t="s">
        <v>898</v>
      </c>
      <c r="D904" s="39" t="s">
        <v>882</v>
      </c>
      <c r="E904" s="39" t="s">
        <v>883</v>
      </c>
      <c r="F904" s="39"/>
      <c r="G904" s="58" t="n">
        <v>3834</v>
      </c>
      <c r="H904" s="34" t="n">
        <f aca="false">G904*2</f>
        <v>7668</v>
      </c>
      <c r="I904" s="39" t="str">
        <f aca="false">A904&amp;"|"&amp;B904&amp;"|"&amp;D904&amp;"|"&amp;E904&amp;F904</f>
        <v>auto|McAlester|scenario A (age 16)|male</v>
      </c>
      <c r="J904" s="34" t="n">
        <f aca="false" t="array" ref="J904:J904">MEDIAN(IF($I$4:$I$1803=I904,$H$4:$H$1803))</f>
        <v>7266</v>
      </c>
      <c r="K904" s="59" t="n">
        <f aca="false">H904/J904</f>
        <v>1.05532617671346</v>
      </c>
    </row>
    <row r="905" customFormat="false" ht="15" hidden="false" customHeight="false" outlineLevel="0" collapsed="false">
      <c r="A905" s="39" t="s">
        <v>879</v>
      </c>
      <c r="B905" s="39" t="s">
        <v>911</v>
      </c>
      <c r="C905" s="39" t="s">
        <v>898</v>
      </c>
      <c r="D905" s="39" t="s">
        <v>882</v>
      </c>
      <c r="E905" s="39" t="s">
        <v>884</v>
      </c>
      <c r="F905" s="39"/>
      <c r="G905" s="58" t="n">
        <v>3351</v>
      </c>
      <c r="H905" s="34" t="n">
        <f aca="false">G905*2</f>
        <v>6702</v>
      </c>
      <c r="I905" s="39" t="str">
        <f aca="false">A905&amp;"|"&amp;B905&amp;"|"&amp;D905&amp;"|"&amp;E905&amp;F905</f>
        <v>auto|McAlester|scenario A (age 16)|female</v>
      </c>
      <c r="J905" s="34" t="n">
        <f aca="false" t="array" ref="J905:J905">MEDIAN(IF($I$4:$I$1803=I905,$H$4:$H$1803))</f>
        <v>5984</v>
      </c>
      <c r="K905" s="59" t="n">
        <f aca="false">H905/J905</f>
        <v>1.11998663101604</v>
      </c>
    </row>
    <row r="906" customFormat="false" ht="15" hidden="false" customHeight="false" outlineLevel="0" collapsed="false">
      <c r="A906" s="39" t="s">
        <v>879</v>
      </c>
      <c r="B906" s="39" t="s">
        <v>911</v>
      </c>
      <c r="C906" s="39" t="s">
        <v>898</v>
      </c>
      <c r="D906" s="39" t="s">
        <v>885</v>
      </c>
      <c r="E906" s="39" t="s">
        <v>883</v>
      </c>
      <c r="F906" s="39"/>
      <c r="G906" s="58" t="n">
        <v>1421</v>
      </c>
      <c r="H906" s="34" t="n">
        <f aca="false">G906*2</f>
        <v>2842</v>
      </c>
      <c r="I906" s="39" t="str">
        <f aca="false">A906&amp;"|"&amp;B906&amp;"|"&amp;D906&amp;"|"&amp;E906&amp;F906</f>
        <v>auto|McAlester|scenario B (age 21)|male</v>
      </c>
      <c r="J906" s="34" t="n">
        <f aca="false" t="array" ref="J906:J906">MEDIAN(IF($I$4:$I$1803=I906,$H$4:$H$1803))</f>
        <v>3026</v>
      </c>
      <c r="K906" s="59" t="n">
        <f aca="false">H906/J906</f>
        <v>0.939193654990086</v>
      </c>
    </row>
    <row r="907" customFormat="false" ht="15" hidden="false" customHeight="false" outlineLevel="0" collapsed="false">
      <c r="A907" s="39" t="s">
        <v>879</v>
      </c>
      <c r="B907" s="39" t="s">
        <v>911</v>
      </c>
      <c r="C907" s="39" t="s">
        <v>898</v>
      </c>
      <c r="D907" s="39" t="s">
        <v>885</v>
      </c>
      <c r="E907" s="39" t="s">
        <v>884</v>
      </c>
      <c r="F907" s="39"/>
      <c r="G907" s="58" t="n">
        <v>1144</v>
      </c>
      <c r="H907" s="34" t="n">
        <f aca="false">G907*2</f>
        <v>2288</v>
      </c>
      <c r="I907" s="39" t="str">
        <f aca="false">A907&amp;"|"&amp;B907&amp;"|"&amp;D907&amp;"|"&amp;E907&amp;F907</f>
        <v>auto|McAlester|scenario B (age 21)|female</v>
      </c>
      <c r="J907" s="34" t="n">
        <f aca="false" t="array" ref="J907:J907">MEDIAN(IF($I$4:$I$1803=I907,$H$4:$H$1803))</f>
        <v>2705</v>
      </c>
      <c r="K907" s="59" t="n">
        <f aca="false">H907/J907</f>
        <v>0.845841035120148</v>
      </c>
    </row>
    <row r="908" customFormat="false" ht="15" hidden="false" customHeight="false" outlineLevel="0" collapsed="false">
      <c r="A908" s="39" t="s">
        <v>879</v>
      </c>
      <c r="B908" s="39" t="s">
        <v>911</v>
      </c>
      <c r="C908" s="39" t="s">
        <v>898</v>
      </c>
      <c r="D908" s="39" t="s">
        <v>886</v>
      </c>
      <c r="E908" s="39" t="s">
        <v>883</v>
      </c>
      <c r="F908" s="39"/>
      <c r="G908" s="58" t="n">
        <v>869</v>
      </c>
      <c r="H908" s="34" t="n">
        <f aca="false">G908*2</f>
        <v>1738</v>
      </c>
      <c r="I908" s="39" t="str">
        <f aca="false">A908&amp;"|"&amp;B908&amp;"|"&amp;D908&amp;"|"&amp;E908&amp;F908</f>
        <v>auto|McAlester|scenario C (age 36)|male</v>
      </c>
      <c r="J908" s="34" t="n">
        <f aca="false" t="array" ref="J908:J908">MEDIAN(IF($I$4:$I$1803=I908,$H$4:$H$1803))</f>
        <v>1788</v>
      </c>
      <c r="K908" s="59" t="n">
        <f aca="false">H908/J908</f>
        <v>0.972035794183445</v>
      </c>
    </row>
    <row r="909" customFormat="false" ht="15" hidden="false" customHeight="false" outlineLevel="0" collapsed="false">
      <c r="A909" s="39" t="s">
        <v>879</v>
      </c>
      <c r="B909" s="39" t="s">
        <v>911</v>
      </c>
      <c r="C909" s="39" t="s">
        <v>898</v>
      </c>
      <c r="D909" s="39" t="s">
        <v>886</v>
      </c>
      <c r="E909" s="39" t="s">
        <v>884</v>
      </c>
      <c r="F909" s="39"/>
      <c r="G909" s="58" t="n">
        <v>772</v>
      </c>
      <c r="H909" s="34" t="n">
        <f aca="false">G909*2</f>
        <v>1544</v>
      </c>
      <c r="I909" s="39" t="str">
        <f aca="false">A909&amp;"|"&amp;B909&amp;"|"&amp;D909&amp;"|"&amp;E909&amp;F909</f>
        <v>auto|McAlester|scenario C (age 36)|female</v>
      </c>
      <c r="J909" s="34" t="n">
        <f aca="false" t="array" ref="J909:J909">MEDIAN(IF($I$4:$I$1803=I909,$H$4:$H$1803))</f>
        <v>1761</v>
      </c>
      <c r="K909" s="59" t="n">
        <f aca="false">H909/J909</f>
        <v>0.876774559909143</v>
      </c>
    </row>
    <row r="910" customFormat="false" ht="15" hidden="false" customHeight="false" outlineLevel="0" collapsed="false">
      <c r="A910" s="39" t="s">
        <v>879</v>
      </c>
      <c r="B910" s="39" t="s">
        <v>911</v>
      </c>
      <c r="C910" s="39" t="s">
        <v>898</v>
      </c>
      <c r="D910" s="39" t="s">
        <v>887</v>
      </c>
      <c r="E910" s="39" t="s">
        <v>883</v>
      </c>
      <c r="F910" s="39"/>
      <c r="G910" s="58" t="n">
        <v>639</v>
      </c>
      <c r="H910" s="34" t="n">
        <f aca="false">G910*2</f>
        <v>1278</v>
      </c>
      <c r="I910" s="39" t="str">
        <f aca="false">A910&amp;"|"&amp;B910&amp;"|"&amp;D910&amp;"|"&amp;E910&amp;F910</f>
        <v>auto|McAlester|scenario D (age 55)|male</v>
      </c>
      <c r="J910" s="34" t="n">
        <f aca="false" t="array" ref="J910:J910">MEDIAN(IF($I$4:$I$1803=I910,$H$4:$H$1803))</f>
        <v>1605</v>
      </c>
      <c r="K910" s="59" t="n">
        <f aca="false">H910/J910</f>
        <v>0.796261682242991</v>
      </c>
    </row>
    <row r="911" customFormat="false" ht="15" hidden="false" customHeight="false" outlineLevel="0" collapsed="false">
      <c r="A911" s="39" t="s">
        <v>879</v>
      </c>
      <c r="B911" s="39" t="s">
        <v>911</v>
      </c>
      <c r="C911" s="39" t="s">
        <v>898</v>
      </c>
      <c r="D911" s="39" t="s">
        <v>887</v>
      </c>
      <c r="E911" s="39" t="s">
        <v>884</v>
      </c>
      <c r="F911" s="39"/>
      <c r="G911" s="58" t="n">
        <v>570</v>
      </c>
      <c r="H911" s="34" t="n">
        <f aca="false">G911*2</f>
        <v>1140</v>
      </c>
      <c r="I911" s="39" t="str">
        <f aca="false">A911&amp;"|"&amp;B911&amp;"|"&amp;D911&amp;"|"&amp;E911&amp;F911</f>
        <v>auto|McAlester|scenario D (age 55)|female</v>
      </c>
      <c r="J911" s="34" t="n">
        <f aca="false" t="array" ref="J911:J911">MEDIAN(IF($I$4:$I$1803=I911,$H$4:$H$1803))</f>
        <v>1587</v>
      </c>
      <c r="K911" s="59" t="n">
        <f aca="false">H911/J911</f>
        <v>0.718336483931947</v>
      </c>
    </row>
    <row r="912" customFormat="false" ht="15" hidden="false" customHeight="false" outlineLevel="0" collapsed="false">
      <c r="A912" s="39" t="s">
        <v>879</v>
      </c>
      <c r="B912" s="39" t="s">
        <v>911</v>
      </c>
      <c r="C912" s="39" t="s">
        <v>898</v>
      </c>
      <c r="D912" s="39" t="s">
        <v>888</v>
      </c>
      <c r="E912" s="39" t="s">
        <v>883</v>
      </c>
      <c r="F912" s="39"/>
      <c r="G912" s="58" t="n">
        <v>608</v>
      </c>
      <c r="H912" s="34" t="n">
        <f aca="false">G912*2</f>
        <v>1216</v>
      </c>
      <c r="I912" s="39" t="str">
        <f aca="false">A912&amp;"|"&amp;B912&amp;"|"&amp;D912&amp;"|"&amp;E912&amp;F912</f>
        <v>auto|McAlester|scenario E (age 70)|male</v>
      </c>
      <c r="J912" s="34" t="n">
        <f aca="false" t="array" ref="J912:J912">MEDIAN(IF($I$4:$I$1803=I912,$H$4:$H$1803))</f>
        <v>1392</v>
      </c>
      <c r="K912" s="59" t="n">
        <f aca="false">H912/J912</f>
        <v>0.873563218390805</v>
      </c>
    </row>
    <row r="913" customFormat="false" ht="15" hidden="false" customHeight="false" outlineLevel="0" collapsed="false">
      <c r="A913" s="39" t="s">
        <v>879</v>
      </c>
      <c r="B913" s="39" t="s">
        <v>911</v>
      </c>
      <c r="C913" s="39" t="s">
        <v>898</v>
      </c>
      <c r="D913" s="39" t="s">
        <v>888</v>
      </c>
      <c r="E913" s="39" t="s">
        <v>884</v>
      </c>
      <c r="F913" s="39"/>
      <c r="G913" s="58" t="n">
        <v>536</v>
      </c>
      <c r="H913" s="34" t="n">
        <f aca="false">G913*2</f>
        <v>1072</v>
      </c>
      <c r="I913" s="39" t="str">
        <f aca="false">A913&amp;"|"&amp;B913&amp;"|"&amp;D913&amp;"|"&amp;E913&amp;F913</f>
        <v>auto|McAlester|scenario E (age 70)|female</v>
      </c>
      <c r="J913" s="34" t="n">
        <f aca="false" t="array" ref="J913:J913">MEDIAN(IF($I$4:$I$1803=I913,$H$4:$H$1803))</f>
        <v>1353</v>
      </c>
      <c r="K913" s="59" t="n">
        <f aca="false">H913/J913</f>
        <v>0.792313377679231</v>
      </c>
    </row>
    <row r="914" customFormat="false" ht="15" hidden="false" customHeight="false" outlineLevel="0" collapsed="false">
      <c r="A914" s="39" t="s">
        <v>879</v>
      </c>
      <c r="B914" s="39" t="s">
        <v>911</v>
      </c>
      <c r="C914" s="39" t="s">
        <v>899</v>
      </c>
      <c r="D914" s="39" t="s">
        <v>882</v>
      </c>
      <c r="E914" s="39" t="s">
        <v>883</v>
      </c>
      <c r="F914" s="39"/>
      <c r="G914" s="58" t="n">
        <v>1839</v>
      </c>
      <c r="H914" s="34" t="n">
        <f aca="false">G914*2</f>
        <v>3678</v>
      </c>
      <c r="I914" s="39" t="str">
        <f aca="false">A914&amp;"|"&amp;B914&amp;"|"&amp;D914&amp;"|"&amp;E914&amp;F914</f>
        <v>auto|McAlester|scenario A (age 16)|male</v>
      </c>
      <c r="J914" s="34" t="n">
        <f aca="false" t="array" ref="J914:J914">MEDIAN(IF($I$4:$I$1803=I914,$H$4:$H$1803))</f>
        <v>7266</v>
      </c>
      <c r="K914" s="59" t="n">
        <f aca="false">H914/J914</f>
        <v>0.506193228736581</v>
      </c>
    </row>
    <row r="915" customFormat="false" ht="15" hidden="false" customHeight="false" outlineLevel="0" collapsed="false">
      <c r="A915" s="39" t="s">
        <v>879</v>
      </c>
      <c r="B915" s="39" t="s">
        <v>911</v>
      </c>
      <c r="C915" s="39" t="s">
        <v>899</v>
      </c>
      <c r="D915" s="39" t="s">
        <v>882</v>
      </c>
      <c r="E915" s="39" t="s">
        <v>884</v>
      </c>
      <c r="F915" s="39"/>
      <c r="G915" s="58" t="n">
        <v>1687</v>
      </c>
      <c r="H915" s="34" t="n">
        <f aca="false">G915*2</f>
        <v>3374</v>
      </c>
      <c r="I915" s="39" t="str">
        <f aca="false">A915&amp;"|"&amp;B915&amp;"|"&amp;D915&amp;"|"&amp;E915&amp;F915</f>
        <v>auto|McAlester|scenario A (age 16)|female</v>
      </c>
      <c r="J915" s="34" t="n">
        <f aca="false" t="array" ref="J915:J915">MEDIAN(IF($I$4:$I$1803=I915,$H$4:$H$1803))</f>
        <v>5984</v>
      </c>
      <c r="K915" s="59" t="n">
        <f aca="false">H915/J915</f>
        <v>0.563836898395722</v>
      </c>
    </row>
    <row r="916" customFormat="false" ht="15" hidden="false" customHeight="false" outlineLevel="0" collapsed="false">
      <c r="A916" s="39" t="s">
        <v>879</v>
      </c>
      <c r="B916" s="39" t="s">
        <v>911</v>
      </c>
      <c r="C916" s="39" t="s">
        <v>899</v>
      </c>
      <c r="D916" s="39" t="s">
        <v>885</v>
      </c>
      <c r="E916" s="39" t="s">
        <v>883</v>
      </c>
      <c r="F916" s="39"/>
      <c r="G916" s="58" t="n">
        <v>947</v>
      </c>
      <c r="H916" s="34" t="n">
        <f aca="false">G916*2</f>
        <v>1894</v>
      </c>
      <c r="I916" s="39" t="str">
        <f aca="false">A916&amp;"|"&amp;B916&amp;"|"&amp;D916&amp;"|"&amp;E916&amp;F916</f>
        <v>auto|McAlester|scenario B (age 21)|male</v>
      </c>
      <c r="J916" s="34" t="n">
        <f aca="false" t="array" ref="J916:J916">MEDIAN(IF($I$4:$I$1803=I916,$H$4:$H$1803))</f>
        <v>3026</v>
      </c>
      <c r="K916" s="59" t="n">
        <f aca="false">H916/J916</f>
        <v>0.625908790482485</v>
      </c>
    </row>
    <row r="917" customFormat="false" ht="15" hidden="false" customHeight="false" outlineLevel="0" collapsed="false">
      <c r="A917" s="39" t="s">
        <v>879</v>
      </c>
      <c r="B917" s="39" t="s">
        <v>911</v>
      </c>
      <c r="C917" s="39" t="s">
        <v>899</v>
      </c>
      <c r="D917" s="39" t="s">
        <v>885</v>
      </c>
      <c r="E917" s="39" t="s">
        <v>884</v>
      </c>
      <c r="F917" s="39"/>
      <c r="G917" s="58" t="n">
        <v>892</v>
      </c>
      <c r="H917" s="34" t="n">
        <f aca="false">G917*2</f>
        <v>1784</v>
      </c>
      <c r="I917" s="39" t="str">
        <f aca="false">A917&amp;"|"&amp;B917&amp;"|"&amp;D917&amp;"|"&amp;E917&amp;F917</f>
        <v>auto|McAlester|scenario B (age 21)|female</v>
      </c>
      <c r="J917" s="34" t="n">
        <f aca="false" t="array" ref="J917:J917">MEDIAN(IF($I$4:$I$1803=I917,$H$4:$H$1803))</f>
        <v>2705</v>
      </c>
      <c r="K917" s="59" t="n">
        <f aca="false">H917/J917</f>
        <v>0.659519408502773</v>
      </c>
    </row>
    <row r="918" customFormat="false" ht="15" hidden="false" customHeight="false" outlineLevel="0" collapsed="false">
      <c r="A918" s="39" t="s">
        <v>879</v>
      </c>
      <c r="B918" s="39" t="s">
        <v>911</v>
      </c>
      <c r="C918" s="39" t="s">
        <v>899</v>
      </c>
      <c r="D918" s="39" t="s">
        <v>886</v>
      </c>
      <c r="E918" s="39" t="s">
        <v>883</v>
      </c>
      <c r="F918" s="39"/>
      <c r="G918" s="58" t="n">
        <v>557</v>
      </c>
      <c r="H918" s="34" t="n">
        <f aca="false">G918*2</f>
        <v>1114</v>
      </c>
      <c r="I918" s="39" t="str">
        <f aca="false">A918&amp;"|"&amp;B918&amp;"|"&amp;D918&amp;"|"&amp;E918&amp;F918</f>
        <v>auto|McAlester|scenario C (age 36)|male</v>
      </c>
      <c r="J918" s="34" t="n">
        <f aca="false" t="array" ref="J918:J918">MEDIAN(IF($I$4:$I$1803=I918,$H$4:$H$1803))</f>
        <v>1788</v>
      </c>
      <c r="K918" s="59" t="n">
        <f aca="false">H918/J918</f>
        <v>0.623042505592841</v>
      </c>
    </row>
    <row r="919" customFormat="false" ht="15" hidden="false" customHeight="false" outlineLevel="0" collapsed="false">
      <c r="A919" s="39" t="s">
        <v>879</v>
      </c>
      <c r="B919" s="39" t="s">
        <v>911</v>
      </c>
      <c r="C919" s="39" t="s">
        <v>899</v>
      </c>
      <c r="D919" s="39" t="s">
        <v>886</v>
      </c>
      <c r="E919" s="39" t="s">
        <v>884</v>
      </c>
      <c r="F919" s="39"/>
      <c r="G919" s="58" t="n">
        <v>522</v>
      </c>
      <c r="H919" s="34" t="n">
        <f aca="false">G919*2</f>
        <v>1044</v>
      </c>
      <c r="I919" s="39" t="str">
        <f aca="false">A919&amp;"|"&amp;B919&amp;"|"&amp;D919&amp;"|"&amp;E919&amp;F919</f>
        <v>auto|McAlester|scenario C (age 36)|female</v>
      </c>
      <c r="J919" s="34" t="n">
        <f aca="false" t="array" ref="J919:J919">MEDIAN(IF($I$4:$I$1803=I919,$H$4:$H$1803))</f>
        <v>1761</v>
      </c>
      <c r="K919" s="59" t="n">
        <f aca="false">H919/J919</f>
        <v>0.592844974446337</v>
      </c>
    </row>
    <row r="920" customFormat="false" ht="15" hidden="false" customHeight="false" outlineLevel="0" collapsed="false">
      <c r="A920" s="39" t="s">
        <v>879</v>
      </c>
      <c r="B920" s="39" t="s">
        <v>911</v>
      </c>
      <c r="C920" s="39" t="s">
        <v>899</v>
      </c>
      <c r="D920" s="39" t="s">
        <v>887</v>
      </c>
      <c r="E920" s="39" t="s">
        <v>883</v>
      </c>
      <c r="F920" s="39"/>
      <c r="G920" s="58" t="n">
        <v>570</v>
      </c>
      <c r="H920" s="34" t="n">
        <f aca="false">G920*2</f>
        <v>1140</v>
      </c>
      <c r="I920" s="39" t="str">
        <f aca="false">A920&amp;"|"&amp;B920&amp;"|"&amp;D920&amp;"|"&amp;E920&amp;F920</f>
        <v>auto|McAlester|scenario D (age 55)|male</v>
      </c>
      <c r="J920" s="34" t="n">
        <f aca="false" t="array" ref="J920:J920">MEDIAN(IF($I$4:$I$1803=I920,$H$4:$H$1803))</f>
        <v>1605</v>
      </c>
      <c r="K920" s="59" t="n">
        <f aca="false">H920/J920</f>
        <v>0.710280373831776</v>
      </c>
    </row>
    <row r="921" customFormat="false" ht="15" hidden="false" customHeight="false" outlineLevel="0" collapsed="false">
      <c r="A921" s="39" t="s">
        <v>879</v>
      </c>
      <c r="B921" s="39" t="s">
        <v>911</v>
      </c>
      <c r="C921" s="39" t="s">
        <v>899</v>
      </c>
      <c r="D921" s="39" t="s">
        <v>887</v>
      </c>
      <c r="E921" s="39" t="s">
        <v>884</v>
      </c>
      <c r="F921" s="39"/>
      <c r="G921" s="58" t="n">
        <v>534</v>
      </c>
      <c r="H921" s="34" t="n">
        <f aca="false">G921*2</f>
        <v>1068</v>
      </c>
      <c r="I921" s="39" t="str">
        <f aca="false">A921&amp;"|"&amp;B921&amp;"|"&amp;D921&amp;"|"&amp;E921&amp;F921</f>
        <v>auto|McAlester|scenario D (age 55)|female</v>
      </c>
      <c r="J921" s="34" t="n">
        <f aca="false" t="array" ref="J921:J921">MEDIAN(IF($I$4:$I$1803=I921,$H$4:$H$1803))</f>
        <v>1587</v>
      </c>
      <c r="K921" s="59" t="n">
        <f aca="false">H921/J921</f>
        <v>0.67296786389414</v>
      </c>
    </row>
    <row r="922" customFormat="false" ht="15" hidden="false" customHeight="false" outlineLevel="0" collapsed="false">
      <c r="A922" s="39" t="s">
        <v>879</v>
      </c>
      <c r="B922" s="39" t="s">
        <v>911</v>
      </c>
      <c r="C922" s="39" t="s">
        <v>899</v>
      </c>
      <c r="D922" s="39" t="s">
        <v>888</v>
      </c>
      <c r="E922" s="39" t="s">
        <v>883</v>
      </c>
      <c r="F922" s="39"/>
      <c r="G922" s="58" t="n">
        <v>550</v>
      </c>
      <c r="H922" s="34" t="n">
        <f aca="false">G922*2</f>
        <v>1100</v>
      </c>
      <c r="I922" s="39" t="str">
        <f aca="false">A922&amp;"|"&amp;B922&amp;"|"&amp;D922&amp;"|"&amp;E922&amp;F922</f>
        <v>auto|McAlester|scenario E (age 70)|male</v>
      </c>
      <c r="J922" s="34" t="n">
        <f aca="false" t="array" ref="J922:J922">MEDIAN(IF($I$4:$I$1803=I922,$H$4:$H$1803))</f>
        <v>1392</v>
      </c>
      <c r="K922" s="59" t="n">
        <f aca="false">H922/J922</f>
        <v>0.790229885057471</v>
      </c>
    </row>
    <row r="923" customFormat="false" ht="15" hidden="false" customHeight="false" outlineLevel="0" collapsed="false">
      <c r="A923" s="39" t="s">
        <v>879</v>
      </c>
      <c r="B923" s="39" t="s">
        <v>911</v>
      </c>
      <c r="C923" s="39" t="s">
        <v>899</v>
      </c>
      <c r="D923" s="39" t="s">
        <v>888</v>
      </c>
      <c r="E923" s="39" t="s">
        <v>884</v>
      </c>
      <c r="F923" s="39"/>
      <c r="G923" s="58" t="n">
        <v>497</v>
      </c>
      <c r="H923" s="34" t="n">
        <f aca="false">G923*2</f>
        <v>994</v>
      </c>
      <c r="I923" s="39" t="str">
        <f aca="false">A923&amp;"|"&amp;B923&amp;"|"&amp;D923&amp;"|"&amp;E923&amp;F923</f>
        <v>auto|McAlester|scenario E (age 70)|female</v>
      </c>
      <c r="J923" s="34" t="n">
        <f aca="false" t="array" ref="J923:J923">MEDIAN(IF($I$4:$I$1803=I923,$H$4:$H$1803))</f>
        <v>1353</v>
      </c>
      <c r="K923" s="59" t="n">
        <f aca="false">H923/J923</f>
        <v>0.734663710273466</v>
      </c>
    </row>
    <row r="924" customFormat="false" ht="15" hidden="false" customHeight="false" outlineLevel="0" collapsed="false">
      <c r="A924" s="39" t="s">
        <v>879</v>
      </c>
      <c r="B924" s="39" t="s">
        <v>911</v>
      </c>
      <c r="C924" s="39" t="s">
        <v>900</v>
      </c>
      <c r="D924" s="39" t="s">
        <v>882</v>
      </c>
      <c r="E924" s="39" t="s">
        <v>883</v>
      </c>
      <c r="F924" s="39"/>
      <c r="G924" s="58" t="n">
        <v>2006</v>
      </c>
      <c r="H924" s="34" t="n">
        <f aca="false">G924*2</f>
        <v>4012</v>
      </c>
      <c r="I924" s="39" t="str">
        <f aca="false">A924&amp;"|"&amp;B924&amp;"|"&amp;D924&amp;"|"&amp;E924&amp;F924</f>
        <v>auto|McAlester|scenario A (age 16)|male</v>
      </c>
      <c r="J924" s="34" t="n">
        <f aca="false" t="array" ref="J924:J924">MEDIAN(IF($I$4:$I$1803=I924,$H$4:$H$1803))</f>
        <v>7266</v>
      </c>
      <c r="K924" s="59" t="n">
        <f aca="false">H924/J924</f>
        <v>0.552160748692541</v>
      </c>
    </row>
    <row r="925" customFormat="false" ht="15" hidden="false" customHeight="false" outlineLevel="0" collapsed="false">
      <c r="A925" s="39" t="s">
        <v>879</v>
      </c>
      <c r="B925" s="39" t="s">
        <v>911</v>
      </c>
      <c r="C925" s="39" t="s">
        <v>900</v>
      </c>
      <c r="D925" s="39" t="s">
        <v>882</v>
      </c>
      <c r="E925" s="39" t="s">
        <v>884</v>
      </c>
      <c r="F925" s="39"/>
      <c r="G925" s="58" t="n">
        <v>1470</v>
      </c>
      <c r="H925" s="34" t="n">
        <f aca="false">G925*2</f>
        <v>2940</v>
      </c>
      <c r="I925" s="39" t="str">
        <f aca="false">A925&amp;"|"&amp;B925&amp;"|"&amp;D925&amp;"|"&amp;E925&amp;F925</f>
        <v>auto|McAlester|scenario A (age 16)|female</v>
      </c>
      <c r="J925" s="34" t="n">
        <f aca="false" t="array" ref="J925:J925">MEDIAN(IF($I$4:$I$1803=I925,$H$4:$H$1803))</f>
        <v>5984</v>
      </c>
      <c r="K925" s="59" t="n">
        <f aca="false">H925/J925</f>
        <v>0.491310160427808</v>
      </c>
    </row>
    <row r="926" customFormat="false" ht="15" hidden="false" customHeight="false" outlineLevel="0" collapsed="false">
      <c r="A926" s="39" t="s">
        <v>879</v>
      </c>
      <c r="B926" s="39" t="s">
        <v>911</v>
      </c>
      <c r="C926" s="39" t="s">
        <v>900</v>
      </c>
      <c r="D926" s="39" t="s">
        <v>885</v>
      </c>
      <c r="E926" s="39" t="s">
        <v>883</v>
      </c>
      <c r="F926" s="39"/>
      <c r="G926" s="58" t="n">
        <v>1297</v>
      </c>
      <c r="H926" s="34" t="n">
        <f aca="false">G926*2</f>
        <v>2594</v>
      </c>
      <c r="I926" s="39" t="str">
        <f aca="false">A926&amp;"|"&amp;B926&amp;"|"&amp;D926&amp;"|"&amp;E926&amp;F926</f>
        <v>auto|McAlester|scenario B (age 21)|male</v>
      </c>
      <c r="J926" s="34" t="n">
        <f aca="false" t="array" ref="J926:J926">MEDIAN(IF($I$4:$I$1803=I926,$H$4:$H$1803))</f>
        <v>3026</v>
      </c>
      <c r="K926" s="59" t="n">
        <f aca="false">H926/J926</f>
        <v>0.857237276933245</v>
      </c>
    </row>
    <row r="927" customFormat="false" ht="15" hidden="false" customHeight="false" outlineLevel="0" collapsed="false">
      <c r="A927" s="39" t="s">
        <v>879</v>
      </c>
      <c r="B927" s="39" t="s">
        <v>911</v>
      </c>
      <c r="C927" s="39" t="s">
        <v>900</v>
      </c>
      <c r="D927" s="39" t="s">
        <v>885</v>
      </c>
      <c r="E927" s="39" t="s">
        <v>884</v>
      </c>
      <c r="F927" s="39"/>
      <c r="G927" s="58" t="n">
        <v>1062</v>
      </c>
      <c r="H927" s="34" t="n">
        <f aca="false">G927*2</f>
        <v>2124</v>
      </c>
      <c r="I927" s="39" t="str">
        <f aca="false">A927&amp;"|"&amp;B927&amp;"|"&amp;D927&amp;"|"&amp;E927&amp;F927</f>
        <v>auto|McAlester|scenario B (age 21)|female</v>
      </c>
      <c r="J927" s="34" t="n">
        <f aca="false" t="array" ref="J927:J927">MEDIAN(IF($I$4:$I$1803=I927,$H$4:$H$1803))</f>
        <v>2705</v>
      </c>
      <c r="K927" s="59" t="n">
        <f aca="false">H927/J927</f>
        <v>0.785212569316081</v>
      </c>
    </row>
    <row r="928" customFormat="false" ht="15" hidden="false" customHeight="false" outlineLevel="0" collapsed="false">
      <c r="A928" s="39" t="s">
        <v>879</v>
      </c>
      <c r="B928" s="39" t="s">
        <v>911</v>
      </c>
      <c r="C928" s="39" t="s">
        <v>900</v>
      </c>
      <c r="D928" s="39" t="s">
        <v>886</v>
      </c>
      <c r="E928" s="39" t="s">
        <v>883</v>
      </c>
      <c r="F928" s="39"/>
      <c r="G928" s="58" t="n">
        <v>631</v>
      </c>
      <c r="H928" s="34" t="n">
        <f aca="false">G928*2</f>
        <v>1262</v>
      </c>
      <c r="I928" s="39" t="str">
        <f aca="false">A928&amp;"|"&amp;B928&amp;"|"&amp;D928&amp;"|"&amp;E928&amp;F928</f>
        <v>auto|McAlester|scenario C (age 36)|male</v>
      </c>
      <c r="J928" s="34" t="n">
        <f aca="false" t="array" ref="J928:J928">MEDIAN(IF($I$4:$I$1803=I928,$H$4:$H$1803))</f>
        <v>1788</v>
      </c>
      <c r="K928" s="59" t="n">
        <f aca="false">H928/J928</f>
        <v>0.705816554809843</v>
      </c>
    </row>
    <row r="929" customFormat="false" ht="15" hidden="false" customHeight="false" outlineLevel="0" collapsed="false">
      <c r="A929" s="39" t="s">
        <v>879</v>
      </c>
      <c r="B929" s="39" t="s">
        <v>911</v>
      </c>
      <c r="C929" s="39" t="s">
        <v>900</v>
      </c>
      <c r="D929" s="39" t="s">
        <v>886</v>
      </c>
      <c r="E929" s="39" t="s">
        <v>884</v>
      </c>
      <c r="F929" s="39"/>
      <c r="G929" s="58" t="n">
        <v>627</v>
      </c>
      <c r="H929" s="34" t="n">
        <f aca="false">G929*2</f>
        <v>1254</v>
      </c>
      <c r="I929" s="39" t="str">
        <f aca="false">A929&amp;"|"&amp;B929&amp;"|"&amp;D929&amp;"|"&amp;E929&amp;F929</f>
        <v>auto|McAlester|scenario C (age 36)|female</v>
      </c>
      <c r="J929" s="34" t="n">
        <f aca="false" t="array" ref="J929:J929">MEDIAN(IF($I$4:$I$1803=I929,$H$4:$H$1803))</f>
        <v>1761</v>
      </c>
      <c r="K929" s="59" t="n">
        <f aca="false">H929/J929</f>
        <v>0.712095400340716</v>
      </c>
    </row>
    <row r="930" customFormat="false" ht="15" hidden="false" customHeight="false" outlineLevel="0" collapsed="false">
      <c r="A930" s="39" t="s">
        <v>879</v>
      </c>
      <c r="B930" s="39" t="s">
        <v>911</v>
      </c>
      <c r="C930" s="39" t="s">
        <v>900</v>
      </c>
      <c r="D930" s="39" t="s">
        <v>887</v>
      </c>
      <c r="E930" s="39" t="s">
        <v>883</v>
      </c>
      <c r="F930" s="39"/>
      <c r="G930" s="58" t="n">
        <v>519</v>
      </c>
      <c r="H930" s="34" t="n">
        <f aca="false">G930*2</f>
        <v>1038</v>
      </c>
      <c r="I930" s="39" t="str">
        <f aca="false">A930&amp;"|"&amp;B930&amp;"|"&amp;D930&amp;"|"&amp;E930&amp;F930</f>
        <v>auto|McAlester|scenario D (age 55)|male</v>
      </c>
      <c r="J930" s="34" t="n">
        <f aca="false" t="array" ref="J930:J930">MEDIAN(IF($I$4:$I$1803=I930,$H$4:$H$1803))</f>
        <v>1605</v>
      </c>
      <c r="K930" s="59" t="n">
        <f aca="false">H930/J930</f>
        <v>0.646728971962617</v>
      </c>
    </row>
    <row r="931" customFormat="false" ht="15" hidden="false" customHeight="false" outlineLevel="0" collapsed="false">
      <c r="A931" s="39" t="s">
        <v>879</v>
      </c>
      <c r="B931" s="39" t="s">
        <v>911</v>
      </c>
      <c r="C931" s="39" t="s">
        <v>900</v>
      </c>
      <c r="D931" s="39" t="s">
        <v>887</v>
      </c>
      <c r="E931" s="39" t="s">
        <v>884</v>
      </c>
      <c r="F931" s="39"/>
      <c r="G931" s="58" t="n">
        <v>491</v>
      </c>
      <c r="H931" s="34" t="n">
        <f aca="false">G931*2</f>
        <v>982</v>
      </c>
      <c r="I931" s="39" t="str">
        <f aca="false">A931&amp;"|"&amp;B931&amp;"|"&amp;D931&amp;"|"&amp;E931&amp;F931</f>
        <v>auto|McAlester|scenario D (age 55)|female</v>
      </c>
      <c r="J931" s="34" t="n">
        <f aca="false" t="array" ref="J931:J931">MEDIAN(IF($I$4:$I$1803=I931,$H$4:$H$1803))</f>
        <v>1587</v>
      </c>
      <c r="K931" s="59" t="n">
        <f aca="false">H931/J931</f>
        <v>0.61877756773787</v>
      </c>
    </row>
    <row r="932" customFormat="false" ht="15" hidden="false" customHeight="false" outlineLevel="0" collapsed="false">
      <c r="A932" s="39" t="s">
        <v>879</v>
      </c>
      <c r="B932" s="39" t="s">
        <v>911</v>
      </c>
      <c r="C932" s="39" t="s">
        <v>900</v>
      </c>
      <c r="D932" s="39" t="s">
        <v>888</v>
      </c>
      <c r="E932" s="39" t="s">
        <v>883</v>
      </c>
      <c r="F932" s="39"/>
      <c r="G932" s="58" t="n">
        <v>511</v>
      </c>
      <c r="H932" s="34" t="n">
        <f aca="false">G932*2</f>
        <v>1022</v>
      </c>
      <c r="I932" s="39" t="str">
        <f aca="false">A932&amp;"|"&amp;B932&amp;"|"&amp;D932&amp;"|"&amp;E932&amp;F932</f>
        <v>auto|McAlester|scenario E (age 70)|male</v>
      </c>
      <c r="J932" s="34" t="n">
        <f aca="false" t="array" ref="J932:J932">MEDIAN(IF($I$4:$I$1803=I932,$H$4:$H$1803))</f>
        <v>1392</v>
      </c>
      <c r="K932" s="59" t="n">
        <f aca="false">H932/J932</f>
        <v>0.734195402298851</v>
      </c>
    </row>
    <row r="933" customFormat="false" ht="15" hidden="false" customHeight="false" outlineLevel="0" collapsed="false">
      <c r="A933" s="39" t="s">
        <v>879</v>
      </c>
      <c r="B933" s="39" t="s">
        <v>911</v>
      </c>
      <c r="C933" s="39" t="s">
        <v>900</v>
      </c>
      <c r="D933" s="39" t="s">
        <v>888</v>
      </c>
      <c r="E933" s="39" t="s">
        <v>884</v>
      </c>
      <c r="F933" s="39"/>
      <c r="G933" s="58" t="n">
        <v>489</v>
      </c>
      <c r="H933" s="34" t="n">
        <f aca="false">G933*2</f>
        <v>978</v>
      </c>
      <c r="I933" s="39" t="str">
        <f aca="false">A933&amp;"|"&amp;B933&amp;"|"&amp;D933&amp;"|"&amp;E933&amp;F933</f>
        <v>auto|McAlester|scenario E (age 70)|female</v>
      </c>
      <c r="J933" s="34" t="n">
        <f aca="false" t="array" ref="J933:J933">MEDIAN(IF($I$4:$I$1803=I933,$H$4:$H$1803))</f>
        <v>1353</v>
      </c>
      <c r="K933" s="59" t="n">
        <f aca="false">H933/J933</f>
        <v>0.722838137472284</v>
      </c>
    </row>
    <row r="934" customFormat="false" ht="15" hidden="false" customHeight="false" outlineLevel="0" collapsed="false">
      <c r="A934" s="39" t="s">
        <v>879</v>
      </c>
      <c r="B934" s="39" t="s">
        <v>911</v>
      </c>
      <c r="C934" s="39" t="s">
        <v>901</v>
      </c>
      <c r="D934" s="39" t="s">
        <v>882</v>
      </c>
      <c r="E934" s="39" t="s">
        <v>883</v>
      </c>
      <c r="F934" s="39"/>
      <c r="G934" s="58" t="n">
        <v>3488</v>
      </c>
      <c r="H934" s="34" t="n">
        <f aca="false">G934*2</f>
        <v>6976</v>
      </c>
      <c r="I934" s="39" t="str">
        <f aca="false">A934&amp;"|"&amp;B934&amp;"|"&amp;D934&amp;"|"&amp;E934&amp;F934</f>
        <v>auto|McAlester|scenario A (age 16)|male</v>
      </c>
      <c r="J934" s="34" t="n">
        <f aca="false" t="array" ref="J934:J934">MEDIAN(IF($I$4:$I$1803=I934,$H$4:$H$1803))</f>
        <v>7266</v>
      </c>
      <c r="K934" s="59" t="n">
        <f aca="false">H934/J934</f>
        <v>0.960088081475365</v>
      </c>
    </row>
    <row r="935" customFormat="false" ht="15" hidden="false" customHeight="false" outlineLevel="0" collapsed="false">
      <c r="A935" s="39" t="s">
        <v>879</v>
      </c>
      <c r="B935" s="39" t="s">
        <v>911</v>
      </c>
      <c r="C935" s="39" t="s">
        <v>901</v>
      </c>
      <c r="D935" s="39" t="s">
        <v>882</v>
      </c>
      <c r="E935" s="39" t="s">
        <v>884</v>
      </c>
      <c r="F935" s="39"/>
      <c r="G935" s="58" t="n">
        <v>2757</v>
      </c>
      <c r="H935" s="34" t="n">
        <f aca="false">G935*2</f>
        <v>5514</v>
      </c>
      <c r="I935" s="39" t="str">
        <f aca="false">A935&amp;"|"&amp;B935&amp;"|"&amp;D935&amp;"|"&amp;E935&amp;F935</f>
        <v>auto|McAlester|scenario A (age 16)|female</v>
      </c>
      <c r="J935" s="34" t="n">
        <f aca="false" t="array" ref="J935:J935">MEDIAN(IF($I$4:$I$1803=I935,$H$4:$H$1803))</f>
        <v>5984</v>
      </c>
      <c r="K935" s="59" t="n">
        <f aca="false">H935/J935</f>
        <v>0.921457219251337</v>
      </c>
    </row>
    <row r="936" customFormat="false" ht="15" hidden="false" customHeight="false" outlineLevel="0" collapsed="false">
      <c r="A936" s="39" t="s">
        <v>879</v>
      </c>
      <c r="B936" s="39" t="s">
        <v>911</v>
      </c>
      <c r="C936" s="39" t="s">
        <v>901</v>
      </c>
      <c r="D936" s="39" t="s">
        <v>885</v>
      </c>
      <c r="E936" s="39" t="s">
        <v>883</v>
      </c>
      <c r="F936" s="39"/>
      <c r="G936" s="58" t="n">
        <v>1595</v>
      </c>
      <c r="H936" s="34" t="n">
        <f aca="false">G936*2</f>
        <v>3190</v>
      </c>
      <c r="I936" s="39" t="str">
        <f aca="false">A936&amp;"|"&amp;B936&amp;"|"&amp;D936&amp;"|"&amp;E936&amp;F936</f>
        <v>auto|McAlester|scenario B (age 21)|male</v>
      </c>
      <c r="J936" s="34" t="n">
        <f aca="false" t="array" ref="J936:J936">MEDIAN(IF($I$4:$I$1803=I936,$H$4:$H$1803))</f>
        <v>3026</v>
      </c>
      <c r="K936" s="59" t="n">
        <f aca="false">H936/J936</f>
        <v>1.05419695968275</v>
      </c>
    </row>
    <row r="937" customFormat="false" ht="15" hidden="false" customHeight="false" outlineLevel="0" collapsed="false">
      <c r="A937" s="39" t="s">
        <v>879</v>
      </c>
      <c r="B937" s="39" t="s">
        <v>911</v>
      </c>
      <c r="C937" s="39" t="s">
        <v>901</v>
      </c>
      <c r="D937" s="39" t="s">
        <v>885</v>
      </c>
      <c r="E937" s="39" t="s">
        <v>884</v>
      </c>
      <c r="F937" s="39"/>
      <c r="G937" s="58" t="n">
        <v>1359</v>
      </c>
      <c r="H937" s="34" t="n">
        <f aca="false">G937*2</f>
        <v>2718</v>
      </c>
      <c r="I937" s="39" t="str">
        <f aca="false">A937&amp;"|"&amp;B937&amp;"|"&amp;D937&amp;"|"&amp;E937&amp;F937</f>
        <v>auto|McAlester|scenario B (age 21)|female</v>
      </c>
      <c r="J937" s="34" t="n">
        <f aca="false" t="array" ref="J937:J937">MEDIAN(IF($I$4:$I$1803=I937,$H$4:$H$1803))</f>
        <v>2705</v>
      </c>
      <c r="K937" s="59" t="n">
        <f aca="false">H937/J937</f>
        <v>1.00480591497227</v>
      </c>
    </row>
    <row r="938" customFormat="false" ht="15" hidden="false" customHeight="false" outlineLevel="0" collapsed="false">
      <c r="A938" s="39" t="s">
        <v>879</v>
      </c>
      <c r="B938" s="39" t="s">
        <v>911</v>
      </c>
      <c r="C938" s="39" t="s">
        <v>901</v>
      </c>
      <c r="D938" s="39" t="s">
        <v>886</v>
      </c>
      <c r="E938" s="39" t="s">
        <v>883</v>
      </c>
      <c r="F938" s="39"/>
      <c r="G938" s="58" t="n">
        <v>1048</v>
      </c>
      <c r="H938" s="34" t="n">
        <f aca="false">G938*2</f>
        <v>2096</v>
      </c>
      <c r="I938" s="39" t="str">
        <f aca="false">A938&amp;"|"&amp;B938&amp;"|"&amp;D938&amp;"|"&amp;E938&amp;F938</f>
        <v>auto|McAlester|scenario C (age 36)|male</v>
      </c>
      <c r="J938" s="34" t="n">
        <f aca="false" t="array" ref="J938:J938">MEDIAN(IF($I$4:$I$1803=I938,$H$4:$H$1803))</f>
        <v>1788</v>
      </c>
      <c r="K938" s="59" t="n">
        <f aca="false">H938/J938</f>
        <v>1.17225950782998</v>
      </c>
    </row>
    <row r="939" customFormat="false" ht="15" hidden="false" customHeight="false" outlineLevel="0" collapsed="false">
      <c r="A939" s="39" t="s">
        <v>879</v>
      </c>
      <c r="B939" s="39" t="s">
        <v>911</v>
      </c>
      <c r="C939" s="39" t="s">
        <v>901</v>
      </c>
      <c r="D939" s="39" t="s">
        <v>886</v>
      </c>
      <c r="E939" s="39" t="s">
        <v>884</v>
      </c>
      <c r="F939" s="39"/>
      <c r="G939" s="58" t="n">
        <v>995</v>
      </c>
      <c r="H939" s="34" t="n">
        <f aca="false">G939*2</f>
        <v>1990</v>
      </c>
      <c r="I939" s="39" t="str">
        <f aca="false">A939&amp;"|"&amp;B939&amp;"|"&amp;D939&amp;"|"&amp;E939&amp;F939</f>
        <v>auto|McAlester|scenario C (age 36)|female</v>
      </c>
      <c r="J939" s="34" t="n">
        <f aca="false" t="array" ref="J939:J939">MEDIAN(IF($I$4:$I$1803=I939,$H$4:$H$1803))</f>
        <v>1761</v>
      </c>
      <c r="K939" s="59" t="n">
        <f aca="false">H939/J939</f>
        <v>1.13003975014196</v>
      </c>
    </row>
    <row r="940" customFormat="false" ht="15" hidden="false" customHeight="false" outlineLevel="0" collapsed="false">
      <c r="A940" s="39" t="s">
        <v>879</v>
      </c>
      <c r="B940" s="39" t="s">
        <v>911</v>
      </c>
      <c r="C940" s="39" t="s">
        <v>901</v>
      </c>
      <c r="D940" s="39" t="s">
        <v>887</v>
      </c>
      <c r="E940" s="39" t="s">
        <v>883</v>
      </c>
      <c r="F940" s="39"/>
      <c r="G940" s="58" t="n">
        <v>835</v>
      </c>
      <c r="H940" s="34" t="n">
        <f aca="false">G940*2</f>
        <v>1670</v>
      </c>
      <c r="I940" s="39" t="str">
        <f aca="false">A940&amp;"|"&amp;B940&amp;"|"&amp;D940&amp;"|"&amp;E940&amp;F940</f>
        <v>auto|McAlester|scenario D (age 55)|male</v>
      </c>
      <c r="J940" s="34" t="n">
        <f aca="false" t="array" ref="J940:J940">MEDIAN(IF($I$4:$I$1803=I940,$H$4:$H$1803))</f>
        <v>1605</v>
      </c>
      <c r="K940" s="59" t="n">
        <f aca="false">H940/J940</f>
        <v>1.0404984423676</v>
      </c>
    </row>
    <row r="941" customFormat="false" ht="15" hidden="false" customHeight="false" outlineLevel="0" collapsed="false">
      <c r="A941" s="39" t="s">
        <v>879</v>
      </c>
      <c r="B941" s="39" t="s">
        <v>911</v>
      </c>
      <c r="C941" s="39" t="s">
        <v>901</v>
      </c>
      <c r="D941" s="39" t="s">
        <v>887</v>
      </c>
      <c r="E941" s="39" t="s">
        <v>884</v>
      </c>
      <c r="F941" s="39"/>
      <c r="G941" s="58" t="n">
        <v>789</v>
      </c>
      <c r="H941" s="34" t="n">
        <f aca="false">G941*2</f>
        <v>1578</v>
      </c>
      <c r="I941" s="39" t="str">
        <f aca="false">A941&amp;"|"&amp;B941&amp;"|"&amp;D941&amp;"|"&amp;E941&amp;F941</f>
        <v>auto|McAlester|scenario D (age 55)|female</v>
      </c>
      <c r="J941" s="34" t="n">
        <f aca="false" t="array" ref="J941:J941">MEDIAN(IF($I$4:$I$1803=I941,$H$4:$H$1803))</f>
        <v>1587</v>
      </c>
      <c r="K941" s="59" t="n">
        <f aca="false">H941/J941</f>
        <v>0.994328922495274</v>
      </c>
    </row>
    <row r="942" customFormat="false" ht="15" hidden="false" customHeight="false" outlineLevel="0" collapsed="false">
      <c r="A942" s="39" t="s">
        <v>879</v>
      </c>
      <c r="B942" s="39" t="s">
        <v>911</v>
      </c>
      <c r="C942" s="39" t="s">
        <v>901</v>
      </c>
      <c r="D942" s="39" t="s">
        <v>888</v>
      </c>
      <c r="E942" s="39" t="s">
        <v>883</v>
      </c>
      <c r="F942" s="39"/>
      <c r="G942" s="58" t="n">
        <v>905</v>
      </c>
      <c r="H942" s="34" t="n">
        <f aca="false">G942*2</f>
        <v>1810</v>
      </c>
      <c r="I942" s="39" t="str">
        <f aca="false">A942&amp;"|"&amp;B942&amp;"|"&amp;D942&amp;"|"&amp;E942&amp;F942</f>
        <v>auto|McAlester|scenario E (age 70)|male</v>
      </c>
      <c r="J942" s="34" t="n">
        <f aca="false" t="array" ref="J942:J942">MEDIAN(IF($I$4:$I$1803=I942,$H$4:$H$1803))</f>
        <v>1392</v>
      </c>
      <c r="K942" s="59" t="n">
        <f aca="false">H942/J942</f>
        <v>1.30028735632184</v>
      </c>
    </row>
    <row r="943" customFormat="false" ht="15" hidden="false" customHeight="false" outlineLevel="0" collapsed="false">
      <c r="A943" s="39" t="s">
        <v>879</v>
      </c>
      <c r="B943" s="39" t="s">
        <v>911</v>
      </c>
      <c r="C943" s="39" t="s">
        <v>901</v>
      </c>
      <c r="D943" s="39" t="s">
        <v>888</v>
      </c>
      <c r="E943" s="39" t="s">
        <v>884</v>
      </c>
      <c r="F943" s="39"/>
      <c r="G943" s="58" t="n">
        <v>821</v>
      </c>
      <c r="H943" s="34" t="n">
        <f aca="false">G943*2</f>
        <v>1642</v>
      </c>
      <c r="I943" s="39" t="str">
        <f aca="false">A943&amp;"|"&amp;B943&amp;"|"&amp;D943&amp;"|"&amp;E943&amp;F943</f>
        <v>auto|McAlester|scenario E (age 70)|female</v>
      </c>
      <c r="J943" s="34" t="n">
        <f aca="false" t="array" ref="J943:J943">MEDIAN(IF($I$4:$I$1803=I943,$H$4:$H$1803))</f>
        <v>1353</v>
      </c>
      <c r="K943" s="59" t="n">
        <f aca="false">H943/J943</f>
        <v>1.21359940872136</v>
      </c>
    </row>
    <row r="944" customFormat="false" ht="15" hidden="false" customHeight="false" outlineLevel="0" collapsed="false">
      <c r="A944" s="39" t="s">
        <v>879</v>
      </c>
      <c r="B944" s="39" t="s">
        <v>911</v>
      </c>
      <c r="C944" s="39" t="s">
        <v>902</v>
      </c>
      <c r="D944" s="39" t="s">
        <v>882</v>
      </c>
      <c r="E944" s="39" t="s">
        <v>883</v>
      </c>
      <c r="F944" s="39"/>
      <c r="G944" s="58" t="n">
        <v>813</v>
      </c>
      <c r="H944" s="34" t="n">
        <f aca="false">G944*2</f>
        <v>1626</v>
      </c>
      <c r="I944" s="39" t="str">
        <f aca="false">A944&amp;"|"&amp;B944&amp;"|"&amp;D944&amp;"|"&amp;E944&amp;F944</f>
        <v>auto|McAlester|scenario A (age 16)|male</v>
      </c>
      <c r="J944" s="34" t="n">
        <f aca="false" t="array" ref="J944:J944">MEDIAN(IF($I$4:$I$1803=I944,$H$4:$H$1803))</f>
        <v>7266</v>
      </c>
      <c r="K944" s="59" t="n">
        <f aca="false">H944/J944</f>
        <v>0.223781998348472</v>
      </c>
    </row>
    <row r="945" customFormat="false" ht="15" hidden="false" customHeight="false" outlineLevel="0" collapsed="false">
      <c r="A945" s="39" t="s">
        <v>879</v>
      </c>
      <c r="B945" s="39" t="s">
        <v>911</v>
      </c>
      <c r="C945" s="39" t="s">
        <v>902</v>
      </c>
      <c r="D945" s="39" t="s">
        <v>882</v>
      </c>
      <c r="E945" s="39" t="s">
        <v>884</v>
      </c>
      <c r="F945" s="39"/>
      <c r="G945" s="58" t="n">
        <v>815</v>
      </c>
      <c r="H945" s="34" t="n">
        <f aca="false">G945*2</f>
        <v>1630</v>
      </c>
      <c r="I945" s="39" t="str">
        <f aca="false">A945&amp;"|"&amp;B945&amp;"|"&amp;D945&amp;"|"&amp;E945&amp;F945</f>
        <v>auto|McAlester|scenario A (age 16)|female</v>
      </c>
      <c r="J945" s="34" t="n">
        <f aca="false" t="array" ref="J945:J945">MEDIAN(IF($I$4:$I$1803=I945,$H$4:$H$1803))</f>
        <v>5984</v>
      </c>
      <c r="K945" s="59" t="n">
        <f aca="false">H945/J945</f>
        <v>0.272393048128342</v>
      </c>
    </row>
    <row r="946" customFormat="false" ht="15" hidden="false" customHeight="false" outlineLevel="0" collapsed="false">
      <c r="A946" s="39" t="s">
        <v>879</v>
      </c>
      <c r="B946" s="39" t="s">
        <v>911</v>
      </c>
      <c r="C946" s="39" t="s">
        <v>902</v>
      </c>
      <c r="D946" s="39" t="s">
        <v>885</v>
      </c>
      <c r="E946" s="39" t="s">
        <v>883</v>
      </c>
      <c r="F946" s="39"/>
      <c r="G946" s="58" t="n">
        <v>1513</v>
      </c>
      <c r="H946" s="34" t="n">
        <f aca="false">G946*2</f>
        <v>3026</v>
      </c>
      <c r="I946" s="39" t="str">
        <f aca="false">A946&amp;"|"&amp;B946&amp;"|"&amp;D946&amp;"|"&amp;E946&amp;F946</f>
        <v>auto|McAlester|scenario B (age 21)|male</v>
      </c>
      <c r="J946" s="34" t="n">
        <f aca="false" t="array" ref="J946:J946">MEDIAN(IF($I$4:$I$1803=I946,$H$4:$H$1803))</f>
        <v>3026</v>
      </c>
      <c r="K946" s="59" t="n">
        <f aca="false">H946/J946</f>
        <v>1</v>
      </c>
    </row>
    <row r="947" customFormat="false" ht="15" hidden="false" customHeight="false" outlineLevel="0" collapsed="false">
      <c r="A947" s="39" t="s">
        <v>879</v>
      </c>
      <c r="B947" s="39" t="s">
        <v>911</v>
      </c>
      <c r="C947" s="39" t="s">
        <v>902</v>
      </c>
      <c r="D947" s="39" t="s">
        <v>885</v>
      </c>
      <c r="E947" s="39" t="s">
        <v>884</v>
      </c>
      <c r="F947" s="39"/>
      <c r="G947" s="58" t="n">
        <v>1529</v>
      </c>
      <c r="H947" s="34" t="n">
        <f aca="false">G947*2</f>
        <v>3058</v>
      </c>
      <c r="I947" s="39" t="str">
        <f aca="false">A947&amp;"|"&amp;B947&amp;"|"&amp;D947&amp;"|"&amp;E947&amp;F947</f>
        <v>auto|McAlester|scenario B (age 21)|female</v>
      </c>
      <c r="J947" s="34" t="n">
        <f aca="false" t="array" ref="J947:J947">MEDIAN(IF($I$4:$I$1803=I947,$H$4:$H$1803))</f>
        <v>2705</v>
      </c>
      <c r="K947" s="59" t="n">
        <f aca="false">H947/J947</f>
        <v>1.13049907578558</v>
      </c>
    </row>
    <row r="948" customFormat="false" ht="15" hidden="false" customHeight="false" outlineLevel="0" collapsed="false">
      <c r="A948" s="39" t="s">
        <v>879</v>
      </c>
      <c r="B948" s="39" t="s">
        <v>911</v>
      </c>
      <c r="C948" s="39" t="s">
        <v>902</v>
      </c>
      <c r="D948" s="39" t="s">
        <v>886</v>
      </c>
      <c r="E948" s="39" t="s">
        <v>883</v>
      </c>
      <c r="F948" s="39"/>
      <c r="G948" s="58" t="n">
        <v>1281</v>
      </c>
      <c r="H948" s="34" t="n">
        <f aca="false">G948*2</f>
        <v>2562</v>
      </c>
      <c r="I948" s="39" t="str">
        <f aca="false">A948&amp;"|"&amp;B948&amp;"|"&amp;D948&amp;"|"&amp;E948&amp;F948</f>
        <v>auto|McAlester|scenario C (age 36)|male</v>
      </c>
      <c r="J948" s="34" t="n">
        <f aca="false" t="array" ref="J948:J948">MEDIAN(IF($I$4:$I$1803=I948,$H$4:$H$1803))</f>
        <v>1788</v>
      </c>
      <c r="K948" s="59" t="n">
        <f aca="false">H948/J948</f>
        <v>1.43288590604027</v>
      </c>
    </row>
    <row r="949" customFormat="false" ht="15" hidden="false" customHeight="false" outlineLevel="0" collapsed="false">
      <c r="A949" s="39" t="s">
        <v>879</v>
      </c>
      <c r="B949" s="39" t="s">
        <v>911</v>
      </c>
      <c r="C949" s="39" t="s">
        <v>902</v>
      </c>
      <c r="D949" s="39" t="s">
        <v>886</v>
      </c>
      <c r="E949" s="39" t="s">
        <v>884</v>
      </c>
      <c r="F949" s="39"/>
      <c r="G949" s="58" t="n">
        <v>1294</v>
      </c>
      <c r="H949" s="34" t="n">
        <f aca="false">G949*2</f>
        <v>2588</v>
      </c>
      <c r="I949" s="39" t="str">
        <f aca="false">A949&amp;"|"&amp;B949&amp;"|"&amp;D949&amp;"|"&amp;E949&amp;F949</f>
        <v>auto|McAlester|scenario C (age 36)|female</v>
      </c>
      <c r="J949" s="34" t="n">
        <f aca="false" t="array" ref="J949:J949">MEDIAN(IF($I$4:$I$1803=I949,$H$4:$H$1803))</f>
        <v>1761</v>
      </c>
      <c r="K949" s="59" t="n">
        <f aca="false">H949/J949</f>
        <v>1.46961953435548</v>
      </c>
    </row>
    <row r="950" customFormat="false" ht="15" hidden="false" customHeight="false" outlineLevel="0" collapsed="false">
      <c r="A950" s="39" t="s">
        <v>879</v>
      </c>
      <c r="B950" s="39" t="s">
        <v>911</v>
      </c>
      <c r="C950" s="39" t="s">
        <v>902</v>
      </c>
      <c r="D950" s="39" t="s">
        <v>887</v>
      </c>
      <c r="E950" s="39" t="s">
        <v>883</v>
      </c>
      <c r="F950" s="39"/>
      <c r="G950" s="58" t="n">
        <v>1210</v>
      </c>
      <c r="H950" s="34" t="n">
        <f aca="false">G950*2</f>
        <v>2420</v>
      </c>
      <c r="I950" s="39" t="str">
        <f aca="false">A950&amp;"|"&amp;B950&amp;"|"&amp;D950&amp;"|"&amp;E950&amp;F950</f>
        <v>auto|McAlester|scenario D (age 55)|male</v>
      </c>
      <c r="J950" s="34" t="n">
        <f aca="false" t="array" ref="J950:J950">MEDIAN(IF($I$4:$I$1803=I950,$H$4:$H$1803))</f>
        <v>1605</v>
      </c>
      <c r="K950" s="59" t="n">
        <f aca="false">H950/J950</f>
        <v>1.50778816199377</v>
      </c>
    </row>
    <row r="951" customFormat="false" ht="15" hidden="false" customHeight="false" outlineLevel="0" collapsed="false">
      <c r="A951" s="39" t="s">
        <v>879</v>
      </c>
      <c r="B951" s="39" t="s">
        <v>911</v>
      </c>
      <c r="C951" s="39" t="s">
        <v>902</v>
      </c>
      <c r="D951" s="39" t="s">
        <v>887</v>
      </c>
      <c r="E951" s="39" t="s">
        <v>884</v>
      </c>
      <c r="F951" s="39"/>
      <c r="G951" s="58" t="n">
        <v>1211</v>
      </c>
      <c r="H951" s="34" t="n">
        <f aca="false">G951*2</f>
        <v>2422</v>
      </c>
      <c r="I951" s="39" t="str">
        <f aca="false">A951&amp;"|"&amp;B951&amp;"|"&amp;D951&amp;"|"&amp;E951&amp;F951</f>
        <v>auto|McAlester|scenario D (age 55)|female</v>
      </c>
      <c r="J951" s="34" t="n">
        <f aca="false" t="array" ref="J951:J951">MEDIAN(IF($I$4:$I$1803=I951,$H$4:$H$1803))</f>
        <v>1587</v>
      </c>
      <c r="K951" s="59" t="n">
        <f aca="false">H951/J951</f>
        <v>1.52614996849401</v>
      </c>
    </row>
    <row r="952" customFormat="false" ht="15" hidden="false" customHeight="false" outlineLevel="0" collapsed="false">
      <c r="A952" s="39" t="s">
        <v>879</v>
      </c>
      <c r="B952" s="39" t="s">
        <v>911</v>
      </c>
      <c r="C952" s="39" t="s">
        <v>902</v>
      </c>
      <c r="D952" s="39" t="s">
        <v>888</v>
      </c>
      <c r="E952" s="39" t="s">
        <v>883</v>
      </c>
      <c r="F952" s="39"/>
      <c r="G952" s="58" t="n">
        <v>557</v>
      </c>
      <c r="H952" s="34" t="n">
        <f aca="false">G952*2</f>
        <v>1114</v>
      </c>
      <c r="I952" s="39" t="str">
        <f aca="false">A952&amp;"|"&amp;B952&amp;"|"&amp;D952&amp;"|"&amp;E952&amp;F952</f>
        <v>auto|McAlester|scenario E (age 70)|male</v>
      </c>
      <c r="J952" s="34" t="n">
        <f aca="false" t="array" ref="J952:J952">MEDIAN(IF($I$4:$I$1803=I952,$H$4:$H$1803))</f>
        <v>1392</v>
      </c>
      <c r="K952" s="59" t="n">
        <f aca="false">H952/J952</f>
        <v>0.800287356321839</v>
      </c>
    </row>
    <row r="953" customFormat="false" ht="15" hidden="false" customHeight="false" outlineLevel="0" collapsed="false">
      <c r="A953" s="39" t="s">
        <v>879</v>
      </c>
      <c r="B953" s="39" t="s">
        <v>911</v>
      </c>
      <c r="C953" s="39" t="s">
        <v>902</v>
      </c>
      <c r="D953" s="39" t="s">
        <v>888</v>
      </c>
      <c r="E953" s="39" t="s">
        <v>884</v>
      </c>
      <c r="F953" s="39"/>
      <c r="G953" s="58" t="n">
        <v>586</v>
      </c>
      <c r="H953" s="34" t="n">
        <f aca="false">G953*2</f>
        <v>1172</v>
      </c>
      <c r="I953" s="39" t="str">
        <f aca="false">A953&amp;"|"&amp;B953&amp;"|"&amp;D953&amp;"|"&amp;E953&amp;F953</f>
        <v>auto|McAlester|scenario E (age 70)|female</v>
      </c>
      <c r="J953" s="34" t="n">
        <f aca="false" t="array" ref="J953:J953">MEDIAN(IF($I$4:$I$1803=I953,$H$4:$H$1803))</f>
        <v>1353</v>
      </c>
      <c r="K953" s="59" t="n">
        <f aca="false">H953/J953</f>
        <v>0.866223207686622</v>
      </c>
    </row>
    <row r="954" customFormat="false" ht="15" hidden="false" customHeight="false" outlineLevel="0" collapsed="false">
      <c r="A954" s="39" t="s">
        <v>879</v>
      </c>
      <c r="B954" s="39" t="s">
        <v>911</v>
      </c>
      <c r="C954" s="39" t="s">
        <v>903</v>
      </c>
      <c r="D954" s="39" t="s">
        <v>882</v>
      </c>
      <c r="E954" s="39" t="s">
        <v>883</v>
      </c>
      <c r="F954" s="39"/>
      <c r="G954" s="58" t="n">
        <v>597</v>
      </c>
      <c r="H954" s="34" t="n">
        <f aca="false">G954*2</f>
        <v>1194</v>
      </c>
      <c r="I954" s="39" t="str">
        <f aca="false">A954&amp;"|"&amp;B954&amp;"|"&amp;D954&amp;"|"&amp;E954&amp;F954</f>
        <v>auto|McAlester|scenario A (age 16)|male</v>
      </c>
      <c r="J954" s="34" t="n">
        <f aca="false" t="array" ref="J954:J954">MEDIAN(IF($I$4:$I$1803=I954,$H$4:$H$1803))</f>
        <v>7266</v>
      </c>
      <c r="K954" s="59" t="n">
        <f aca="false">H954/J954</f>
        <v>0.164327002477291</v>
      </c>
    </row>
    <row r="955" customFormat="false" ht="15" hidden="false" customHeight="false" outlineLevel="0" collapsed="false">
      <c r="A955" s="39" t="s">
        <v>879</v>
      </c>
      <c r="B955" s="39" t="s">
        <v>911</v>
      </c>
      <c r="C955" s="39" t="s">
        <v>903</v>
      </c>
      <c r="D955" s="39" t="s">
        <v>882</v>
      </c>
      <c r="E955" s="39" t="s">
        <v>884</v>
      </c>
      <c r="F955" s="39"/>
      <c r="G955" s="58" t="n">
        <v>598</v>
      </c>
      <c r="H955" s="34" t="n">
        <f aca="false">G955*2</f>
        <v>1196</v>
      </c>
      <c r="I955" s="39" t="str">
        <f aca="false">A955&amp;"|"&amp;B955&amp;"|"&amp;D955&amp;"|"&amp;E955&amp;F955</f>
        <v>auto|McAlester|scenario A (age 16)|female</v>
      </c>
      <c r="J955" s="34" t="n">
        <f aca="false" t="array" ref="J955:J955">MEDIAN(IF($I$4:$I$1803=I955,$H$4:$H$1803))</f>
        <v>5984</v>
      </c>
      <c r="K955" s="59" t="n">
        <f aca="false">H955/J955</f>
        <v>0.199866310160428</v>
      </c>
    </row>
    <row r="956" customFormat="false" ht="15" hidden="false" customHeight="false" outlineLevel="0" collapsed="false">
      <c r="A956" s="39" t="s">
        <v>879</v>
      </c>
      <c r="B956" s="39" t="s">
        <v>911</v>
      </c>
      <c r="C956" s="39" t="s">
        <v>903</v>
      </c>
      <c r="D956" s="39" t="s">
        <v>885</v>
      </c>
      <c r="E956" s="39" t="s">
        <v>883</v>
      </c>
      <c r="F956" s="39"/>
      <c r="G956" s="58" t="n">
        <v>1111</v>
      </c>
      <c r="H956" s="34" t="n">
        <f aca="false">G956*2</f>
        <v>2222</v>
      </c>
      <c r="I956" s="39" t="str">
        <f aca="false">A956&amp;"|"&amp;B956&amp;"|"&amp;D956&amp;"|"&amp;E956&amp;F956</f>
        <v>auto|McAlester|scenario B (age 21)|male</v>
      </c>
      <c r="J956" s="34" t="n">
        <f aca="false" t="array" ref="J956:J956">MEDIAN(IF($I$4:$I$1803=I956,$H$4:$H$1803))</f>
        <v>3026</v>
      </c>
      <c r="K956" s="59" t="n">
        <f aca="false">H956/J956</f>
        <v>0.734302709847984</v>
      </c>
    </row>
    <row r="957" customFormat="false" ht="15" hidden="false" customHeight="false" outlineLevel="0" collapsed="false">
      <c r="A957" s="39" t="s">
        <v>879</v>
      </c>
      <c r="B957" s="39" t="s">
        <v>911</v>
      </c>
      <c r="C957" s="39" t="s">
        <v>903</v>
      </c>
      <c r="D957" s="39" t="s">
        <v>885</v>
      </c>
      <c r="E957" s="39" t="s">
        <v>884</v>
      </c>
      <c r="F957" s="39"/>
      <c r="G957" s="58" t="n">
        <v>1123</v>
      </c>
      <c r="H957" s="34" t="n">
        <f aca="false">G957*2</f>
        <v>2246</v>
      </c>
      <c r="I957" s="39" t="str">
        <f aca="false">A957&amp;"|"&amp;B957&amp;"|"&amp;D957&amp;"|"&amp;E957&amp;F957</f>
        <v>auto|McAlester|scenario B (age 21)|female</v>
      </c>
      <c r="J957" s="34" t="n">
        <f aca="false" t="array" ref="J957:J957">MEDIAN(IF($I$4:$I$1803=I957,$H$4:$H$1803))</f>
        <v>2705</v>
      </c>
      <c r="K957" s="59" t="n">
        <f aca="false">H957/J957</f>
        <v>0.830314232902033</v>
      </c>
    </row>
    <row r="958" customFormat="false" ht="15" hidden="false" customHeight="false" outlineLevel="0" collapsed="false">
      <c r="A958" s="39" t="s">
        <v>879</v>
      </c>
      <c r="B958" s="39" t="s">
        <v>911</v>
      </c>
      <c r="C958" s="39" t="s">
        <v>903</v>
      </c>
      <c r="D958" s="39" t="s">
        <v>886</v>
      </c>
      <c r="E958" s="39" t="s">
        <v>883</v>
      </c>
      <c r="F958" s="39"/>
      <c r="G958" s="58" t="n">
        <v>941</v>
      </c>
      <c r="H958" s="34" t="n">
        <f aca="false">G958*2</f>
        <v>1882</v>
      </c>
      <c r="I958" s="39" t="str">
        <f aca="false">A958&amp;"|"&amp;B958&amp;"|"&amp;D958&amp;"|"&amp;E958&amp;F958</f>
        <v>auto|McAlester|scenario C (age 36)|male</v>
      </c>
      <c r="J958" s="34" t="n">
        <f aca="false" t="array" ref="J958:J958">MEDIAN(IF($I$4:$I$1803=I958,$H$4:$H$1803))</f>
        <v>1788</v>
      </c>
      <c r="K958" s="59" t="n">
        <f aca="false">H958/J958</f>
        <v>1.05257270693512</v>
      </c>
    </row>
    <row r="959" customFormat="false" ht="15" hidden="false" customHeight="false" outlineLevel="0" collapsed="false">
      <c r="A959" s="39" t="s">
        <v>879</v>
      </c>
      <c r="B959" s="39" t="s">
        <v>911</v>
      </c>
      <c r="C959" s="39" t="s">
        <v>903</v>
      </c>
      <c r="D959" s="39" t="s">
        <v>886</v>
      </c>
      <c r="E959" s="39" t="s">
        <v>884</v>
      </c>
      <c r="F959" s="39"/>
      <c r="G959" s="58" t="n">
        <v>950</v>
      </c>
      <c r="H959" s="34" t="n">
        <f aca="false">G959*2</f>
        <v>1900</v>
      </c>
      <c r="I959" s="39" t="str">
        <f aca="false">A959&amp;"|"&amp;B959&amp;"|"&amp;D959&amp;"|"&amp;E959&amp;F959</f>
        <v>auto|McAlester|scenario C (age 36)|female</v>
      </c>
      <c r="J959" s="34" t="n">
        <f aca="false" t="array" ref="J959:J959">MEDIAN(IF($I$4:$I$1803=I959,$H$4:$H$1803))</f>
        <v>1761</v>
      </c>
      <c r="K959" s="59" t="n">
        <f aca="false">H959/J959</f>
        <v>1.07893242475866</v>
      </c>
    </row>
    <row r="960" customFormat="false" ht="15" hidden="false" customHeight="false" outlineLevel="0" collapsed="false">
      <c r="A960" s="39" t="s">
        <v>879</v>
      </c>
      <c r="B960" s="39" t="s">
        <v>911</v>
      </c>
      <c r="C960" s="39" t="s">
        <v>903</v>
      </c>
      <c r="D960" s="39" t="s">
        <v>887</v>
      </c>
      <c r="E960" s="39" t="s">
        <v>883</v>
      </c>
      <c r="F960" s="39"/>
      <c r="G960" s="58" t="n">
        <v>889</v>
      </c>
      <c r="H960" s="34" t="n">
        <f aca="false">G960*2</f>
        <v>1778</v>
      </c>
      <c r="I960" s="39" t="str">
        <f aca="false">A960&amp;"|"&amp;B960&amp;"|"&amp;D960&amp;"|"&amp;E960&amp;F960</f>
        <v>auto|McAlester|scenario D (age 55)|male</v>
      </c>
      <c r="J960" s="34" t="n">
        <f aca="false" t="array" ref="J960:J960">MEDIAN(IF($I$4:$I$1803=I960,$H$4:$H$1803))</f>
        <v>1605</v>
      </c>
      <c r="K960" s="59" t="n">
        <f aca="false">H960/J960</f>
        <v>1.10778816199377</v>
      </c>
    </row>
    <row r="961" customFormat="false" ht="15" hidden="false" customHeight="false" outlineLevel="0" collapsed="false">
      <c r="A961" s="39" t="s">
        <v>879</v>
      </c>
      <c r="B961" s="39" t="s">
        <v>911</v>
      </c>
      <c r="C961" s="39" t="s">
        <v>903</v>
      </c>
      <c r="D961" s="39" t="s">
        <v>887</v>
      </c>
      <c r="E961" s="39" t="s">
        <v>884</v>
      </c>
      <c r="F961" s="39"/>
      <c r="G961" s="58" t="n">
        <v>890</v>
      </c>
      <c r="H961" s="34" t="n">
        <f aca="false">G961*2</f>
        <v>1780</v>
      </c>
      <c r="I961" s="39" t="str">
        <f aca="false">A961&amp;"|"&amp;B961&amp;"|"&amp;D961&amp;"|"&amp;E961&amp;F961</f>
        <v>auto|McAlester|scenario D (age 55)|female</v>
      </c>
      <c r="J961" s="34" t="n">
        <f aca="false" t="array" ref="J961:J961">MEDIAN(IF($I$4:$I$1803=I961,$H$4:$H$1803))</f>
        <v>1587</v>
      </c>
      <c r="K961" s="59" t="n">
        <f aca="false">H961/J961</f>
        <v>1.12161310649023</v>
      </c>
    </row>
    <row r="962" customFormat="false" ht="15" hidden="false" customHeight="false" outlineLevel="0" collapsed="false">
      <c r="A962" s="39" t="s">
        <v>879</v>
      </c>
      <c r="B962" s="39" t="s">
        <v>911</v>
      </c>
      <c r="C962" s="39" t="s">
        <v>903</v>
      </c>
      <c r="D962" s="39" t="s">
        <v>888</v>
      </c>
      <c r="E962" s="39" t="s">
        <v>883</v>
      </c>
      <c r="F962" s="39"/>
      <c r="G962" s="58" t="n">
        <v>409</v>
      </c>
      <c r="H962" s="34" t="n">
        <f aca="false">G962*2</f>
        <v>818</v>
      </c>
      <c r="I962" s="39" t="str">
        <f aca="false">A962&amp;"|"&amp;B962&amp;"|"&amp;D962&amp;"|"&amp;E962&amp;F962</f>
        <v>auto|McAlester|scenario E (age 70)|male</v>
      </c>
      <c r="J962" s="34" t="n">
        <f aca="false" t="array" ref="J962:J962">MEDIAN(IF($I$4:$I$1803=I962,$H$4:$H$1803))</f>
        <v>1392</v>
      </c>
      <c r="K962" s="59" t="n">
        <f aca="false">H962/J962</f>
        <v>0.58764367816092</v>
      </c>
    </row>
    <row r="963" customFormat="false" ht="15" hidden="false" customHeight="false" outlineLevel="0" collapsed="false">
      <c r="A963" s="39" t="s">
        <v>879</v>
      </c>
      <c r="B963" s="39" t="s">
        <v>911</v>
      </c>
      <c r="C963" s="39" t="s">
        <v>903</v>
      </c>
      <c r="D963" s="39" t="s">
        <v>888</v>
      </c>
      <c r="E963" s="39" t="s">
        <v>884</v>
      </c>
      <c r="F963" s="39"/>
      <c r="G963" s="58" t="n">
        <v>431</v>
      </c>
      <c r="H963" s="34" t="n">
        <f aca="false">G963*2</f>
        <v>862</v>
      </c>
      <c r="I963" s="39" t="str">
        <f aca="false">A963&amp;"|"&amp;B963&amp;"|"&amp;D963&amp;"|"&amp;E963&amp;F963</f>
        <v>auto|McAlester|scenario E (age 70)|female</v>
      </c>
      <c r="J963" s="34" t="n">
        <f aca="false" t="array" ref="J963:J963">MEDIAN(IF($I$4:$I$1803=I963,$H$4:$H$1803))</f>
        <v>1353</v>
      </c>
      <c r="K963" s="59" t="n">
        <f aca="false">H963/J963</f>
        <v>0.63710273466371</v>
      </c>
    </row>
    <row r="964" customFormat="false" ht="15" hidden="false" customHeight="false" outlineLevel="0" collapsed="false">
      <c r="A964" s="39" t="s">
        <v>879</v>
      </c>
      <c r="B964" s="39" t="s">
        <v>911</v>
      </c>
      <c r="C964" s="39" t="s">
        <v>904</v>
      </c>
      <c r="D964" s="39" t="s">
        <v>882</v>
      </c>
      <c r="E964" s="39" t="s">
        <v>883</v>
      </c>
      <c r="F964" s="39"/>
      <c r="G964" s="58" t="n">
        <v>4379</v>
      </c>
      <c r="H964" s="34" t="n">
        <f aca="false">G964*2</f>
        <v>8758</v>
      </c>
      <c r="I964" s="39" t="str">
        <f aca="false">A964&amp;"|"&amp;B964&amp;"|"&amp;D964&amp;"|"&amp;E964&amp;F964</f>
        <v>auto|McAlester|scenario A (age 16)|male</v>
      </c>
      <c r="J964" s="34" t="n">
        <f aca="false" t="array" ref="J964:J964">MEDIAN(IF($I$4:$I$1803=I964,$H$4:$H$1803))</f>
        <v>7266</v>
      </c>
      <c r="K964" s="59" t="n">
        <f aca="false">H964/J964</f>
        <v>1.20533993944399</v>
      </c>
    </row>
    <row r="965" customFormat="false" ht="15" hidden="false" customHeight="false" outlineLevel="0" collapsed="false">
      <c r="A965" s="39" t="s">
        <v>879</v>
      </c>
      <c r="B965" s="39" t="s">
        <v>911</v>
      </c>
      <c r="C965" s="39" t="s">
        <v>904</v>
      </c>
      <c r="D965" s="39" t="s">
        <v>882</v>
      </c>
      <c r="E965" s="39" t="s">
        <v>884</v>
      </c>
      <c r="F965" s="39"/>
      <c r="G965" s="58" t="n">
        <v>3380</v>
      </c>
      <c r="H965" s="34" t="n">
        <f aca="false">G965*2</f>
        <v>6760</v>
      </c>
      <c r="I965" s="39" t="str">
        <f aca="false">A965&amp;"|"&amp;B965&amp;"|"&amp;D965&amp;"|"&amp;E965&amp;F965</f>
        <v>auto|McAlester|scenario A (age 16)|female</v>
      </c>
      <c r="J965" s="34" t="n">
        <f aca="false" t="array" ref="J965:J965">MEDIAN(IF($I$4:$I$1803=I965,$H$4:$H$1803))</f>
        <v>5984</v>
      </c>
      <c r="K965" s="59" t="n">
        <f aca="false">H965/J965</f>
        <v>1.12967914438503</v>
      </c>
    </row>
    <row r="966" customFormat="false" ht="15" hidden="false" customHeight="false" outlineLevel="0" collapsed="false">
      <c r="A966" s="39" t="s">
        <v>879</v>
      </c>
      <c r="B966" s="39" t="s">
        <v>911</v>
      </c>
      <c r="C966" s="39" t="s">
        <v>904</v>
      </c>
      <c r="D966" s="39" t="s">
        <v>885</v>
      </c>
      <c r="E966" s="39" t="s">
        <v>883</v>
      </c>
      <c r="F966" s="39"/>
      <c r="G966" s="58" t="n">
        <v>3233</v>
      </c>
      <c r="H966" s="34" t="n">
        <f aca="false">G966*2</f>
        <v>6466</v>
      </c>
      <c r="I966" s="39" t="str">
        <f aca="false">A966&amp;"|"&amp;B966&amp;"|"&amp;D966&amp;"|"&amp;E966&amp;F966</f>
        <v>auto|McAlester|scenario B (age 21)|male</v>
      </c>
      <c r="J966" s="34" t="n">
        <f aca="false" t="array" ref="J966:J966">MEDIAN(IF($I$4:$I$1803=I966,$H$4:$H$1803))</f>
        <v>3026</v>
      </c>
      <c r="K966" s="59" t="n">
        <f aca="false">H966/J966</f>
        <v>2.13681427627231</v>
      </c>
    </row>
    <row r="967" customFormat="false" ht="15" hidden="false" customHeight="false" outlineLevel="0" collapsed="false">
      <c r="A967" s="39" t="s">
        <v>879</v>
      </c>
      <c r="B967" s="39" t="s">
        <v>911</v>
      </c>
      <c r="C967" s="39" t="s">
        <v>904</v>
      </c>
      <c r="D967" s="39" t="s">
        <v>885</v>
      </c>
      <c r="E967" s="39" t="s">
        <v>884</v>
      </c>
      <c r="F967" s="39"/>
      <c r="G967" s="58" t="n">
        <v>2389</v>
      </c>
      <c r="H967" s="34" t="n">
        <f aca="false">G967*2</f>
        <v>4778</v>
      </c>
      <c r="I967" s="39" t="str">
        <f aca="false">A967&amp;"|"&amp;B967&amp;"|"&amp;D967&amp;"|"&amp;E967&amp;F967</f>
        <v>auto|McAlester|scenario B (age 21)|female</v>
      </c>
      <c r="J967" s="34" t="n">
        <f aca="false" t="array" ref="J967:J967">MEDIAN(IF($I$4:$I$1803=I967,$H$4:$H$1803))</f>
        <v>2705</v>
      </c>
      <c r="K967" s="59" t="n">
        <f aca="false">H967/J967</f>
        <v>1.76635859519409</v>
      </c>
    </row>
    <row r="968" customFormat="false" ht="15" hidden="false" customHeight="false" outlineLevel="0" collapsed="false">
      <c r="A968" s="39" t="s">
        <v>879</v>
      </c>
      <c r="B968" s="39" t="s">
        <v>911</v>
      </c>
      <c r="C968" s="39" t="s">
        <v>904</v>
      </c>
      <c r="D968" s="39" t="s">
        <v>886</v>
      </c>
      <c r="E968" s="39" t="s">
        <v>883</v>
      </c>
      <c r="F968" s="39"/>
      <c r="G968" s="58" t="n">
        <v>1050</v>
      </c>
      <c r="H968" s="34" t="n">
        <f aca="false">G968*2</f>
        <v>2100</v>
      </c>
      <c r="I968" s="39" t="str">
        <f aca="false">A968&amp;"|"&amp;B968&amp;"|"&amp;D968&amp;"|"&amp;E968&amp;F968</f>
        <v>auto|McAlester|scenario C (age 36)|male</v>
      </c>
      <c r="J968" s="34" t="n">
        <f aca="false" t="array" ref="J968:J968">MEDIAN(IF($I$4:$I$1803=I968,$H$4:$H$1803))</f>
        <v>1788</v>
      </c>
      <c r="K968" s="59" t="n">
        <f aca="false">H968/J968</f>
        <v>1.1744966442953</v>
      </c>
    </row>
    <row r="969" customFormat="false" ht="15" hidden="false" customHeight="false" outlineLevel="0" collapsed="false">
      <c r="A969" s="39" t="s">
        <v>879</v>
      </c>
      <c r="B969" s="39" t="s">
        <v>911</v>
      </c>
      <c r="C969" s="39" t="s">
        <v>904</v>
      </c>
      <c r="D969" s="39" t="s">
        <v>886</v>
      </c>
      <c r="E969" s="39" t="s">
        <v>884</v>
      </c>
      <c r="F969" s="39"/>
      <c r="G969" s="58" t="n">
        <v>1033</v>
      </c>
      <c r="H969" s="34" t="n">
        <f aca="false">G969*2</f>
        <v>2066</v>
      </c>
      <c r="I969" s="39" t="str">
        <f aca="false">A969&amp;"|"&amp;B969&amp;"|"&amp;D969&amp;"|"&amp;E969&amp;F969</f>
        <v>auto|McAlester|scenario C (age 36)|female</v>
      </c>
      <c r="J969" s="34" t="n">
        <f aca="false" t="array" ref="J969:J969">MEDIAN(IF($I$4:$I$1803=I969,$H$4:$H$1803))</f>
        <v>1761</v>
      </c>
      <c r="K969" s="59" t="n">
        <f aca="false">H969/J969</f>
        <v>1.17319704713231</v>
      </c>
    </row>
    <row r="970" customFormat="false" ht="15" hidden="false" customHeight="false" outlineLevel="0" collapsed="false">
      <c r="A970" s="39" t="s">
        <v>879</v>
      </c>
      <c r="B970" s="39" t="s">
        <v>911</v>
      </c>
      <c r="C970" s="39" t="s">
        <v>904</v>
      </c>
      <c r="D970" s="39" t="s">
        <v>887</v>
      </c>
      <c r="E970" s="39" t="s">
        <v>883</v>
      </c>
      <c r="F970" s="39"/>
      <c r="G970" s="58" t="n">
        <v>1032</v>
      </c>
      <c r="H970" s="34" t="n">
        <f aca="false">G970*2</f>
        <v>2064</v>
      </c>
      <c r="I970" s="39" t="str">
        <f aca="false">A970&amp;"|"&amp;B970&amp;"|"&amp;D970&amp;"|"&amp;E970&amp;F970</f>
        <v>auto|McAlester|scenario D (age 55)|male</v>
      </c>
      <c r="J970" s="34" t="n">
        <f aca="false" t="array" ref="J970:J970">MEDIAN(IF($I$4:$I$1803=I970,$H$4:$H$1803))</f>
        <v>1605</v>
      </c>
      <c r="K970" s="59" t="n">
        <f aca="false">H970/J970</f>
        <v>1.28598130841122</v>
      </c>
    </row>
    <row r="971" customFormat="false" ht="15" hidden="false" customHeight="false" outlineLevel="0" collapsed="false">
      <c r="A971" s="39" t="s">
        <v>879</v>
      </c>
      <c r="B971" s="39" t="s">
        <v>911</v>
      </c>
      <c r="C971" s="39" t="s">
        <v>904</v>
      </c>
      <c r="D971" s="39" t="s">
        <v>887</v>
      </c>
      <c r="E971" s="39" t="s">
        <v>884</v>
      </c>
      <c r="F971" s="39"/>
      <c r="G971" s="58" t="n">
        <v>973</v>
      </c>
      <c r="H971" s="34" t="n">
        <f aca="false">G971*2</f>
        <v>1946</v>
      </c>
      <c r="I971" s="39" t="str">
        <f aca="false">A971&amp;"|"&amp;B971&amp;"|"&amp;D971&amp;"|"&amp;E971&amp;F971</f>
        <v>auto|McAlester|scenario D (age 55)|female</v>
      </c>
      <c r="J971" s="34" t="n">
        <f aca="false" t="array" ref="J971:J971">MEDIAN(IF($I$4:$I$1803=I971,$H$4:$H$1803))</f>
        <v>1587</v>
      </c>
      <c r="K971" s="59" t="n">
        <f aca="false">H971/J971</f>
        <v>1.22621298046629</v>
      </c>
    </row>
    <row r="972" customFormat="false" ht="15" hidden="false" customHeight="false" outlineLevel="0" collapsed="false">
      <c r="A972" s="39" t="s">
        <v>879</v>
      </c>
      <c r="B972" s="39" t="s">
        <v>911</v>
      </c>
      <c r="C972" s="39" t="s">
        <v>904</v>
      </c>
      <c r="D972" s="39" t="s">
        <v>888</v>
      </c>
      <c r="E972" s="39" t="s">
        <v>883</v>
      </c>
      <c r="F972" s="39"/>
      <c r="G972" s="58" t="n">
        <v>1151</v>
      </c>
      <c r="H972" s="34" t="n">
        <f aca="false">G972*2</f>
        <v>2302</v>
      </c>
      <c r="I972" s="39" t="str">
        <f aca="false">A972&amp;"|"&amp;B972&amp;"|"&amp;D972&amp;"|"&amp;E972&amp;F972</f>
        <v>auto|McAlester|scenario E (age 70)|male</v>
      </c>
      <c r="J972" s="34" t="n">
        <f aca="false" t="array" ref="J972:J972">MEDIAN(IF($I$4:$I$1803=I972,$H$4:$H$1803))</f>
        <v>1392</v>
      </c>
      <c r="K972" s="59" t="n">
        <f aca="false">H972/J972</f>
        <v>1.65373563218391</v>
      </c>
    </row>
    <row r="973" customFormat="false" ht="15" hidden="false" customHeight="false" outlineLevel="0" collapsed="false">
      <c r="A973" s="39" t="s">
        <v>879</v>
      </c>
      <c r="B973" s="39" t="s">
        <v>911</v>
      </c>
      <c r="C973" s="39" t="s">
        <v>904</v>
      </c>
      <c r="D973" s="39" t="s">
        <v>888</v>
      </c>
      <c r="E973" s="39" t="s">
        <v>884</v>
      </c>
      <c r="F973" s="39"/>
      <c r="G973" s="58" t="n">
        <v>1125</v>
      </c>
      <c r="H973" s="34" t="n">
        <f aca="false">G973*2</f>
        <v>2250</v>
      </c>
      <c r="I973" s="39" t="str">
        <f aca="false">A973&amp;"|"&amp;B973&amp;"|"&amp;D973&amp;"|"&amp;E973&amp;F973</f>
        <v>auto|McAlester|scenario E (age 70)|female</v>
      </c>
      <c r="J973" s="34" t="n">
        <f aca="false" t="array" ref="J973:J973">MEDIAN(IF($I$4:$I$1803=I973,$H$4:$H$1803))</f>
        <v>1353</v>
      </c>
      <c r="K973" s="59" t="n">
        <f aca="false">H973/J973</f>
        <v>1.6629711751663</v>
      </c>
    </row>
    <row r="974" customFormat="false" ht="15" hidden="false" customHeight="false" outlineLevel="0" collapsed="false">
      <c r="A974" s="39" t="s">
        <v>879</v>
      </c>
      <c r="B974" s="39" t="s">
        <v>911</v>
      </c>
      <c r="C974" s="39" t="s">
        <v>905</v>
      </c>
      <c r="D974" s="39" t="s">
        <v>882</v>
      </c>
      <c r="E974" s="39" t="s">
        <v>883</v>
      </c>
      <c r="F974" s="39"/>
      <c r="G974" s="58" t="n">
        <v>3146</v>
      </c>
      <c r="H974" s="34" t="n">
        <f aca="false">G974*2</f>
        <v>6292</v>
      </c>
      <c r="I974" s="39" t="str">
        <f aca="false">A974&amp;"|"&amp;B974&amp;"|"&amp;D974&amp;"|"&amp;E974&amp;F974</f>
        <v>auto|McAlester|scenario A (age 16)|male</v>
      </c>
      <c r="J974" s="34" t="n">
        <f aca="false" t="array" ref="J974:J974">MEDIAN(IF($I$4:$I$1803=I974,$H$4:$H$1803))</f>
        <v>7266</v>
      </c>
      <c r="K974" s="59" t="n">
        <f aca="false">H974/J974</f>
        <v>0.865951004679328</v>
      </c>
    </row>
    <row r="975" customFormat="false" ht="15" hidden="false" customHeight="false" outlineLevel="0" collapsed="false">
      <c r="A975" s="39" t="s">
        <v>879</v>
      </c>
      <c r="B975" s="39" t="s">
        <v>911</v>
      </c>
      <c r="C975" s="39" t="s">
        <v>905</v>
      </c>
      <c r="D975" s="39" t="s">
        <v>882</v>
      </c>
      <c r="E975" s="39" t="s">
        <v>884</v>
      </c>
      <c r="F975" s="39"/>
      <c r="G975" s="58" t="n">
        <v>2989</v>
      </c>
      <c r="H975" s="34" t="n">
        <f aca="false">G975*2</f>
        <v>5978</v>
      </c>
      <c r="I975" s="39" t="str">
        <f aca="false">A975&amp;"|"&amp;B975&amp;"|"&amp;D975&amp;"|"&amp;E975&amp;F975</f>
        <v>auto|McAlester|scenario A (age 16)|female</v>
      </c>
      <c r="J975" s="34" t="n">
        <f aca="false" t="array" ref="J975:J975">MEDIAN(IF($I$4:$I$1803=I975,$H$4:$H$1803))</f>
        <v>5984</v>
      </c>
      <c r="K975" s="59" t="n">
        <f aca="false">H975/J975</f>
        <v>0.998997326203209</v>
      </c>
    </row>
    <row r="976" customFormat="false" ht="15" hidden="false" customHeight="false" outlineLevel="0" collapsed="false">
      <c r="A976" s="39" t="s">
        <v>879</v>
      </c>
      <c r="B976" s="39" t="s">
        <v>911</v>
      </c>
      <c r="C976" s="39" t="s">
        <v>905</v>
      </c>
      <c r="D976" s="39" t="s">
        <v>885</v>
      </c>
      <c r="E976" s="39" t="s">
        <v>883</v>
      </c>
      <c r="F976" s="39"/>
      <c r="G976" s="58" t="n">
        <v>1206</v>
      </c>
      <c r="H976" s="34" t="n">
        <f aca="false">G976*2</f>
        <v>2412</v>
      </c>
      <c r="I976" s="39" t="str">
        <f aca="false">A976&amp;"|"&amp;B976&amp;"|"&amp;D976&amp;"|"&amp;E976&amp;F976</f>
        <v>auto|McAlester|scenario B (age 21)|male</v>
      </c>
      <c r="J976" s="34" t="n">
        <f aca="false" t="array" ref="J976:J976">MEDIAN(IF($I$4:$I$1803=I976,$H$4:$H$1803))</f>
        <v>3026</v>
      </c>
      <c r="K976" s="59" t="n">
        <f aca="false">H976/J976</f>
        <v>0.797091870456048</v>
      </c>
    </row>
    <row r="977" customFormat="false" ht="15" hidden="false" customHeight="false" outlineLevel="0" collapsed="false">
      <c r="A977" s="39" t="s">
        <v>879</v>
      </c>
      <c r="B977" s="39" t="s">
        <v>911</v>
      </c>
      <c r="C977" s="39" t="s">
        <v>905</v>
      </c>
      <c r="D977" s="39" t="s">
        <v>885</v>
      </c>
      <c r="E977" s="39" t="s">
        <v>884</v>
      </c>
      <c r="F977" s="39"/>
      <c r="G977" s="58" t="n">
        <v>1129</v>
      </c>
      <c r="H977" s="34" t="n">
        <f aca="false">G977*2</f>
        <v>2258</v>
      </c>
      <c r="I977" s="39" t="str">
        <f aca="false">A977&amp;"|"&amp;B977&amp;"|"&amp;D977&amp;"|"&amp;E977&amp;F977</f>
        <v>auto|McAlester|scenario B (age 21)|female</v>
      </c>
      <c r="J977" s="34" t="n">
        <f aca="false" t="array" ref="J977:J977">MEDIAN(IF($I$4:$I$1803=I977,$H$4:$H$1803))</f>
        <v>2705</v>
      </c>
      <c r="K977" s="59" t="n">
        <f aca="false">H977/J977</f>
        <v>0.834750462107209</v>
      </c>
    </row>
    <row r="978" customFormat="false" ht="15" hidden="false" customHeight="false" outlineLevel="0" collapsed="false">
      <c r="A978" s="39" t="s">
        <v>879</v>
      </c>
      <c r="B978" s="39" t="s">
        <v>911</v>
      </c>
      <c r="C978" s="39" t="s">
        <v>905</v>
      </c>
      <c r="D978" s="39" t="s">
        <v>886</v>
      </c>
      <c r="E978" s="39" t="s">
        <v>883</v>
      </c>
      <c r="F978" s="39"/>
      <c r="G978" s="58" t="n">
        <v>681</v>
      </c>
      <c r="H978" s="34" t="n">
        <f aca="false">G978*2</f>
        <v>1362</v>
      </c>
      <c r="I978" s="39" t="str">
        <f aca="false">A978&amp;"|"&amp;B978&amp;"|"&amp;D978&amp;"|"&amp;E978&amp;F978</f>
        <v>auto|McAlester|scenario C (age 36)|male</v>
      </c>
      <c r="J978" s="34" t="n">
        <f aca="false" t="array" ref="J978:J978">MEDIAN(IF($I$4:$I$1803=I978,$H$4:$H$1803))</f>
        <v>1788</v>
      </c>
      <c r="K978" s="59" t="n">
        <f aca="false">H978/J978</f>
        <v>0.761744966442953</v>
      </c>
    </row>
    <row r="979" customFormat="false" ht="15" hidden="false" customHeight="false" outlineLevel="0" collapsed="false">
      <c r="A979" s="39" t="s">
        <v>879</v>
      </c>
      <c r="B979" s="39" t="s">
        <v>911</v>
      </c>
      <c r="C979" s="39" t="s">
        <v>905</v>
      </c>
      <c r="D979" s="39" t="s">
        <v>886</v>
      </c>
      <c r="E979" s="39" t="s">
        <v>884</v>
      </c>
      <c r="F979" s="39"/>
      <c r="G979" s="58" t="n">
        <v>672</v>
      </c>
      <c r="H979" s="34" t="n">
        <f aca="false">G979*2</f>
        <v>1344</v>
      </c>
      <c r="I979" s="39" t="str">
        <f aca="false">A979&amp;"|"&amp;B979&amp;"|"&amp;D979&amp;"|"&amp;E979&amp;F979</f>
        <v>auto|McAlester|scenario C (age 36)|female</v>
      </c>
      <c r="J979" s="34" t="n">
        <f aca="false" t="array" ref="J979:J979">MEDIAN(IF($I$4:$I$1803=I979,$H$4:$H$1803))</f>
        <v>1761</v>
      </c>
      <c r="K979" s="59" t="n">
        <f aca="false">H979/J979</f>
        <v>0.763202725724021</v>
      </c>
    </row>
    <row r="980" customFormat="false" ht="15" hidden="false" customHeight="false" outlineLevel="0" collapsed="false">
      <c r="A980" s="39" t="s">
        <v>879</v>
      </c>
      <c r="B980" s="39" t="s">
        <v>911</v>
      </c>
      <c r="C980" s="39" t="s">
        <v>905</v>
      </c>
      <c r="D980" s="39" t="s">
        <v>887</v>
      </c>
      <c r="E980" s="39" t="s">
        <v>883</v>
      </c>
      <c r="F980" s="39"/>
      <c r="G980" s="58" t="n">
        <v>622</v>
      </c>
      <c r="H980" s="34" t="n">
        <f aca="false">G980*2</f>
        <v>1244</v>
      </c>
      <c r="I980" s="39" t="str">
        <f aca="false">A980&amp;"|"&amp;B980&amp;"|"&amp;D980&amp;"|"&amp;E980&amp;F980</f>
        <v>auto|McAlester|scenario D (age 55)|male</v>
      </c>
      <c r="J980" s="34" t="n">
        <f aca="false" t="array" ref="J980:J980">MEDIAN(IF($I$4:$I$1803=I980,$H$4:$H$1803))</f>
        <v>1605</v>
      </c>
      <c r="K980" s="59" t="n">
        <f aca="false">H980/J980</f>
        <v>0.775077881619938</v>
      </c>
    </row>
    <row r="981" customFormat="false" ht="15" hidden="false" customHeight="false" outlineLevel="0" collapsed="false">
      <c r="A981" s="39" t="s">
        <v>879</v>
      </c>
      <c r="B981" s="39" t="s">
        <v>911</v>
      </c>
      <c r="C981" s="39" t="s">
        <v>905</v>
      </c>
      <c r="D981" s="39" t="s">
        <v>887</v>
      </c>
      <c r="E981" s="39" t="s">
        <v>884</v>
      </c>
      <c r="F981" s="39"/>
      <c r="G981" s="58" t="n">
        <v>616</v>
      </c>
      <c r="H981" s="34" t="n">
        <f aca="false">G981*2</f>
        <v>1232</v>
      </c>
      <c r="I981" s="39" t="str">
        <f aca="false">A981&amp;"|"&amp;B981&amp;"|"&amp;D981&amp;"|"&amp;E981&amp;F981</f>
        <v>auto|McAlester|scenario D (age 55)|female</v>
      </c>
      <c r="J981" s="34" t="n">
        <f aca="false" t="array" ref="J981:J981">MEDIAN(IF($I$4:$I$1803=I981,$H$4:$H$1803))</f>
        <v>1587</v>
      </c>
      <c r="K981" s="59" t="n">
        <f aca="false">H981/J981</f>
        <v>0.776307498424701</v>
      </c>
    </row>
    <row r="982" customFormat="false" ht="15" hidden="false" customHeight="false" outlineLevel="0" collapsed="false">
      <c r="A982" s="39" t="s">
        <v>879</v>
      </c>
      <c r="B982" s="39" t="s">
        <v>911</v>
      </c>
      <c r="C982" s="39" t="s">
        <v>905</v>
      </c>
      <c r="D982" s="39" t="s">
        <v>888</v>
      </c>
      <c r="E982" s="39" t="s">
        <v>883</v>
      </c>
      <c r="F982" s="39"/>
      <c r="G982" s="58" t="n">
        <v>624</v>
      </c>
      <c r="H982" s="34" t="n">
        <f aca="false">G982*2</f>
        <v>1248</v>
      </c>
      <c r="I982" s="39" t="str">
        <f aca="false">A982&amp;"|"&amp;B982&amp;"|"&amp;D982&amp;"|"&amp;E982&amp;F982</f>
        <v>auto|McAlester|scenario E (age 70)|male</v>
      </c>
      <c r="J982" s="34" t="n">
        <f aca="false" t="array" ref="J982:J982">MEDIAN(IF($I$4:$I$1803=I982,$H$4:$H$1803))</f>
        <v>1392</v>
      </c>
      <c r="K982" s="59" t="n">
        <f aca="false">H982/J982</f>
        <v>0.896551724137931</v>
      </c>
    </row>
    <row r="983" customFormat="false" ht="15" hidden="false" customHeight="false" outlineLevel="0" collapsed="false">
      <c r="A983" s="39" t="s">
        <v>879</v>
      </c>
      <c r="B983" s="39" t="s">
        <v>911</v>
      </c>
      <c r="C983" s="39" t="s">
        <v>905</v>
      </c>
      <c r="D983" s="39" t="s">
        <v>888</v>
      </c>
      <c r="E983" s="39" t="s">
        <v>884</v>
      </c>
      <c r="F983" s="39"/>
      <c r="G983" s="58" t="n">
        <v>629</v>
      </c>
      <c r="H983" s="34" t="n">
        <f aca="false">G983*2</f>
        <v>1258</v>
      </c>
      <c r="I983" s="39" t="str">
        <f aca="false">A983&amp;"|"&amp;B983&amp;"|"&amp;D983&amp;"|"&amp;E983&amp;F983</f>
        <v>auto|McAlester|scenario E (age 70)|female</v>
      </c>
      <c r="J983" s="34" t="n">
        <f aca="false" t="array" ref="J983:J983">MEDIAN(IF($I$4:$I$1803=I983,$H$4:$H$1803))</f>
        <v>1353</v>
      </c>
      <c r="K983" s="59" t="n">
        <f aca="false">H983/J983</f>
        <v>0.929785661492979</v>
      </c>
    </row>
    <row r="984" customFormat="false" ht="15" hidden="false" customHeight="false" outlineLevel="0" collapsed="false">
      <c r="A984" s="39" t="s">
        <v>879</v>
      </c>
      <c r="B984" s="39" t="s">
        <v>911</v>
      </c>
      <c r="C984" s="39" t="s">
        <v>906</v>
      </c>
      <c r="D984" s="39" t="s">
        <v>882</v>
      </c>
      <c r="E984" s="39" t="s">
        <v>883</v>
      </c>
      <c r="F984" s="39"/>
      <c r="G984" s="58" t="n">
        <v>3204</v>
      </c>
      <c r="H984" s="34" t="n">
        <f aca="false">G984*2</f>
        <v>6408</v>
      </c>
      <c r="I984" s="39" t="str">
        <f aca="false">A984&amp;"|"&amp;B984&amp;"|"&amp;D984&amp;"|"&amp;E984&amp;F984</f>
        <v>auto|McAlester|scenario A (age 16)|male</v>
      </c>
      <c r="J984" s="34" t="n">
        <f aca="false" t="array" ref="J984:J984">MEDIAN(IF($I$4:$I$1803=I984,$H$4:$H$1803))</f>
        <v>7266</v>
      </c>
      <c r="K984" s="59" t="n">
        <f aca="false">H984/J984</f>
        <v>0.881915772089183</v>
      </c>
    </row>
    <row r="985" customFormat="false" ht="15" hidden="false" customHeight="false" outlineLevel="0" collapsed="false">
      <c r="A985" s="39" t="s">
        <v>879</v>
      </c>
      <c r="B985" s="39" t="s">
        <v>911</v>
      </c>
      <c r="C985" s="39" t="s">
        <v>906</v>
      </c>
      <c r="D985" s="39" t="s">
        <v>882</v>
      </c>
      <c r="E985" s="39" t="s">
        <v>884</v>
      </c>
      <c r="F985" s="39"/>
      <c r="G985" s="58" t="n">
        <v>3090</v>
      </c>
      <c r="H985" s="34" t="n">
        <f aca="false">G985*2</f>
        <v>6180</v>
      </c>
      <c r="I985" s="39" t="str">
        <f aca="false">A985&amp;"|"&amp;B985&amp;"|"&amp;D985&amp;"|"&amp;E985&amp;F985</f>
        <v>auto|McAlester|scenario A (age 16)|female</v>
      </c>
      <c r="J985" s="34" t="n">
        <f aca="false" t="array" ref="J985:J985">MEDIAN(IF($I$4:$I$1803=I985,$H$4:$H$1803))</f>
        <v>5984</v>
      </c>
      <c r="K985" s="59" t="n">
        <f aca="false">H985/J985</f>
        <v>1.03275401069519</v>
      </c>
    </row>
    <row r="986" customFormat="false" ht="15" hidden="false" customHeight="false" outlineLevel="0" collapsed="false">
      <c r="A986" s="39" t="s">
        <v>879</v>
      </c>
      <c r="B986" s="39" t="s">
        <v>911</v>
      </c>
      <c r="C986" s="39" t="s">
        <v>906</v>
      </c>
      <c r="D986" s="39" t="s">
        <v>885</v>
      </c>
      <c r="E986" s="39" t="s">
        <v>883</v>
      </c>
      <c r="F986" s="39"/>
      <c r="G986" s="58" t="n">
        <v>1222</v>
      </c>
      <c r="H986" s="34" t="n">
        <f aca="false">G986*2</f>
        <v>2444</v>
      </c>
      <c r="I986" s="39" t="str">
        <f aca="false">A986&amp;"|"&amp;B986&amp;"|"&amp;D986&amp;"|"&amp;E986&amp;F986</f>
        <v>auto|McAlester|scenario B (age 21)|male</v>
      </c>
      <c r="J986" s="34" t="n">
        <f aca="false" t="array" ref="J986:J986">MEDIAN(IF($I$4:$I$1803=I986,$H$4:$H$1803))</f>
        <v>3026</v>
      </c>
      <c r="K986" s="59" t="n">
        <f aca="false">H986/J986</f>
        <v>0.807666886979511</v>
      </c>
    </row>
    <row r="987" customFormat="false" ht="15" hidden="false" customHeight="false" outlineLevel="0" collapsed="false">
      <c r="A987" s="39" t="s">
        <v>879</v>
      </c>
      <c r="B987" s="39" t="s">
        <v>911</v>
      </c>
      <c r="C987" s="39" t="s">
        <v>906</v>
      </c>
      <c r="D987" s="39" t="s">
        <v>885</v>
      </c>
      <c r="E987" s="39" t="s">
        <v>884</v>
      </c>
      <c r="F987" s="39"/>
      <c r="G987" s="58" t="n">
        <v>1173</v>
      </c>
      <c r="H987" s="34" t="n">
        <f aca="false">G987*2</f>
        <v>2346</v>
      </c>
      <c r="I987" s="39" t="str">
        <f aca="false">A987&amp;"|"&amp;B987&amp;"|"&amp;D987&amp;"|"&amp;E987&amp;F987</f>
        <v>auto|McAlester|scenario B (age 21)|female</v>
      </c>
      <c r="J987" s="34" t="n">
        <f aca="false" t="array" ref="J987:J987">MEDIAN(IF($I$4:$I$1803=I987,$H$4:$H$1803))</f>
        <v>2705</v>
      </c>
      <c r="K987" s="59" t="n">
        <f aca="false">H987/J987</f>
        <v>0.86728280961183</v>
      </c>
    </row>
    <row r="988" customFormat="false" ht="15" hidden="false" customHeight="false" outlineLevel="0" collapsed="false">
      <c r="A988" s="39" t="s">
        <v>879</v>
      </c>
      <c r="B988" s="39" t="s">
        <v>911</v>
      </c>
      <c r="C988" s="39" t="s">
        <v>906</v>
      </c>
      <c r="D988" s="39" t="s">
        <v>886</v>
      </c>
      <c r="E988" s="39" t="s">
        <v>883</v>
      </c>
      <c r="F988" s="39"/>
      <c r="G988" s="58" t="n">
        <v>701</v>
      </c>
      <c r="H988" s="34" t="n">
        <f aca="false">G988*2</f>
        <v>1402</v>
      </c>
      <c r="I988" s="39" t="str">
        <f aca="false">A988&amp;"|"&amp;B988&amp;"|"&amp;D988&amp;"|"&amp;E988&amp;F988</f>
        <v>auto|McAlester|scenario C (age 36)|male</v>
      </c>
      <c r="J988" s="34" t="n">
        <f aca="false" t="array" ref="J988:J988">MEDIAN(IF($I$4:$I$1803=I988,$H$4:$H$1803))</f>
        <v>1788</v>
      </c>
      <c r="K988" s="59" t="n">
        <f aca="false">H988/J988</f>
        <v>0.784116331096197</v>
      </c>
    </row>
    <row r="989" customFormat="false" ht="15" hidden="false" customHeight="false" outlineLevel="0" collapsed="false">
      <c r="A989" s="39" t="s">
        <v>879</v>
      </c>
      <c r="B989" s="39" t="s">
        <v>911</v>
      </c>
      <c r="C989" s="39" t="s">
        <v>906</v>
      </c>
      <c r="D989" s="39" t="s">
        <v>886</v>
      </c>
      <c r="E989" s="39" t="s">
        <v>884</v>
      </c>
      <c r="F989" s="39"/>
      <c r="G989" s="58" t="n">
        <v>684</v>
      </c>
      <c r="H989" s="34" t="n">
        <f aca="false">G989*2</f>
        <v>1368</v>
      </c>
      <c r="I989" s="39" t="str">
        <f aca="false">A989&amp;"|"&amp;B989&amp;"|"&amp;D989&amp;"|"&amp;E989&amp;F989</f>
        <v>auto|McAlester|scenario C (age 36)|female</v>
      </c>
      <c r="J989" s="34" t="n">
        <f aca="false" t="array" ref="J989:J989">MEDIAN(IF($I$4:$I$1803=I989,$H$4:$H$1803))</f>
        <v>1761</v>
      </c>
      <c r="K989" s="59" t="n">
        <f aca="false">H989/J989</f>
        <v>0.776831345826235</v>
      </c>
    </row>
    <row r="990" customFormat="false" ht="15" hidden="false" customHeight="false" outlineLevel="0" collapsed="false">
      <c r="A990" s="39" t="s">
        <v>879</v>
      </c>
      <c r="B990" s="39" t="s">
        <v>911</v>
      </c>
      <c r="C990" s="39" t="s">
        <v>906</v>
      </c>
      <c r="D990" s="39" t="s">
        <v>887</v>
      </c>
      <c r="E990" s="39" t="s">
        <v>883</v>
      </c>
      <c r="F990" s="39"/>
      <c r="G990" s="58" t="n">
        <v>602</v>
      </c>
      <c r="H990" s="34" t="n">
        <f aca="false">G990*2</f>
        <v>1204</v>
      </c>
      <c r="I990" s="39" t="str">
        <f aca="false">A990&amp;"|"&amp;B990&amp;"|"&amp;D990&amp;"|"&amp;E990&amp;F990</f>
        <v>auto|McAlester|scenario D (age 55)|male</v>
      </c>
      <c r="J990" s="34" t="n">
        <f aca="false" t="array" ref="J990:J990">MEDIAN(IF($I$4:$I$1803=I990,$H$4:$H$1803))</f>
        <v>1605</v>
      </c>
      <c r="K990" s="59" t="n">
        <f aca="false">H990/J990</f>
        <v>0.750155763239875</v>
      </c>
    </row>
    <row r="991" customFormat="false" ht="15" hidden="false" customHeight="false" outlineLevel="0" collapsed="false">
      <c r="A991" s="39" t="s">
        <v>879</v>
      </c>
      <c r="B991" s="39" t="s">
        <v>911</v>
      </c>
      <c r="C991" s="39" t="s">
        <v>906</v>
      </c>
      <c r="D991" s="39" t="s">
        <v>887</v>
      </c>
      <c r="E991" s="39" t="s">
        <v>884</v>
      </c>
      <c r="F991" s="39"/>
      <c r="G991" s="58" t="n">
        <v>599</v>
      </c>
      <c r="H991" s="34" t="n">
        <f aca="false">G991*2</f>
        <v>1198</v>
      </c>
      <c r="I991" s="39" t="str">
        <f aca="false">A991&amp;"|"&amp;B991&amp;"|"&amp;D991&amp;"|"&amp;E991&amp;F991</f>
        <v>auto|McAlester|scenario D (age 55)|female</v>
      </c>
      <c r="J991" s="34" t="n">
        <f aca="false" t="array" ref="J991:J991">MEDIAN(IF($I$4:$I$1803=I991,$H$4:$H$1803))</f>
        <v>1587</v>
      </c>
      <c r="K991" s="59" t="n">
        <f aca="false">H991/J991</f>
        <v>0.754883427851292</v>
      </c>
    </row>
    <row r="992" customFormat="false" ht="15" hidden="false" customHeight="false" outlineLevel="0" collapsed="false">
      <c r="A992" s="39" t="s">
        <v>879</v>
      </c>
      <c r="B992" s="39" t="s">
        <v>911</v>
      </c>
      <c r="C992" s="39" t="s">
        <v>906</v>
      </c>
      <c r="D992" s="39" t="s">
        <v>888</v>
      </c>
      <c r="E992" s="39" t="s">
        <v>883</v>
      </c>
      <c r="F992" s="39"/>
      <c r="G992" s="58" t="n">
        <v>608</v>
      </c>
      <c r="H992" s="34" t="n">
        <f aca="false">G992*2</f>
        <v>1216</v>
      </c>
      <c r="I992" s="39" t="str">
        <f aca="false">A992&amp;"|"&amp;B992&amp;"|"&amp;D992&amp;"|"&amp;E992&amp;F992</f>
        <v>auto|McAlester|scenario E (age 70)|male</v>
      </c>
      <c r="J992" s="34" t="n">
        <f aca="false" t="array" ref="J992:J992">MEDIAN(IF($I$4:$I$1803=I992,$H$4:$H$1803))</f>
        <v>1392</v>
      </c>
      <c r="K992" s="59" t="n">
        <f aca="false">H992/J992</f>
        <v>0.873563218390805</v>
      </c>
    </row>
    <row r="993" customFormat="false" ht="15" hidden="false" customHeight="false" outlineLevel="0" collapsed="false">
      <c r="A993" s="39" t="s">
        <v>879</v>
      </c>
      <c r="B993" s="39" t="s">
        <v>911</v>
      </c>
      <c r="C993" s="39" t="s">
        <v>906</v>
      </c>
      <c r="D993" s="39" t="s">
        <v>888</v>
      </c>
      <c r="E993" s="39" t="s">
        <v>884</v>
      </c>
      <c r="F993" s="39"/>
      <c r="G993" s="58" t="n">
        <v>611</v>
      </c>
      <c r="H993" s="34" t="n">
        <f aca="false">G993*2</f>
        <v>1222</v>
      </c>
      <c r="I993" s="39" t="str">
        <f aca="false">A993&amp;"|"&amp;B993&amp;"|"&amp;D993&amp;"|"&amp;E993&amp;F993</f>
        <v>auto|McAlester|scenario E (age 70)|female</v>
      </c>
      <c r="J993" s="34" t="n">
        <f aca="false" t="array" ref="J993:J993">MEDIAN(IF($I$4:$I$1803=I993,$H$4:$H$1803))</f>
        <v>1353</v>
      </c>
      <c r="K993" s="59" t="n">
        <f aca="false">H993/J993</f>
        <v>0.903178122690318</v>
      </c>
    </row>
    <row r="994" customFormat="false" ht="15" hidden="false" customHeight="false" outlineLevel="0" collapsed="false">
      <c r="A994" s="39" t="s">
        <v>879</v>
      </c>
      <c r="B994" s="39" t="s">
        <v>911</v>
      </c>
      <c r="C994" s="39" t="s">
        <v>907</v>
      </c>
      <c r="D994" s="39" t="s">
        <v>882</v>
      </c>
      <c r="E994" s="39" t="s">
        <v>883</v>
      </c>
      <c r="F994" s="39"/>
      <c r="G994" s="58" t="n">
        <v>4413</v>
      </c>
      <c r="H994" s="34" t="n">
        <f aca="false">G994*2</f>
        <v>8826</v>
      </c>
      <c r="I994" s="39" t="str">
        <f aca="false">A994&amp;"|"&amp;B994&amp;"|"&amp;D994&amp;"|"&amp;E994&amp;F994</f>
        <v>auto|McAlester|scenario A (age 16)|male</v>
      </c>
      <c r="J994" s="34" t="n">
        <f aca="false" t="array" ref="J994:J994">MEDIAN(IF($I$4:$I$1803=I994,$H$4:$H$1803))</f>
        <v>7266</v>
      </c>
      <c r="K994" s="59" t="n">
        <f aca="false">H994/J994</f>
        <v>1.21469859620149</v>
      </c>
    </row>
    <row r="995" customFormat="false" ht="15" hidden="false" customHeight="false" outlineLevel="0" collapsed="false">
      <c r="A995" s="39" t="s">
        <v>879</v>
      </c>
      <c r="B995" s="39" t="s">
        <v>911</v>
      </c>
      <c r="C995" s="39" t="s">
        <v>907</v>
      </c>
      <c r="D995" s="39" t="s">
        <v>882</v>
      </c>
      <c r="E995" s="39" t="s">
        <v>884</v>
      </c>
      <c r="F995" s="39"/>
      <c r="G995" s="58" t="n">
        <v>4236</v>
      </c>
      <c r="H995" s="34" t="n">
        <f aca="false">G995*2</f>
        <v>8472</v>
      </c>
      <c r="I995" s="39" t="str">
        <f aca="false">A995&amp;"|"&amp;B995&amp;"|"&amp;D995&amp;"|"&amp;E995&amp;F995</f>
        <v>auto|McAlester|scenario A (age 16)|female</v>
      </c>
      <c r="J995" s="34" t="n">
        <f aca="false" t="array" ref="J995:J995">MEDIAN(IF($I$4:$I$1803=I995,$H$4:$H$1803))</f>
        <v>5984</v>
      </c>
      <c r="K995" s="59" t="n">
        <f aca="false">H995/J995</f>
        <v>1.41577540106952</v>
      </c>
    </row>
    <row r="996" customFormat="false" ht="15" hidden="false" customHeight="false" outlineLevel="0" collapsed="false">
      <c r="A996" s="39" t="s">
        <v>879</v>
      </c>
      <c r="B996" s="39" t="s">
        <v>911</v>
      </c>
      <c r="C996" s="39" t="s">
        <v>907</v>
      </c>
      <c r="D996" s="39" t="s">
        <v>885</v>
      </c>
      <c r="E996" s="39" t="s">
        <v>883</v>
      </c>
      <c r="F996" s="39"/>
      <c r="G996" s="58" t="n">
        <v>1600</v>
      </c>
      <c r="H996" s="34" t="n">
        <f aca="false">G996*2</f>
        <v>3200</v>
      </c>
      <c r="I996" s="39" t="str">
        <f aca="false">A996&amp;"|"&amp;B996&amp;"|"&amp;D996&amp;"|"&amp;E996&amp;F996</f>
        <v>auto|McAlester|scenario B (age 21)|male</v>
      </c>
      <c r="J996" s="34" t="n">
        <f aca="false" t="array" ref="J996:J996">MEDIAN(IF($I$4:$I$1803=I996,$H$4:$H$1803))</f>
        <v>3026</v>
      </c>
      <c r="K996" s="59" t="n">
        <f aca="false">H996/J996</f>
        <v>1.05750165234633</v>
      </c>
    </row>
    <row r="997" customFormat="false" ht="15" hidden="false" customHeight="false" outlineLevel="0" collapsed="false">
      <c r="A997" s="39" t="s">
        <v>879</v>
      </c>
      <c r="B997" s="39" t="s">
        <v>911</v>
      </c>
      <c r="C997" s="39" t="s">
        <v>907</v>
      </c>
      <c r="D997" s="39" t="s">
        <v>885</v>
      </c>
      <c r="E997" s="39" t="s">
        <v>884</v>
      </c>
      <c r="F997" s="39"/>
      <c r="G997" s="58" t="n">
        <v>1535</v>
      </c>
      <c r="H997" s="34" t="n">
        <f aca="false">G997*2</f>
        <v>3070</v>
      </c>
      <c r="I997" s="39" t="str">
        <f aca="false">A997&amp;"|"&amp;B997&amp;"|"&amp;D997&amp;"|"&amp;E997&amp;F997</f>
        <v>auto|McAlester|scenario B (age 21)|female</v>
      </c>
      <c r="J997" s="34" t="n">
        <f aca="false" t="array" ref="J997:J997">MEDIAN(IF($I$4:$I$1803=I997,$H$4:$H$1803))</f>
        <v>2705</v>
      </c>
      <c r="K997" s="59" t="n">
        <f aca="false">H997/J997</f>
        <v>1.13493530499076</v>
      </c>
    </row>
    <row r="998" customFormat="false" ht="15" hidden="false" customHeight="false" outlineLevel="0" collapsed="false">
      <c r="A998" s="39" t="s">
        <v>879</v>
      </c>
      <c r="B998" s="39" t="s">
        <v>911</v>
      </c>
      <c r="C998" s="39" t="s">
        <v>907</v>
      </c>
      <c r="D998" s="39" t="s">
        <v>886</v>
      </c>
      <c r="E998" s="39" t="s">
        <v>883</v>
      </c>
      <c r="F998" s="39"/>
      <c r="G998" s="58" t="n">
        <v>905</v>
      </c>
      <c r="H998" s="34" t="n">
        <f aca="false">G998*2</f>
        <v>1810</v>
      </c>
      <c r="I998" s="39" t="str">
        <f aca="false">A998&amp;"|"&amp;B998&amp;"|"&amp;D998&amp;"|"&amp;E998&amp;F998</f>
        <v>auto|McAlester|scenario C (age 36)|male</v>
      </c>
      <c r="J998" s="34" t="n">
        <f aca="false" t="array" ref="J998:J998">MEDIAN(IF($I$4:$I$1803=I998,$H$4:$H$1803))</f>
        <v>1788</v>
      </c>
      <c r="K998" s="59" t="n">
        <f aca="false">H998/J998</f>
        <v>1.01230425055928</v>
      </c>
    </row>
    <row r="999" customFormat="false" ht="15" hidden="false" customHeight="false" outlineLevel="0" collapsed="false">
      <c r="A999" s="39" t="s">
        <v>879</v>
      </c>
      <c r="B999" s="39" t="s">
        <v>911</v>
      </c>
      <c r="C999" s="39" t="s">
        <v>907</v>
      </c>
      <c r="D999" s="39" t="s">
        <v>886</v>
      </c>
      <c r="E999" s="39" t="s">
        <v>884</v>
      </c>
      <c r="F999" s="39"/>
      <c r="G999" s="58" t="n">
        <v>882</v>
      </c>
      <c r="H999" s="34" t="n">
        <f aca="false">G999*2</f>
        <v>1764</v>
      </c>
      <c r="I999" s="39" t="str">
        <f aca="false">A999&amp;"|"&amp;B999&amp;"|"&amp;D999&amp;"|"&amp;E999&amp;F999</f>
        <v>auto|McAlester|scenario C (age 36)|female</v>
      </c>
      <c r="J999" s="34" t="n">
        <f aca="false" t="array" ref="J999:J999">MEDIAN(IF($I$4:$I$1803=I999,$H$4:$H$1803))</f>
        <v>1761</v>
      </c>
      <c r="K999" s="59" t="n">
        <f aca="false">H999/J999</f>
        <v>1.00170357751278</v>
      </c>
    </row>
    <row r="1000" customFormat="false" ht="15" hidden="false" customHeight="false" outlineLevel="0" collapsed="false">
      <c r="A1000" s="39" t="s">
        <v>879</v>
      </c>
      <c r="B1000" s="39" t="s">
        <v>911</v>
      </c>
      <c r="C1000" s="39" t="s">
        <v>907</v>
      </c>
      <c r="D1000" s="39" t="s">
        <v>887</v>
      </c>
      <c r="E1000" s="39" t="s">
        <v>883</v>
      </c>
      <c r="F1000" s="39"/>
      <c r="G1000" s="58" t="n">
        <v>802</v>
      </c>
      <c r="H1000" s="34" t="n">
        <f aca="false">G1000*2</f>
        <v>1604</v>
      </c>
      <c r="I1000" s="39" t="str">
        <f aca="false">A1000&amp;"|"&amp;B1000&amp;"|"&amp;D1000&amp;"|"&amp;E1000&amp;F1000</f>
        <v>auto|McAlester|scenario D (age 55)|male</v>
      </c>
      <c r="J1000" s="34" t="n">
        <f aca="false" t="array" ref="J1000:J1000">MEDIAN(IF($I$4:$I$1803=I1000,$H$4:$H$1803))</f>
        <v>1605</v>
      </c>
      <c r="K1000" s="59" t="n">
        <f aca="false">H1000/J1000</f>
        <v>0.999376947040498</v>
      </c>
    </row>
    <row r="1001" customFormat="false" ht="15" hidden="false" customHeight="false" outlineLevel="0" collapsed="false">
      <c r="A1001" s="39" t="s">
        <v>879</v>
      </c>
      <c r="B1001" s="39" t="s">
        <v>911</v>
      </c>
      <c r="C1001" s="39" t="s">
        <v>907</v>
      </c>
      <c r="D1001" s="39" t="s">
        <v>887</v>
      </c>
      <c r="E1001" s="39" t="s">
        <v>884</v>
      </c>
      <c r="F1001" s="39"/>
      <c r="G1001" s="58" t="n">
        <v>798</v>
      </c>
      <c r="H1001" s="34" t="n">
        <f aca="false">G1001*2</f>
        <v>1596</v>
      </c>
      <c r="I1001" s="39" t="str">
        <f aca="false">A1001&amp;"|"&amp;B1001&amp;"|"&amp;D1001&amp;"|"&amp;E1001&amp;F1001</f>
        <v>auto|McAlester|scenario D (age 55)|female</v>
      </c>
      <c r="J1001" s="34" t="n">
        <f aca="false" t="array" ref="J1001:J1001">MEDIAN(IF($I$4:$I$1803=I1001,$H$4:$H$1803))</f>
        <v>1587</v>
      </c>
      <c r="K1001" s="59" t="n">
        <f aca="false">H1001/J1001</f>
        <v>1.00567107750473</v>
      </c>
    </row>
    <row r="1002" customFormat="false" ht="15" hidden="false" customHeight="false" outlineLevel="0" collapsed="false">
      <c r="A1002" s="39" t="s">
        <v>879</v>
      </c>
      <c r="B1002" s="39" t="s">
        <v>911</v>
      </c>
      <c r="C1002" s="39" t="s">
        <v>907</v>
      </c>
      <c r="D1002" s="39" t="s">
        <v>888</v>
      </c>
      <c r="E1002" s="39" t="s">
        <v>883</v>
      </c>
      <c r="F1002" s="39"/>
      <c r="G1002" s="58" t="n">
        <v>809</v>
      </c>
      <c r="H1002" s="34" t="n">
        <f aca="false">G1002*2</f>
        <v>1618</v>
      </c>
      <c r="I1002" s="39" t="str">
        <f aca="false">A1002&amp;"|"&amp;B1002&amp;"|"&amp;D1002&amp;"|"&amp;E1002&amp;F1002</f>
        <v>auto|McAlester|scenario E (age 70)|male</v>
      </c>
      <c r="J1002" s="34" t="n">
        <f aca="false" t="array" ref="J1002:J1002">MEDIAN(IF($I$4:$I$1803=I1002,$H$4:$H$1803))</f>
        <v>1392</v>
      </c>
      <c r="K1002" s="59" t="n">
        <f aca="false">H1002/J1002</f>
        <v>1.16235632183908</v>
      </c>
    </row>
    <row r="1003" customFormat="false" ht="15" hidden="false" customHeight="false" outlineLevel="0" collapsed="false">
      <c r="A1003" s="39" t="s">
        <v>879</v>
      </c>
      <c r="B1003" s="39" t="s">
        <v>911</v>
      </c>
      <c r="C1003" s="39" t="s">
        <v>907</v>
      </c>
      <c r="D1003" s="39" t="s">
        <v>888</v>
      </c>
      <c r="E1003" s="39" t="s">
        <v>884</v>
      </c>
      <c r="F1003" s="39"/>
      <c r="G1003" s="58" t="n">
        <v>812</v>
      </c>
      <c r="H1003" s="34" t="n">
        <f aca="false">G1003*2</f>
        <v>1624</v>
      </c>
      <c r="I1003" s="39" t="str">
        <f aca="false">A1003&amp;"|"&amp;B1003&amp;"|"&amp;D1003&amp;"|"&amp;E1003&amp;F1003</f>
        <v>auto|McAlester|scenario E (age 70)|female</v>
      </c>
      <c r="J1003" s="34" t="n">
        <f aca="false" t="array" ref="J1003:J1003">MEDIAN(IF($I$4:$I$1803=I1003,$H$4:$H$1803))</f>
        <v>1353</v>
      </c>
      <c r="K1003" s="59" t="n">
        <f aca="false">H1003/J1003</f>
        <v>1.20029563932003</v>
      </c>
    </row>
    <row r="1004" customFormat="false" ht="15" hidden="false" customHeight="false" outlineLevel="0" collapsed="false">
      <c r="A1004" s="39" t="s">
        <v>912</v>
      </c>
      <c r="B1004" s="39" t="s">
        <v>880</v>
      </c>
      <c r="C1004" s="39" t="s">
        <v>913</v>
      </c>
      <c r="D1004" s="39" t="s">
        <v>914</v>
      </c>
      <c r="E1004" s="39"/>
      <c r="F1004" s="39" t="s">
        <v>133</v>
      </c>
      <c r="G1004" s="60"/>
      <c r="H1004" s="58" t="n">
        <v>2507</v>
      </c>
      <c r="I1004" s="39" t="str">
        <f aca="false">A1004&amp;"|"&amp;B1004&amp;"|"&amp;D1004&amp;"|"&amp;E1004&amp;F1004</f>
        <v>home|Oklahoma City|scenario 1 (dwelling $100,000, deductible 1%)|frame</v>
      </c>
      <c r="J1004" s="34" t="n">
        <f aca="false" t="array" ref="J1004:J1004">MEDIAN(IF($I$4:$I$1803=I1004,$H$4:$H$1803))</f>
        <v>2742</v>
      </c>
      <c r="K1004" s="59" t="n">
        <f aca="false">H1004/J1004</f>
        <v>0.914296134208607</v>
      </c>
    </row>
    <row r="1005" customFormat="false" ht="15" hidden="false" customHeight="false" outlineLevel="0" collapsed="false">
      <c r="A1005" s="39" t="s">
        <v>912</v>
      </c>
      <c r="B1005" s="39" t="s">
        <v>880</v>
      </c>
      <c r="C1005" s="39" t="s">
        <v>913</v>
      </c>
      <c r="D1005" s="39" t="s">
        <v>914</v>
      </c>
      <c r="E1005" s="39"/>
      <c r="F1005" s="39" t="s">
        <v>915</v>
      </c>
      <c r="G1005" s="60"/>
      <c r="H1005" s="58" t="n">
        <v>2342</v>
      </c>
      <c r="I1005" s="39" t="str">
        <f aca="false">A1005&amp;"|"&amp;B1005&amp;"|"&amp;D1005&amp;"|"&amp;E1005&amp;F1005</f>
        <v>home|Oklahoma City|scenario 1 (dwelling $100,000, deductible 1%)|masonry</v>
      </c>
      <c r="J1005" s="34" t="n">
        <f aca="false" t="array" ref="J1005:J1005">MEDIAN(IF($I$4:$I$1803=I1005,$H$4:$H$1803))</f>
        <v>2754</v>
      </c>
      <c r="K1005" s="59" t="n">
        <f aca="false">H1005/J1005</f>
        <v>0.85039941902687</v>
      </c>
    </row>
    <row r="1006" customFormat="false" ht="15" hidden="false" customHeight="false" outlineLevel="0" collapsed="false">
      <c r="A1006" s="39" t="s">
        <v>912</v>
      </c>
      <c r="B1006" s="39" t="s">
        <v>880</v>
      </c>
      <c r="C1006" s="39" t="s">
        <v>913</v>
      </c>
      <c r="D1006" s="39" t="s">
        <v>916</v>
      </c>
      <c r="E1006" s="39"/>
      <c r="F1006" s="39" t="s">
        <v>133</v>
      </c>
      <c r="G1006" s="60"/>
      <c r="H1006" s="58" t="n">
        <v>5025</v>
      </c>
      <c r="I1006" s="39" t="str">
        <f aca="false">A1006&amp;"|"&amp;B1006&amp;"|"&amp;D1006&amp;"|"&amp;E1006&amp;F1006</f>
        <v>home|Oklahoma City|scenario 2 (dwelling $200,000, deductible 1%)|frame</v>
      </c>
      <c r="J1006" s="34" t="n">
        <f aca="false" t="array" ref="J1006:J1006">MEDIAN(IF($I$4:$I$1803=I1006,$H$4:$H$1803))</f>
        <v>4325</v>
      </c>
      <c r="K1006" s="59" t="n">
        <f aca="false">H1006/J1006</f>
        <v>1.16184971098266</v>
      </c>
    </row>
    <row r="1007" customFormat="false" ht="15" hidden="false" customHeight="false" outlineLevel="0" collapsed="false">
      <c r="A1007" s="39" t="s">
        <v>912</v>
      </c>
      <c r="B1007" s="39" t="s">
        <v>880</v>
      </c>
      <c r="C1007" s="39" t="s">
        <v>913</v>
      </c>
      <c r="D1007" s="39" t="s">
        <v>916</v>
      </c>
      <c r="E1007" s="39"/>
      <c r="F1007" s="39" t="s">
        <v>915</v>
      </c>
      <c r="G1007" s="60"/>
      <c r="H1007" s="58" t="n">
        <v>4660</v>
      </c>
      <c r="I1007" s="39" t="str">
        <f aca="false">A1007&amp;"|"&amp;B1007&amp;"|"&amp;D1007&amp;"|"&amp;E1007&amp;F1007</f>
        <v>home|Oklahoma City|scenario 2 (dwelling $200,000, deductible 1%)|masonry</v>
      </c>
      <c r="J1007" s="34" t="n">
        <f aca="false" t="array" ref="J1007:J1007">MEDIAN(IF($I$4:$I$1803=I1007,$H$4:$H$1803))</f>
        <v>4381</v>
      </c>
      <c r="K1007" s="59" t="n">
        <f aca="false">H1007/J1007</f>
        <v>1.06368409039032</v>
      </c>
    </row>
    <row r="1008" customFormat="false" ht="15" hidden="false" customHeight="false" outlineLevel="0" collapsed="false">
      <c r="A1008" s="39" t="s">
        <v>912</v>
      </c>
      <c r="B1008" s="39" t="s">
        <v>880</v>
      </c>
      <c r="C1008" s="39" t="s">
        <v>913</v>
      </c>
      <c r="D1008" s="39" t="s">
        <v>917</v>
      </c>
      <c r="E1008" s="39"/>
      <c r="F1008" s="39" t="s">
        <v>133</v>
      </c>
      <c r="G1008" s="60"/>
      <c r="H1008" s="58" t="n">
        <v>7698</v>
      </c>
      <c r="I1008" s="39" t="str">
        <f aca="false">A1008&amp;"|"&amp;B1008&amp;"|"&amp;D1008&amp;"|"&amp;E1008&amp;F1008</f>
        <v>home|Oklahoma City|scenario 3 (dwelling $300,000, deductible 1%)|frame</v>
      </c>
      <c r="J1008" s="34" t="n">
        <f aca="false" t="array" ref="J1008:J1008">MEDIAN(IF($I$4:$I$1803=I1008,$H$4:$H$1803))</f>
        <v>5727</v>
      </c>
      <c r="K1008" s="59" t="n">
        <f aca="false">H1008/J1008</f>
        <v>1.34415924567837</v>
      </c>
    </row>
    <row r="1009" customFormat="false" ht="15" hidden="false" customHeight="false" outlineLevel="0" collapsed="false">
      <c r="A1009" s="39" t="s">
        <v>912</v>
      </c>
      <c r="B1009" s="39" t="s">
        <v>880</v>
      </c>
      <c r="C1009" s="39" t="s">
        <v>913</v>
      </c>
      <c r="D1009" s="39" t="s">
        <v>917</v>
      </c>
      <c r="E1009" s="39"/>
      <c r="F1009" s="39" t="s">
        <v>915</v>
      </c>
      <c r="G1009" s="60"/>
      <c r="H1009" s="58" t="n">
        <v>7144</v>
      </c>
      <c r="I1009" s="39" t="str">
        <f aca="false">A1009&amp;"|"&amp;B1009&amp;"|"&amp;D1009&amp;"|"&amp;E1009&amp;F1009</f>
        <v>home|Oklahoma City|scenario 3 (dwelling $300,000, deductible 1%)|masonry</v>
      </c>
      <c r="J1009" s="34" t="n">
        <f aca="false" t="array" ref="J1009:J1009">MEDIAN(IF($I$4:$I$1803=I1009,$H$4:$H$1803))</f>
        <v>5959</v>
      </c>
      <c r="K1009" s="59" t="n">
        <f aca="false">H1009/J1009</f>
        <v>1.19885886893774</v>
      </c>
    </row>
    <row r="1010" customFormat="false" ht="15" hidden="false" customHeight="false" outlineLevel="0" collapsed="false">
      <c r="A1010" s="39" t="s">
        <v>912</v>
      </c>
      <c r="B1010" s="39" t="s">
        <v>880</v>
      </c>
      <c r="C1010" s="39" t="s">
        <v>913</v>
      </c>
      <c r="D1010" s="39" t="s">
        <v>918</v>
      </c>
      <c r="E1010" s="39"/>
      <c r="F1010" s="39" t="s">
        <v>133</v>
      </c>
      <c r="G1010" s="60"/>
      <c r="H1010" s="58" t="n">
        <v>10370</v>
      </c>
      <c r="I1010" s="39" t="str">
        <f aca="false">A1010&amp;"|"&amp;B1010&amp;"|"&amp;D1010&amp;"|"&amp;E1010&amp;F1010</f>
        <v>home|Oklahoma City|scenario 4 (dwelling $400,000, deductible 1%)|frame</v>
      </c>
      <c r="J1010" s="34" t="n">
        <f aca="false" t="array" ref="J1010:J1010">MEDIAN(IF($I$4:$I$1803=I1010,$H$4:$H$1803))</f>
        <v>6965.5</v>
      </c>
      <c r="K1010" s="59" t="n">
        <f aca="false">H1010/J1010</f>
        <v>1.48876606130213</v>
      </c>
    </row>
    <row r="1011" customFormat="false" ht="15" hidden="false" customHeight="false" outlineLevel="0" collapsed="false">
      <c r="A1011" s="39" t="s">
        <v>912</v>
      </c>
      <c r="B1011" s="39" t="s">
        <v>880</v>
      </c>
      <c r="C1011" s="39" t="s">
        <v>913</v>
      </c>
      <c r="D1011" s="39" t="s">
        <v>918</v>
      </c>
      <c r="E1011" s="39"/>
      <c r="F1011" s="39" t="s">
        <v>915</v>
      </c>
      <c r="G1011" s="60"/>
      <c r="H1011" s="58" t="n">
        <v>9627</v>
      </c>
      <c r="I1011" s="39" t="str">
        <f aca="false">A1011&amp;"|"&amp;B1011&amp;"|"&amp;D1011&amp;"|"&amp;E1011&amp;F1011</f>
        <v>home|Oklahoma City|scenario 4 (dwelling $400,000, deductible 1%)|masonry</v>
      </c>
      <c r="J1011" s="34" t="n">
        <f aca="false" t="array" ref="J1011:J1011">MEDIAN(IF($I$4:$I$1803=I1011,$H$4:$H$1803))</f>
        <v>7153</v>
      </c>
      <c r="K1011" s="59" t="n">
        <f aca="false">H1011/J1011</f>
        <v>1.34586886620998</v>
      </c>
    </row>
    <row r="1012" customFormat="false" ht="15" hidden="false" customHeight="false" outlineLevel="0" collapsed="false">
      <c r="A1012" s="39" t="s">
        <v>912</v>
      </c>
      <c r="B1012" s="39" t="s">
        <v>880</v>
      </c>
      <c r="C1012" s="39" t="s">
        <v>913</v>
      </c>
      <c r="D1012" s="39" t="s">
        <v>919</v>
      </c>
      <c r="E1012" s="39"/>
      <c r="F1012" s="39" t="s">
        <v>133</v>
      </c>
      <c r="G1012" s="60"/>
      <c r="H1012" s="58" t="n">
        <v>13042</v>
      </c>
      <c r="I1012" s="39" t="str">
        <f aca="false">A1012&amp;"|"&amp;B1012&amp;"|"&amp;D1012&amp;"|"&amp;E1012&amp;F1012</f>
        <v>home|Oklahoma City|scenario 5 (dwelling $500,000, deductible 1%)|frame</v>
      </c>
      <c r="J1012" s="34" t="n">
        <f aca="false" t="array" ref="J1012:J1012">MEDIAN(IF($I$4:$I$1803=I1012,$H$4:$H$1803))</f>
        <v>8254.5</v>
      </c>
      <c r="K1012" s="59" t="n">
        <f aca="false">H1012/J1012</f>
        <v>1.57998667393543</v>
      </c>
    </row>
    <row r="1013" customFormat="false" ht="15" hidden="false" customHeight="false" outlineLevel="0" collapsed="false">
      <c r="A1013" s="39" t="s">
        <v>912</v>
      </c>
      <c r="B1013" s="39" t="s">
        <v>880</v>
      </c>
      <c r="C1013" s="39" t="s">
        <v>913</v>
      </c>
      <c r="D1013" s="39" t="s">
        <v>919</v>
      </c>
      <c r="E1013" s="39"/>
      <c r="F1013" s="39" t="s">
        <v>915</v>
      </c>
      <c r="G1013" s="60"/>
      <c r="H1013" s="58" t="n">
        <v>12112</v>
      </c>
      <c r="I1013" s="39" t="str">
        <f aca="false">A1013&amp;"|"&amp;B1013&amp;"|"&amp;D1013&amp;"|"&amp;E1013&amp;F1013</f>
        <v>home|Oklahoma City|scenario 5 (dwelling $500,000, deductible 1%)|masonry</v>
      </c>
      <c r="J1013" s="34" t="n">
        <f aca="false" t="array" ref="J1013:J1013">MEDIAN(IF($I$4:$I$1803=I1013,$H$4:$H$1803))</f>
        <v>8121</v>
      </c>
      <c r="K1013" s="59" t="n">
        <f aca="false">H1013/J1013</f>
        <v>1.4914419406477</v>
      </c>
    </row>
    <row r="1014" customFormat="false" ht="15" hidden="false" customHeight="false" outlineLevel="0" collapsed="false">
      <c r="A1014" s="39" t="s">
        <v>912</v>
      </c>
      <c r="B1014" s="39" t="s">
        <v>880</v>
      </c>
      <c r="C1014" s="39" t="s">
        <v>920</v>
      </c>
      <c r="D1014" s="39" t="s">
        <v>914</v>
      </c>
      <c r="E1014" s="39"/>
      <c r="F1014" s="39" t="s">
        <v>133</v>
      </c>
      <c r="G1014" s="60"/>
      <c r="H1014" s="58" t="n">
        <v>1280</v>
      </c>
      <c r="I1014" s="39" t="str">
        <f aca="false">A1014&amp;"|"&amp;B1014&amp;"|"&amp;D1014&amp;"|"&amp;E1014&amp;F1014</f>
        <v>home|Oklahoma City|scenario 1 (dwelling $100,000, deductible 1%)|frame</v>
      </c>
      <c r="J1014" s="34" t="n">
        <f aca="false" t="array" ref="J1014:J1014">MEDIAN(IF($I$4:$I$1803=I1014,$H$4:$H$1803))</f>
        <v>2742</v>
      </c>
      <c r="K1014" s="59" t="n">
        <f aca="false">H1014/J1014</f>
        <v>0.466812545587163</v>
      </c>
    </row>
    <row r="1015" customFormat="false" ht="15" hidden="false" customHeight="false" outlineLevel="0" collapsed="false">
      <c r="A1015" s="39" t="s">
        <v>912</v>
      </c>
      <c r="B1015" s="39" t="s">
        <v>880</v>
      </c>
      <c r="C1015" s="39" t="s">
        <v>920</v>
      </c>
      <c r="D1015" s="39" t="s">
        <v>914</v>
      </c>
      <c r="E1015" s="39"/>
      <c r="F1015" s="39" t="s">
        <v>915</v>
      </c>
      <c r="G1015" s="60"/>
      <c r="H1015" s="58" t="n">
        <v>1269</v>
      </c>
      <c r="I1015" s="39" t="str">
        <f aca="false">A1015&amp;"|"&amp;B1015&amp;"|"&amp;D1015&amp;"|"&amp;E1015&amp;F1015</f>
        <v>home|Oklahoma City|scenario 1 (dwelling $100,000, deductible 1%)|masonry</v>
      </c>
      <c r="J1015" s="34" t="n">
        <f aca="false" t="array" ref="J1015:J1015">MEDIAN(IF($I$4:$I$1803=I1015,$H$4:$H$1803))</f>
        <v>2754</v>
      </c>
      <c r="K1015" s="59" t="n">
        <f aca="false">H1015/J1015</f>
        <v>0.46078431372549</v>
      </c>
    </row>
    <row r="1016" customFormat="false" ht="15" hidden="false" customHeight="false" outlineLevel="0" collapsed="false">
      <c r="A1016" s="39" t="s">
        <v>912</v>
      </c>
      <c r="B1016" s="39" t="s">
        <v>880</v>
      </c>
      <c r="C1016" s="39" t="s">
        <v>920</v>
      </c>
      <c r="D1016" s="39" t="s">
        <v>916</v>
      </c>
      <c r="E1016" s="39"/>
      <c r="F1016" s="39" t="s">
        <v>133</v>
      </c>
      <c r="G1016" s="60"/>
      <c r="H1016" s="58" t="n">
        <v>1543</v>
      </c>
      <c r="I1016" s="39" t="str">
        <f aca="false">A1016&amp;"|"&amp;B1016&amp;"|"&amp;D1016&amp;"|"&amp;E1016&amp;F1016</f>
        <v>home|Oklahoma City|scenario 2 (dwelling $200,000, deductible 1%)|frame</v>
      </c>
      <c r="J1016" s="34" t="n">
        <f aca="false" t="array" ref="J1016:J1016">MEDIAN(IF($I$4:$I$1803=I1016,$H$4:$H$1803))</f>
        <v>4325</v>
      </c>
      <c r="K1016" s="59" t="n">
        <f aca="false">H1016/J1016</f>
        <v>0.356763005780347</v>
      </c>
    </row>
    <row r="1017" customFormat="false" ht="15" hidden="false" customHeight="false" outlineLevel="0" collapsed="false">
      <c r="A1017" s="39" t="s">
        <v>912</v>
      </c>
      <c r="B1017" s="39" t="s">
        <v>880</v>
      </c>
      <c r="C1017" s="39" t="s">
        <v>920</v>
      </c>
      <c r="D1017" s="39" t="s">
        <v>916</v>
      </c>
      <c r="E1017" s="39"/>
      <c r="F1017" s="39" t="s">
        <v>915</v>
      </c>
      <c r="G1017" s="60"/>
      <c r="H1017" s="58" t="n">
        <v>1528</v>
      </c>
      <c r="I1017" s="39" t="str">
        <f aca="false">A1017&amp;"|"&amp;B1017&amp;"|"&amp;D1017&amp;"|"&amp;E1017&amp;F1017</f>
        <v>home|Oklahoma City|scenario 2 (dwelling $200,000, deductible 1%)|masonry</v>
      </c>
      <c r="J1017" s="34" t="n">
        <f aca="false" t="array" ref="J1017:J1017">MEDIAN(IF($I$4:$I$1803=I1017,$H$4:$H$1803))</f>
        <v>4381</v>
      </c>
      <c r="K1017" s="59" t="n">
        <f aca="false">H1017/J1017</f>
        <v>0.348778817621548</v>
      </c>
    </row>
    <row r="1018" customFormat="false" ht="15" hidden="false" customHeight="false" outlineLevel="0" collapsed="false">
      <c r="A1018" s="39" t="s">
        <v>912</v>
      </c>
      <c r="B1018" s="39" t="s">
        <v>880</v>
      </c>
      <c r="C1018" s="39" t="s">
        <v>920</v>
      </c>
      <c r="D1018" s="39" t="s">
        <v>917</v>
      </c>
      <c r="E1018" s="39"/>
      <c r="F1018" s="39" t="s">
        <v>133</v>
      </c>
      <c r="G1018" s="60"/>
      <c r="H1018" s="58" t="n">
        <v>1749</v>
      </c>
      <c r="I1018" s="39" t="str">
        <f aca="false">A1018&amp;"|"&amp;B1018&amp;"|"&amp;D1018&amp;"|"&amp;E1018&amp;F1018</f>
        <v>home|Oklahoma City|scenario 3 (dwelling $300,000, deductible 1%)|frame</v>
      </c>
      <c r="J1018" s="34" t="n">
        <f aca="false" t="array" ref="J1018:J1018">MEDIAN(IF($I$4:$I$1803=I1018,$H$4:$H$1803))</f>
        <v>5727</v>
      </c>
      <c r="K1018" s="59" t="n">
        <f aca="false">H1018/J1018</f>
        <v>0.305395495023573</v>
      </c>
    </row>
    <row r="1019" customFormat="false" ht="15" hidden="false" customHeight="false" outlineLevel="0" collapsed="false">
      <c r="A1019" s="39" t="s">
        <v>912</v>
      </c>
      <c r="B1019" s="39" t="s">
        <v>880</v>
      </c>
      <c r="C1019" s="39" t="s">
        <v>920</v>
      </c>
      <c r="D1019" s="39" t="s">
        <v>917</v>
      </c>
      <c r="E1019" s="39"/>
      <c r="F1019" s="39" t="s">
        <v>915</v>
      </c>
      <c r="G1019" s="60"/>
      <c r="H1019" s="58" t="n">
        <v>1730</v>
      </c>
      <c r="I1019" s="39" t="str">
        <f aca="false">A1019&amp;"|"&amp;B1019&amp;"|"&amp;D1019&amp;"|"&amp;E1019&amp;F1019</f>
        <v>home|Oklahoma City|scenario 3 (dwelling $300,000, deductible 1%)|masonry</v>
      </c>
      <c r="J1019" s="34" t="n">
        <f aca="false" t="array" ref="J1019:J1019">MEDIAN(IF($I$4:$I$1803=I1019,$H$4:$H$1803))</f>
        <v>5959</v>
      </c>
      <c r="K1019" s="59" t="n">
        <f aca="false">H1019/J1019</f>
        <v>0.290317167309951</v>
      </c>
    </row>
    <row r="1020" customFormat="false" ht="15" hidden="false" customHeight="false" outlineLevel="0" collapsed="false">
      <c r="A1020" s="39" t="s">
        <v>912</v>
      </c>
      <c r="B1020" s="39" t="s">
        <v>880</v>
      </c>
      <c r="C1020" s="39" t="s">
        <v>920</v>
      </c>
      <c r="D1020" s="39" t="s">
        <v>918</v>
      </c>
      <c r="E1020" s="39"/>
      <c r="F1020" s="39" t="s">
        <v>133</v>
      </c>
      <c r="G1020" s="60"/>
      <c r="H1020" s="58" t="n">
        <v>1935</v>
      </c>
      <c r="I1020" s="39" t="str">
        <f aca="false">A1020&amp;"|"&amp;B1020&amp;"|"&amp;D1020&amp;"|"&amp;E1020&amp;F1020</f>
        <v>home|Oklahoma City|scenario 4 (dwelling $400,000, deductible 1%)|frame</v>
      </c>
      <c r="J1020" s="34" t="n">
        <f aca="false" t="array" ref="J1020:J1020">MEDIAN(IF($I$4:$I$1803=I1020,$H$4:$H$1803))</f>
        <v>6965.5</v>
      </c>
      <c r="K1020" s="59" t="n">
        <f aca="false">H1020/J1020</f>
        <v>0.277797717321083</v>
      </c>
    </row>
    <row r="1021" customFormat="false" ht="15" hidden="false" customHeight="false" outlineLevel="0" collapsed="false">
      <c r="A1021" s="39" t="s">
        <v>912</v>
      </c>
      <c r="B1021" s="39" t="s">
        <v>880</v>
      </c>
      <c r="C1021" s="39" t="s">
        <v>920</v>
      </c>
      <c r="D1021" s="39" t="s">
        <v>918</v>
      </c>
      <c r="E1021" s="39"/>
      <c r="F1021" s="39" t="s">
        <v>915</v>
      </c>
      <c r="G1021" s="60"/>
      <c r="H1021" s="58" t="n">
        <v>1913</v>
      </c>
      <c r="I1021" s="39" t="str">
        <f aca="false">A1021&amp;"|"&amp;B1021&amp;"|"&amp;D1021&amp;"|"&amp;E1021&amp;F1021</f>
        <v>home|Oklahoma City|scenario 4 (dwelling $400,000, deductible 1%)|masonry</v>
      </c>
      <c r="J1021" s="34" t="n">
        <f aca="false" t="array" ref="J1021:J1021">MEDIAN(IF($I$4:$I$1803=I1021,$H$4:$H$1803))</f>
        <v>7153</v>
      </c>
      <c r="K1021" s="59" t="n">
        <f aca="false">H1021/J1021</f>
        <v>0.26744023486649</v>
      </c>
    </row>
    <row r="1022" customFormat="false" ht="15" hidden="false" customHeight="false" outlineLevel="0" collapsed="false">
      <c r="A1022" s="39" t="s">
        <v>912</v>
      </c>
      <c r="B1022" s="39" t="s">
        <v>880</v>
      </c>
      <c r="C1022" s="39" t="s">
        <v>920</v>
      </c>
      <c r="D1022" s="39" t="s">
        <v>919</v>
      </c>
      <c r="E1022" s="39"/>
      <c r="F1022" s="39" t="s">
        <v>133</v>
      </c>
      <c r="G1022" s="60"/>
      <c r="H1022" s="58" t="n">
        <v>2103</v>
      </c>
      <c r="I1022" s="39" t="str">
        <f aca="false">A1022&amp;"|"&amp;B1022&amp;"|"&amp;D1022&amp;"|"&amp;E1022&amp;F1022</f>
        <v>home|Oklahoma City|scenario 5 (dwelling $500,000, deductible 1%)|frame</v>
      </c>
      <c r="J1022" s="34" t="n">
        <f aca="false" t="array" ref="J1022:J1022">MEDIAN(IF($I$4:$I$1803=I1022,$H$4:$H$1803))</f>
        <v>8254.5</v>
      </c>
      <c r="K1022" s="59" t="n">
        <f aca="false">H1022/J1022</f>
        <v>0.254770125386153</v>
      </c>
    </row>
    <row r="1023" customFormat="false" ht="15" hidden="false" customHeight="false" outlineLevel="0" collapsed="false">
      <c r="A1023" s="39" t="s">
        <v>912</v>
      </c>
      <c r="B1023" s="39" t="s">
        <v>880</v>
      </c>
      <c r="C1023" s="39" t="s">
        <v>920</v>
      </c>
      <c r="D1023" s="39" t="s">
        <v>919</v>
      </c>
      <c r="E1023" s="39"/>
      <c r="F1023" s="39" t="s">
        <v>915</v>
      </c>
      <c r="G1023" s="60"/>
      <c r="H1023" s="58" t="n">
        <v>2079</v>
      </c>
      <c r="I1023" s="39" t="str">
        <f aca="false">A1023&amp;"|"&amp;B1023&amp;"|"&amp;D1023&amp;"|"&amp;E1023&amp;F1023</f>
        <v>home|Oklahoma City|scenario 5 (dwelling $500,000, deductible 1%)|masonry</v>
      </c>
      <c r="J1023" s="34" t="n">
        <f aca="false" t="array" ref="J1023:J1023">MEDIAN(IF($I$4:$I$1803=I1023,$H$4:$H$1803))</f>
        <v>8121</v>
      </c>
      <c r="K1023" s="59" t="n">
        <f aca="false">H1023/J1023</f>
        <v>0.256002955301071</v>
      </c>
    </row>
    <row r="1024" customFormat="false" ht="15" hidden="false" customHeight="false" outlineLevel="0" collapsed="false">
      <c r="A1024" s="39" t="s">
        <v>912</v>
      </c>
      <c r="B1024" s="39" t="s">
        <v>880</v>
      </c>
      <c r="C1024" s="39" t="s">
        <v>921</v>
      </c>
      <c r="D1024" s="39" t="s">
        <v>914</v>
      </c>
      <c r="E1024" s="39"/>
      <c r="F1024" s="39" t="s">
        <v>133</v>
      </c>
      <c r="G1024" s="60"/>
      <c r="H1024" s="58" t="n">
        <v>4720</v>
      </c>
      <c r="I1024" s="39" t="str">
        <f aca="false">A1024&amp;"|"&amp;B1024&amp;"|"&amp;D1024&amp;"|"&amp;E1024&amp;F1024</f>
        <v>home|Oklahoma City|scenario 1 (dwelling $100,000, deductible 1%)|frame</v>
      </c>
      <c r="J1024" s="34" t="n">
        <f aca="false" t="array" ref="J1024:J1024">MEDIAN(IF($I$4:$I$1803=I1024,$H$4:$H$1803))</f>
        <v>2742</v>
      </c>
      <c r="K1024" s="59" t="n">
        <f aca="false">H1024/J1024</f>
        <v>1.72137126185266</v>
      </c>
    </row>
    <row r="1025" customFormat="false" ht="15" hidden="false" customHeight="false" outlineLevel="0" collapsed="false">
      <c r="A1025" s="39" t="s">
        <v>912</v>
      </c>
      <c r="B1025" s="39" t="s">
        <v>880</v>
      </c>
      <c r="C1025" s="39" t="s">
        <v>921</v>
      </c>
      <c r="D1025" s="39" t="s">
        <v>914</v>
      </c>
      <c r="E1025" s="39"/>
      <c r="F1025" s="39" t="s">
        <v>915</v>
      </c>
      <c r="G1025" s="60"/>
      <c r="H1025" s="58" t="n">
        <v>4625</v>
      </c>
      <c r="I1025" s="39" t="str">
        <f aca="false">A1025&amp;"|"&amp;B1025&amp;"|"&amp;D1025&amp;"|"&amp;E1025&amp;F1025</f>
        <v>home|Oklahoma City|scenario 1 (dwelling $100,000, deductible 1%)|masonry</v>
      </c>
      <c r="J1025" s="34" t="n">
        <f aca="false" t="array" ref="J1025:J1025">MEDIAN(IF($I$4:$I$1803=I1025,$H$4:$H$1803))</f>
        <v>2754</v>
      </c>
      <c r="K1025" s="59" t="n">
        <f aca="false">H1025/J1025</f>
        <v>1.67937545388526</v>
      </c>
    </row>
    <row r="1026" customFormat="false" ht="15" hidden="false" customHeight="false" outlineLevel="0" collapsed="false">
      <c r="A1026" s="39" t="s">
        <v>912</v>
      </c>
      <c r="B1026" s="39" t="s">
        <v>880</v>
      </c>
      <c r="C1026" s="39" t="s">
        <v>921</v>
      </c>
      <c r="D1026" s="39" t="s">
        <v>916</v>
      </c>
      <c r="E1026" s="39"/>
      <c r="F1026" s="39" t="s">
        <v>133</v>
      </c>
      <c r="G1026" s="60"/>
      <c r="H1026" s="58" t="n">
        <v>6747</v>
      </c>
      <c r="I1026" s="39" t="str">
        <f aca="false">A1026&amp;"|"&amp;B1026&amp;"|"&amp;D1026&amp;"|"&amp;E1026&amp;F1026</f>
        <v>home|Oklahoma City|scenario 2 (dwelling $200,000, deductible 1%)|frame</v>
      </c>
      <c r="J1026" s="34" t="n">
        <f aca="false" t="array" ref="J1026:J1026">MEDIAN(IF($I$4:$I$1803=I1026,$H$4:$H$1803))</f>
        <v>4325</v>
      </c>
      <c r="K1026" s="59" t="n">
        <f aca="false">H1026/J1026</f>
        <v>1.56</v>
      </c>
    </row>
    <row r="1027" customFormat="false" ht="15" hidden="false" customHeight="false" outlineLevel="0" collapsed="false">
      <c r="A1027" s="39" t="s">
        <v>912</v>
      </c>
      <c r="B1027" s="39" t="s">
        <v>880</v>
      </c>
      <c r="C1027" s="39" t="s">
        <v>921</v>
      </c>
      <c r="D1027" s="39" t="s">
        <v>916</v>
      </c>
      <c r="E1027" s="39"/>
      <c r="F1027" s="39" t="s">
        <v>915</v>
      </c>
      <c r="G1027" s="60"/>
      <c r="H1027" s="58" t="n">
        <v>6611</v>
      </c>
      <c r="I1027" s="39" t="str">
        <f aca="false">A1027&amp;"|"&amp;B1027&amp;"|"&amp;D1027&amp;"|"&amp;E1027&amp;F1027</f>
        <v>home|Oklahoma City|scenario 2 (dwelling $200,000, deductible 1%)|masonry</v>
      </c>
      <c r="J1027" s="34" t="n">
        <f aca="false" t="array" ref="J1027:J1027">MEDIAN(IF($I$4:$I$1803=I1027,$H$4:$H$1803))</f>
        <v>4381</v>
      </c>
      <c r="K1027" s="59" t="n">
        <f aca="false">H1027/J1027</f>
        <v>1.50901620634558</v>
      </c>
    </row>
    <row r="1028" customFormat="false" ht="15" hidden="false" customHeight="false" outlineLevel="0" collapsed="false">
      <c r="A1028" s="39" t="s">
        <v>912</v>
      </c>
      <c r="B1028" s="39" t="s">
        <v>880</v>
      </c>
      <c r="C1028" s="39" t="s">
        <v>921</v>
      </c>
      <c r="D1028" s="39" t="s">
        <v>917</v>
      </c>
      <c r="E1028" s="39"/>
      <c r="F1028" s="39" t="s">
        <v>133</v>
      </c>
      <c r="G1028" s="60"/>
      <c r="H1028" s="58" t="n">
        <v>7929</v>
      </c>
      <c r="I1028" s="39" t="str">
        <f aca="false">A1028&amp;"|"&amp;B1028&amp;"|"&amp;D1028&amp;"|"&amp;E1028&amp;F1028</f>
        <v>home|Oklahoma City|scenario 3 (dwelling $300,000, deductible 1%)|frame</v>
      </c>
      <c r="J1028" s="34" t="n">
        <f aca="false" t="array" ref="J1028:J1028">MEDIAN(IF($I$4:$I$1803=I1028,$H$4:$H$1803))</f>
        <v>5727</v>
      </c>
      <c r="K1028" s="59" t="n">
        <f aca="false">H1028/J1028</f>
        <v>1.38449449973808</v>
      </c>
    </row>
    <row r="1029" customFormat="false" ht="15" hidden="false" customHeight="false" outlineLevel="0" collapsed="false">
      <c r="A1029" s="39" t="s">
        <v>912</v>
      </c>
      <c r="B1029" s="39" t="s">
        <v>880</v>
      </c>
      <c r="C1029" s="39" t="s">
        <v>921</v>
      </c>
      <c r="D1029" s="39" t="s">
        <v>917</v>
      </c>
      <c r="E1029" s="39"/>
      <c r="F1029" s="39" t="s">
        <v>915</v>
      </c>
      <c r="G1029" s="60"/>
      <c r="H1029" s="58" t="n">
        <v>7770</v>
      </c>
      <c r="I1029" s="39" t="str">
        <f aca="false">A1029&amp;"|"&amp;B1029&amp;"|"&amp;D1029&amp;"|"&amp;E1029&amp;F1029</f>
        <v>home|Oklahoma City|scenario 3 (dwelling $300,000, deductible 1%)|masonry</v>
      </c>
      <c r="J1029" s="34" t="n">
        <f aca="false" t="array" ref="J1029:J1029">MEDIAN(IF($I$4:$I$1803=I1029,$H$4:$H$1803))</f>
        <v>5959</v>
      </c>
      <c r="K1029" s="59" t="n">
        <f aca="false">H1029/J1029</f>
        <v>1.30391005202215</v>
      </c>
    </row>
    <row r="1030" customFormat="false" ht="15" hidden="false" customHeight="false" outlineLevel="0" collapsed="false">
      <c r="A1030" s="39" t="s">
        <v>912</v>
      </c>
      <c r="B1030" s="39" t="s">
        <v>880</v>
      </c>
      <c r="C1030" s="39" t="s">
        <v>921</v>
      </c>
      <c r="D1030" s="39" t="s">
        <v>918</v>
      </c>
      <c r="E1030" s="39"/>
      <c r="F1030" s="39" t="s">
        <v>133</v>
      </c>
      <c r="G1030" s="60"/>
      <c r="H1030" s="58" t="n">
        <v>9473</v>
      </c>
      <c r="I1030" s="39" t="str">
        <f aca="false">A1030&amp;"|"&amp;B1030&amp;"|"&amp;D1030&amp;"|"&amp;E1030&amp;F1030</f>
        <v>home|Oklahoma City|scenario 4 (dwelling $400,000, deductible 1%)|frame</v>
      </c>
      <c r="J1030" s="34" t="n">
        <f aca="false" t="array" ref="J1030:J1030">MEDIAN(IF($I$4:$I$1803=I1030,$H$4:$H$1803))</f>
        <v>6965.5</v>
      </c>
      <c r="K1030" s="59" t="n">
        <f aca="false">H1030/J1030</f>
        <v>1.35998851482306</v>
      </c>
    </row>
    <row r="1031" customFormat="false" ht="15" hidden="false" customHeight="false" outlineLevel="0" collapsed="false">
      <c r="A1031" s="39" t="s">
        <v>912</v>
      </c>
      <c r="B1031" s="39" t="s">
        <v>880</v>
      </c>
      <c r="C1031" s="39" t="s">
        <v>921</v>
      </c>
      <c r="D1031" s="39" t="s">
        <v>918</v>
      </c>
      <c r="E1031" s="39"/>
      <c r="F1031" s="39" t="s">
        <v>915</v>
      </c>
      <c r="G1031" s="60"/>
      <c r="H1031" s="58" t="n">
        <v>9170</v>
      </c>
      <c r="I1031" s="39" t="str">
        <f aca="false">A1031&amp;"|"&amp;B1031&amp;"|"&amp;D1031&amp;"|"&amp;E1031&amp;F1031</f>
        <v>home|Oklahoma City|scenario 4 (dwelling $400,000, deductible 1%)|masonry</v>
      </c>
      <c r="J1031" s="34" t="n">
        <f aca="false" t="array" ref="J1031:J1031">MEDIAN(IF($I$4:$I$1803=I1031,$H$4:$H$1803))</f>
        <v>7153</v>
      </c>
      <c r="K1031" s="59" t="n">
        <f aca="false">H1031/J1031</f>
        <v>1.28197958898364</v>
      </c>
    </row>
    <row r="1032" customFormat="false" ht="15" hidden="false" customHeight="false" outlineLevel="0" collapsed="false">
      <c r="A1032" s="39" t="s">
        <v>912</v>
      </c>
      <c r="B1032" s="39" t="s">
        <v>880</v>
      </c>
      <c r="C1032" s="39" t="s">
        <v>921</v>
      </c>
      <c r="D1032" s="39" t="s">
        <v>919</v>
      </c>
      <c r="E1032" s="39"/>
      <c r="F1032" s="39" t="s">
        <v>133</v>
      </c>
      <c r="G1032" s="60"/>
      <c r="H1032" s="58" t="n">
        <v>10734</v>
      </c>
      <c r="I1032" s="39" t="str">
        <f aca="false">A1032&amp;"|"&amp;B1032&amp;"|"&amp;D1032&amp;"|"&amp;E1032&amp;F1032</f>
        <v>home|Oklahoma City|scenario 5 (dwelling $500,000, deductible 1%)|frame</v>
      </c>
      <c r="J1032" s="34" t="n">
        <f aca="false" t="array" ref="J1032:J1032">MEDIAN(IF($I$4:$I$1803=I1032,$H$4:$H$1803))</f>
        <v>8254.5</v>
      </c>
      <c r="K1032" s="59" t="n">
        <f aca="false">H1032/J1032</f>
        <v>1.30038161003089</v>
      </c>
    </row>
    <row r="1033" customFormat="false" ht="15" hidden="false" customHeight="false" outlineLevel="0" collapsed="false">
      <c r="A1033" s="39" t="s">
        <v>912</v>
      </c>
      <c r="B1033" s="39" t="s">
        <v>880</v>
      </c>
      <c r="C1033" s="39" t="s">
        <v>921</v>
      </c>
      <c r="D1033" s="39" t="s">
        <v>919</v>
      </c>
      <c r="E1033" s="39"/>
      <c r="F1033" s="39" t="s">
        <v>915</v>
      </c>
      <c r="G1033" s="60"/>
      <c r="H1033" s="58" t="n">
        <v>10517</v>
      </c>
      <c r="I1033" s="39" t="str">
        <f aca="false">A1033&amp;"|"&amp;B1033&amp;"|"&amp;D1033&amp;"|"&amp;E1033&amp;F1033</f>
        <v>home|Oklahoma City|scenario 5 (dwelling $500,000, deductible 1%)|masonry</v>
      </c>
      <c r="J1033" s="34" t="n">
        <f aca="false" t="array" ref="J1033:J1033">MEDIAN(IF($I$4:$I$1803=I1033,$H$4:$H$1803))</f>
        <v>8121</v>
      </c>
      <c r="K1033" s="59" t="n">
        <f aca="false">H1033/J1033</f>
        <v>1.29503755695111</v>
      </c>
    </row>
    <row r="1034" customFormat="false" ht="15" hidden="false" customHeight="false" outlineLevel="0" collapsed="false">
      <c r="A1034" s="39" t="s">
        <v>912</v>
      </c>
      <c r="B1034" s="39" t="s">
        <v>880</v>
      </c>
      <c r="C1034" s="39" t="s">
        <v>889</v>
      </c>
      <c r="D1034" s="39" t="s">
        <v>914</v>
      </c>
      <c r="E1034" s="39"/>
      <c r="F1034" s="39" t="s">
        <v>133</v>
      </c>
      <c r="G1034" s="60"/>
      <c r="H1034" s="58" t="n">
        <v>2293</v>
      </c>
      <c r="I1034" s="39" t="str">
        <f aca="false">A1034&amp;"|"&amp;B1034&amp;"|"&amp;D1034&amp;"|"&amp;E1034&amp;F1034</f>
        <v>home|Oklahoma City|scenario 1 (dwelling $100,000, deductible 1%)|frame</v>
      </c>
      <c r="J1034" s="34" t="n">
        <f aca="false" t="array" ref="J1034:J1034">MEDIAN(IF($I$4:$I$1803=I1034,$H$4:$H$1803))</f>
        <v>2742</v>
      </c>
      <c r="K1034" s="59" t="n">
        <f aca="false">H1034/J1034</f>
        <v>0.836250911743253</v>
      </c>
    </row>
    <row r="1035" customFormat="false" ht="15" hidden="false" customHeight="false" outlineLevel="0" collapsed="false">
      <c r="A1035" s="39" t="s">
        <v>912</v>
      </c>
      <c r="B1035" s="39" t="s">
        <v>880</v>
      </c>
      <c r="C1035" s="39" t="s">
        <v>889</v>
      </c>
      <c r="D1035" s="39" t="s">
        <v>914</v>
      </c>
      <c r="E1035" s="39"/>
      <c r="F1035" s="39" t="s">
        <v>915</v>
      </c>
      <c r="G1035" s="60"/>
      <c r="H1035" s="58" t="n">
        <v>2077</v>
      </c>
      <c r="I1035" s="39" t="str">
        <f aca="false">A1035&amp;"|"&amp;B1035&amp;"|"&amp;D1035&amp;"|"&amp;E1035&amp;F1035</f>
        <v>home|Oklahoma City|scenario 1 (dwelling $100,000, deductible 1%)|masonry</v>
      </c>
      <c r="J1035" s="34" t="n">
        <f aca="false" t="array" ref="J1035:J1035">MEDIAN(IF($I$4:$I$1803=I1035,$H$4:$H$1803))</f>
        <v>2754</v>
      </c>
      <c r="K1035" s="59" t="n">
        <f aca="false">H1035/J1035</f>
        <v>0.754175744371823</v>
      </c>
    </row>
    <row r="1036" customFormat="false" ht="15" hidden="false" customHeight="false" outlineLevel="0" collapsed="false">
      <c r="A1036" s="39" t="s">
        <v>912</v>
      </c>
      <c r="B1036" s="39" t="s">
        <v>880</v>
      </c>
      <c r="C1036" s="39" t="s">
        <v>889</v>
      </c>
      <c r="D1036" s="39" t="s">
        <v>916</v>
      </c>
      <c r="E1036" s="39"/>
      <c r="F1036" s="39" t="s">
        <v>133</v>
      </c>
      <c r="G1036" s="60"/>
      <c r="H1036" s="58" t="n">
        <v>3479</v>
      </c>
      <c r="I1036" s="39" t="str">
        <f aca="false">A1036&amp;"|"&amp;B1036&amp;"|"&amp;D1036&amp;"|"&amp;E1036&amp;F1036</f>
        <v>home|Oklahoma City|scenario 2 (dwelling $200,000, deductible 1%)|frame</v>
      </c>
      <c r="J1036" s="34" t="n">
        <f aca="false" t="array" ref="J1036:J1036">MEDIAN(IF($I$4:$I$1803=I1036,$H$4:$H$1803))</f>
        <v>4325</v>
      </c>
      <c r="K1036" s="59" t="n">
        <f aca="false">H1036/J1036</f>
        <v>0.804393063583815</v>
      </c>
    </row>
    <row r="1037" customFormat="false" ht="15" hidden="false" customHeight="false" outlineLevel="0" collapsed="false">
      <c r="A1037" s="39" t="s">
        <v>912</v>
      </c>
      <c r="B1037" s="39" t="s">
        <v>880</v>
      </c>
      <c r="C1037" s="39" t="s">
        <v>889</v>
      </c>
      <c r="D1037" s="39" t="s">
        <v>916</v>
      </c>
      <c r="E1037" s="39"/>
      <c r="F1037" s="39" t="s">
        <v>915</v>
      </c>
      <c r="G1037" s="60"/>
      <c r="H1037" s="58" t="n">
        <v>3151</v>
      </c>
      <c r="I1037" s="39" t="str">
        <f aca="false">A1037&amp;"|"&amp;B1037&amp;"|"&amp;D1037&amp;"|"&amp;E1037&amp;F1037</f>
        <v>home|Oklahoma City|scenario 2 (dwelling $200,000, deductible 1%)|masonry</v>
      </c>
      <c r="J1037" s="34" t="n">
        <f aca="false" t="array" ref="J1037:J1037">MEDIAN(IF($I$4:$I$1803=I1037,$H$4:$H$1803))</f>
        <v>4381</v>
      </c>
      <c r="K1037" s="59" t="n">
        <f aca="false">H1037/J1037</f>
        <v>0.719242182150194</v>
      </c>
    </row>
    <row r="1038" customFormat="false" ht="15" hidden="false" customHeight="false" outlineLevel="0" collapsed="false">
      <c r="A1038" s="39" t="s">
        <v>912</v>
      </c>
      <c r="B1038" s="39" t="s">
        <v>880</v>
      </c>
      <c r="C1038" s="39" t="s">
        <v>889</v>
      </c>
      <c r="D1038" s="39" t="s">
        <v>917</v>
      </c>
      <c r="E1038" s="39"/>
      <c r="F1038" s="39" t="s">
        <v>133</v>
      </c>
      <c r="G1038" s="60"/>
      <c r="H1038" s="58" t="n">
        <v>4658</v>
      </c>
      <c r="I1038" s="39" t="str">
        <f aca="false">A1038&amp;"|"&amp;B1038&amp;"|"&amp;D1038&amp;"|"&amp;E1038&amp;F1038</f>
        <v>home|Oklahoma City|scenario 3 (dwelling $300,000, deductible 1%)|frame</v>
      </c>
      <c r="J1038" s="34" t="n">
        <f aca="false" t="array" ref="J1038:J1038">MEDIAN(IF($I$4:$I$1803=I1038,$H$4:$H$1803))</f>
        <v>5727</v>
      </c>
      <c r="K1038" s="59" t="n">
        <f aca="false">H1038/J1038</f>
        <v>0.813340317792911</v>
      </c>
    </row>
    <row r="1039" customFormat="false" ht="15" hidden="false" customHeight="false" outlineLevel="0" collapsed="false">
      <c r="A1039" s="39" t="s">
        <v>912</v>
      </c>
      <c r="B1039" s="39" t="s">
        <v>880</v>
      </c>
      <c r="C1039" s="39" t="s">
        <v>889</v>
      </c>
      <c r="D1039" s="39" t="s">
        <v>917</v>
      </c>
      <c r="E1039" s="39"/>
      <c r="F1039" s="39" t="s">
        <v>915</v>
      </c>
      <c r="G1039" s="60"/>
      <c r="H1039" s="58" t="n">
        <v>4222</v>
      </c>
      <c r="I1039" s="39" t="str">
        <f aca="false">A1039&amp;"|"&amp;B1039&amp;"|"&amp;D1039&amp;"|"&amp;E1039&amp;F1039</f>
        <v>home|Oklahoma City|scenario 3 (dwelling $300,000, deductible 1%)|masonry</v>
      </c>
      <c r="J1039" s="34" t="n">
        <f aca="false" t="array" ref="J1039:J1039">MEDIAN(IF($I$4:$I$1803=I1039,$H$4:$H$1803))</f>
        <v>5959</v>
      </c>
      <c r="K1039" s="59" t="n">
        <f aca="false">H1039/J1039</f>
        <v>0.708508138949488</v>
      </c>
    </row>
    <row r="1040" customFormat="false" ht="15" hidden="false" customHeight="false" outlineLevel="0" collapsed="false">
      <c r="A1040" s="39" t="s">
        <v>912</v>
      </c>
      <c r="B1040" s="39" t="s">
        <v>880</v>
      </c>
      <c r="C1040" s="39" t="s">
        <v>889</v>
      </c>
      <c r="D1040" s="39" t="s">
        <v>918</v>
      </c>
      <c r="E1040" s="39"/>
      <c r="F1040" s="39" t="s">
        <v>133</v>
      </c>
      <c r="G1040" s="60"/>
      <c r="H1040" s="58" t="n">
        <v>6512</v>
      </c>
      <c r="I1040" s="39" t="str">
        <f aca="false">A1040&amp;"|"&amp;B1040&amp;"|"&amp;D1040&amp;"|"&amp;E1040&amp;F1040</f>
        <v>home|Oklahoma City|scenario 4 (dwelling $400,000, deductible 1%)|frame</v>
      </c>
      <c r="J1040" s="34" t="n">
        <f aca="false" t="array" ref="J1040:J1040">MEDIAN(IF($I$4:$I$1803=I1040,$H$4:$H$1803))</f>
        <v>6965.5</v>
      </c>
      <c r="K1040" s="59" t="n">
        <f aca="false">H1040/J1040</f>
        <v>0.934893403201493</v>
      </c>
    </row>
    <row r="1041" customFormat="false" ht="15" hidden="false" customHeight="false" outlineLevel="0" collapsed="false">
      <c r="A1041" s="39" t="s">
        <v>912</v>
      </c>
      <c r="B1041" s="39" t="s">
        <v>880</v>
      </c>
      <c r="C1041" s="39" t="s">
        <v>889</v>
      </c>
      <c r="D1041" s="39" t="s">
        <v>918</v>
      </c>
      <c r="E1041" s="39"/>
      <c r="F1041" s="39" t="s">
        <v>915</v>
      </c>
      <c r="G1041" s="60"/>
      <c r="H1041" s="58" t="n">
        <v>5900</v>
      </c>
      <c r="I1041" s="39" t="str">
        <f aca="false">A1041&amp;"|"&amp;B1041&amp;"|"&amp;D1041&amp;"|"&amp;E1041&amp;F1041</f>
        <v>home|Oklahoma City|scenario 4 (dwelling $400,000, deductible 1%)|masonry</v>
      </c>
      <c r="J1041" s="34" t="n">
        <f aca="false" t="array" ref="J1041:J1041">MEDIAN(IF($I$4:$I$1803=I1041,$H$4:$H$1803))</f>
        <v>7153</v>
      </c>
      <c r="K1041" s="59" t="n">
        <f aca="false">H1041/J1041</f>
        <v>0.824828743184678</v>
      </c>
    </row>
    <row r="1042" customFormat="false" ht="15" hidden="false" customHeight="false" outlineLevel="0" collapsed="false">
      <c r="A1042" s="39" t="s">
        <v>912</v>
      </c>
      <c r="B1042" s="39" t="s">
        <v>880</v>
      </c>
      <c r="C1042" s="39" t="s">
        <v>889</v>
      </c>
      <c r="D1042" s="39" t="s">
        <v>919</v>
      </c>
      <c r="E1042" s="39"/>
      <c r="F1042" s="39" t="s">
        <v>133</v>
      </c>
      <c r="G1042" s="60"/>
      <c r="H1042" s="58" t="n">
        <v>8224</v>
      </c>
      <c r="I1042" s="39" t="str">
        <f aca="false">A1042&amp;"|"&amp;B1042&amp;"|"&amp;D1042&amp;"|"&amp;E1042&amp;F1042</f>
        <v>home|Oklahoma City|scenario 5 (dwelling $500,000, deductible 1%)|frame</v>
      </c>
      <c r="J1042" s="34" t="n">
        <f aca="false" t="array" ref="J1042:J1042">MEDIAN(IF($I$4:$I$1803=I1042,$H$4:$H$1803))</f>
        <v>8254.5</v>
      </c>
      <c r="K1042" s="59" t="n">
        <f aca="false">H1042/J1042</f>
        <v>0.996305045732631</v>
      </c>
    </row>
    <row r="1043" customFormat="false" ht="15" hidden="false" customHeight="false" outlineLevel="0" collapsed="false">
      <c r="A1043" s="39" t="s">
        <v>912</v>
      </c>
      <c r="B1043" s="39" t="s">
        <v>880</v>
      </c>
      <c r="C1043" s="39" t="s">
        <v>889</v>
      </c>
      <c r="D1043" s="39" t="s">
        <v>919</v>
      </c>
      <c r="E1043" s="39"/>
      <c r="F1043" s="39" t="s">
        <v>915</v>
      </c>
      <c r="G1043" s="60"/>
      <c r="H1043" s="58" t="n">
        <v>7451</v>
      </c>
      <c r="I1043" s="39" t="str">
        <f aca="false">A1043&amp;"|"&amp;B1043&amp;"|"&amp;D1043&amp;"|"&amp;E1043&amp;F1043</f>
        <v>home|Oklahoma City|scenario 5 (dwelling $500,000, deductible 1%)|masonry</v>
      </c>
      <c r="J1043" s="34" t="n">
        <f aca="false" t="array" ref="J1043:J1043">MEDIAN(IF($I$4:$I$1803=I1043,$H$4:$H$1803))</f>
        <v>8121</v>
      </c>
      <c r="K1043" s="59" t="n">
        <f aca="false">H1043/J1043</f>
        <v>0.917497845092969</v>
      </c>
    </row>
    <row r="1044" customFormat="false" ht="15" hidden="false" customHeight="false" outlineLevel="0" collapsed="false">
      <c r="A1044" s="39" t="s">
        <v>912</v>
      </c>
      <c r="B1044" s="39" t="s">
        <v>880</v>
      </c>
      <c r="C1044" s="39" t="s">
        <v>922</v>
      </c>
      <c r="D1044" s="39" t="s">
        <v>914</v>
      </c>
      <c r="E1044" s="39"/>
      <c r="F1044" s="39" t="s">
        <v>133</v>
      </c>
      <c r="G1044" s="60"/>
      <c r="H1044" s="58" t="n">
        <v>2335</v>
      </c>
      <c r="I1044" s="39" t="str">
        <f aca="false">A1044&amp;"|"&amp;B1044&amp;"|"&amp;D1044&amp;"|"&amp;E1044&amp;F1044</f>
        <v>home|Oklahoma City|scenario 1 (dwelling $100,000, deductible 1%)|frame</v>
      </c>
      <c r="J1044" s="34" t="n">
        <f aca="false" t="array" ref="J1044:J1044">MEDIAN(IF($I$4:$I$1803=I1044,$H$4:$H$1803))</f>
        <v>2742</v>
      </c>
      <c r="K1044" s="59" t="n">
        <f aca="false">H1044/J1044</f>
        <v>0.851568198395332</v>
      </c>
    </row>
    <row r="1045" customFormat="false" ht="15" hidden="false" customHeight="false" outlineLevel="0" collapsed="false">
      <c r="A1045" s="39" t="s">
        <v>912</v>
      </c>
      <c r="B1045" s="39" t="s">
        <v>880</v>
      </c>
      <c r="C1045" s="39" t="s">
        <v>922</v>
      </c>
      <c r="D1045" s="39" t="s">
        <v>914</v>
      </c>
      <c r="E1045" s="39"/>
      <c r="F1045" s="39" t="s">
        <v>915</v>
      </c>
      <c r="G1045" s="60"/>
      <c r="H1045" s="58" t="n">
        <v>2227</v>
      </c>
      <c r="I1045" s="39" t="str">
        <f aca="false">A1045&amp;"|"&amp;B1045&amp;"|"&amp;D1045&amp;"|"&amp;E1045&amp;F1045</f>
        <v>home|Oklahoma City|scenario 1 (dwelling $100,000, deductible 1%)|masonry</v>
      </c>
      <c r="J1045" s="34" t="n">
        <f aca="false" t="array" ref="J1045:J1045">MEDIAN(IF($I$4:$I$1803=I1045,$H$4:$H$1803))</f>
        <v>2754</v>
      </c>
      <c r="K1045" s="59" t="n">
        <f aca="false">H1045/J1045</f>
        <v>0.808641975308642</v>
      </c>
    </row>
    <row r="1046" customFormat="false" ht="15" hidden="false" customHeight="false" outlineLevel="0" collapsed="false">
      <c r="A1046" s="39" t="s">
        <v>912</v>
      </c>
      <c r="B1046" s="39" t="s">
        <v>880</v>
      </c>
      <c r="C1046" s="39" t="s">
        <v>922</v>
      </c>
      <c r="D1046" s="39" t="s">
        <v>916</v>
      </c>
      <c r="E1046" s="39"/>
      <c r="F1046" s="39" t="s">
        <v>133</v>
      </c>
      <c r="G1046" s="60"/>
      <c r="H1046" s="58" t="n">
        <v>3851</v>
      </c>
      <c r="I1046" s="39" t="str">
        <f aca="false">A1046&amp;"|"&amp;B1046&amp;"|"&amp;D1046&amp;"|"&amp;E1046&amp;F1046</f>
        <v>home|Oklahoma City|scenario 2 (dwelling $200,000, deductible 1%)|frame</v>
      </c>
      <c r="J1046" s="34" t="n">
        <f aca="false" t="array" ref="J1046:J1046">MEDIAN(IF($I$4:$I$1803=I1046,$H$4:$H$1803))</f>
        <v>4325</v>
      </c>
      <c r="K1046" s="59" t="n">
        <f aca="false">H1046/J1046</f>
        <v>0.890404624277457</v>
      </c>
    </row>
    <row r="1047" customFormat="false" ht="15" hidden="false" customHeight="false" outlineLevel="0" collapsed="false">
      <c r="A1047" s="39" t="s">
        <v>912</v>
      </c>
      <c r="B1047" s="39" t="s">
        <v>880</v>
      </c>
      <c r="C1047" s="39" t="s">
        <v>922</v>
      </c>
      <c r="D1047" s="39" t="s">
        <v>916</v>
      </c>
      <c r="E1047" s="39"/>
      <c r="F1047" s="39" t="s">
        <v>915</v>
      </c>
      <c r="G1047" s="60"/>
      <c r="H1047" s="58" t="n">
        <v>3670</v>
      </c>
      <c r="I1047" s="39" t="str">
        <f aca="false">A1047&amp;"|"&amp;B1047&amp;"|"&amp;D1047&amp;"|"&amp;E1047&amp;F1047</f>
        <v>home|Oklahoma City|scenario 2 (dwelling $200,000, deductible 1%)|masonry</v>
      </c>
      <c r="J1047" s="34" t="n">
        <f aca="false" t="array" ref="J1047:J1047">MEDIAN(IF($I$4:$I$1803=I1047,$H$4:$H$1803))</f>
        <v>4381</v>
      </c>
      <c r="K1047" s="59" t="n">
        <f aca="false">H1047/J1047</f>
        <v>0.837708285779502</v>
      </c>
    </row>
    <row r="1048" customFormat="false" ht="15" hidden="false" customHeight="false" outlineLevel="0" collapsed="false">
      <c r="A1048" s="39" t="s">
        <v>912</v>
      </c>
      <c r="B1048" s="39" t="s">
        <v>880</v>
      </c>
      <c r="C1048" s="39" t="s">
        <v>922</v>
      </c>
      <c r="D1048" s="39" t="s">
        <v>917</v>
      </c>
      <c r="E1048" s="39"/>
      <c r="F1048" s="39" t="s">
        <v>133</v>
      </c>
      <c r="G1048" s="60"/>
      <c r="H1048" s="58" t="n">
        <v>5177</v>
      </c>
      <c r="I1048" s="39" t="str">
        <f aca="false">A1048&amp;"|"&amp;B1048&amp;"|"&amp;D1048&amp;"|"&amp;E1048&amp;F1048</f>
        <v>home|Oklahoma City|scenario 3 (dwelling $300,000, deductible 1%)|frame</v>
      </c>
      <c r="J1048" s="34" t="n">
        <f aca="false" t="array" ref="J1048:J1048">MEDIAN(IF($I$4:$I$1803=I1048,$H$4:$H$1803))</f>
        <v>5727</v>
      </c>
      <c r="K1048" s="59" t="n">
        <f aca="false">H1048/J1048</f>
        <v>0.903963680810197</v>
      </c>
    </row>
    <row r="1049" customFormat="false" ht="15" hidden="false" customHeight="false" outlineLevel="0" collapsed="false">
      <c r="A1049" s="39" t="s">
        <v>912</v>
      </c>
      <c r="B1049" s="39" t="s">
        <v>880</v>
      </c>
      <c r="C1049" s="39" t="s">
        <v>922</v>
      </c>
      <c r="D1049" s="39" t="s">
        <v>917</v>
      </c>
      <c r="E1049" s="39"/>
      <c r="F1049" s="39" t="s">
        <v>915</v>
      </c>
      <c r="G1049" s="60"/>
      <c r="H1049" s="58" t="n">
        <v>4933</v>
      </c>
      <c r="I1049" s="39" t="str">
        <f aca="false">A1049&amp;"|"&amp;B1049&amp;"|"&amp;D1049&amp;"|"&amp;E1049&amp;F1049</f>
        <v>home|Oklahoma City|scenario 3 (dwelling $300,000, deductible 1%)|masonry</v>
      </c>
      <c r="J1049" s="34" t="n">
        <f aca="false" t="array" ref="J1049:J1049">MEDIAN(IF($I$4:$I$1803=I1049,$H$4:$H$1803))</f>
        <v>5959</v>
      </c>
      <c r="K1049" s="59" t="n">
        <f aca="false">H1049/J1049</f>
        <v>0.827823460312133</v>
      </c>
    </row>
    <row r="1050" customFormat="false" ht="15" hidden="false" customHeight="false" outlineLevel="0" collapsed="false">
      <c r="A1050" s="39" t="s">
        <v>912</v>
      </c>
      <c r="B1050" s="39" t="s">
        <v>880</v>
      </c>
      <c r="C1050" s="39" t="s">
        <v>922</v>
      </c>
      <c r="D1050" s="39" t="s">
        <v>918</v>
      </c>
      <c r="E1050" s="39"/>
      <c r="F1050" s="39" t="s">
        <v>133</v>
      </c>
      <c r="G1050" s="60"/>
      <c r="H1050" s="58" t="n">
        <v>6335</v>
      </c>
      <c r="I1050" s="39" t="str">
        <f aca="false">A1050&amp;"|"&amp;B1050&amp;"|"&amp;D1050&amp;"|"&amp;E1050&amp;F1050</f>
        <v>home|Oklahoma City|scenario 4 (dwelling $400,000, deductible 1%)|frame</v>
      </c>
      <c r="J1050" s="34" t="n">
        <f aca="false" t="array" ref="J1050:J1050">MEDIAN(IF($I$4:$I$1803=I1050,$H$4:$H$1803))</f>
        <v>6965.5</v>
      </c>
      <c r="K1050" s="59" t="n">
        <f aca="false">H1050/J1050</f>
        <v>0.909482449213983</v>
      </c>
    </row>
    <row r="1051" customFormat="false" ht="15" hidden="false" customHeight="false" outlineLevel="0" collapsed="false">
      <c r="A1051" s="39" t="s">
        <v>912</v>
      </c>
      <c r="B1051" s="39" t="s">
        <v>880</v>
      </c>
      <c r="C1051" s="39" t="s">
        <v>922</v>
      </c>
      <c r="D1051" s="39" t="s">
        <v>918</v>
      </c>
      <c r="E1051" s="39"/>
      <c r="F1051" s="39" t="s">
        <v>915</v>
      </c>
      <c r="G1051" s="60"/>
      <c r="H1051" s="58" t="n">
        <v>6039</v>
      </c>
      <c r="I1051" s="39" t="str">
        <f aca="false">A1051&amp;"|"&amp;B1051&amp;"|"&amp;D1051&amp;"|"&amp;E1051&amp;F1051</f>
        <v>home|Oklahoma City|scenario 4 (dwelling $400,000, deductible 1%)|masonry</v>
      </c>
      <c r="J1051" s="34" t="n">
        <f aca="false" t="array" ref="J1051:J1051">MEDIAN(IF($I$4:$I$1803=I1051,$H$4:$H$1803))</f>
        <v>7153</v>
      </c>
      <c r="K1051" s="59" t="n">
        <f aca="false">H1051/J1051</f>
        <v>0.844261149168181</v>
      </c>
    </row>
    <row r="1052" customFormat="false" ht="15" hidden="false" customHeight="false" outlineLevel="0" collapsed="false">
      <c r="A1052" s="39" t="s">
        <v>912</v>
      </c>
      <c r="B1052" s="39" t="s">
        <v>880</v>
      </c>
      <c r="C1052" s="39" t="s">
        <v>922</v>
      </c>
      <c r="D1052" s="39" t="s">
        <v>919</v>
      </c>
      <c r="E1052" s="39"/>
      <c r="F1052" s="39" t="s">
        <v>133</v>
      </c>
      <c r="G1052" s="60"/>
      <c r="H1052" s="58" t="n">
        <v>6865</v>
      </c>
      <c r="I1052" s="39" t="str">
        <f aca="false">A1052&amp;"|"&amp;B1052&amp;"|"&amp;D1052&amp;"|"&amp;E1052&amp;F1052</f>
        <v>home|Oklahoma City|scenario 5 (dwelling $500,000, deductible 1%)|frame</v>
      </c>
      <c r="J1052" s="34" t="n">
        <f aca="false" t="array" ref="J1052:J1052">MEDIAN(IF($I$4:$I$1803=I1052,$H$4:$H$1803))</f>
        <v>8254.5</v>
      </c>
      <c r="K1052" s="59" t="n">
        <f aca="false">H1052/J1052</f>
        <v>0.831667575261978</v>
      </c>
    </row>
    <row r="1053" customFormat="false" ht="15" hidden="false" customHeight="false" outlineLevel="0" collapsed="false">
      <c r="A1053" s="39" t="s">
        <v>912</v>
      </c>
      <c r="B1053" s="39" t="s">
        <v>880</v>
      </c>
      <c r="C1053" s="39" t="s">
        <v>922</v>
      </c>
      <c r="D1053" s="39" t="s">
        <v>919</v>
      </c>
      <c r="E1053" s="39"/>
      <c r="F1053" s="39" t="s">
        <v>915</v>
      </c>
      <c r="G1053" s="60"/>
      <c r="H1053" s="58" t="n">
        <v>6555</v>
      </c>
      <c r="I1053" s="39" t="str">
        <f aca="false">A1053&amp;"|"&amp;B1053&amp;"|"&amp;D1053&amp;"|"&amp;E1053&amp;F1053</f>
        <v>home|Oklahoma City|scenario 5 (dwelling $500,000, deductible 1%)|masonry</v>
      </c>
      <c r="J1053" s="34" t="n">
        <f aca="false" t="array" ref="J1053:J1053">MEDIAN(IF($I$4:$I$1803=I1053,$H$4:$H$1803))</f>
        <v>8121</v>
      </c>
      <c r="K1053" s="59" t="n">
        <f aca="false">H1053/J1053</f>
        <v>0.807166605097894</v>
      </c>
    </row>
    <row r="1054" customFormat="false" ht="15" hidden="false" customHeight="false" outlineLevel="0" collapsed="false">
      <c r="A1054" s="39" t="s">
        <v>912</v>
      </c>
      <c r="B1054" s="39" t="s">
        <v>880</v>
      </c>
      <c r="C1054" s="39" t="s">
        <v>923</v>
      </c>
      <c r="D1054" s="39" t="s">
        <v>914</v>
      </c>
      <c r="E1054" s="39"/>
      <c r="F1054" s="39" t="s">
        <v>133</v>
      </c>
      <c r="G1054" s="60"/>
      <c r="H1054" s="58" t="n">
        <v>2571</v>
      </c>
      <c r="I1054" s="39" t="str">
        <f aca="false">A1054&amp;"|"&amp;B1054&amp;"|"&amp;D1054&amp;"|"&amp;E1054&amp;F1054</f>
        <v>home|Oklahoma City|scenario 1 (dwelling $100,000, deductible 1%)|frame</v>
      </c>
      <c r="J1054" s="34" t="n">
        <f aca="false" t="array" ref="J1054:J1054">MEDIAN(IF($I$4:$I$1803=I1054,$H$4:$H$1803))</f>
        <v>2742</v>
      </c>
      <c r="K1054" s="59" t="n">
        <f aca="false">H1054/J1054</f>
        <v>0.937636761487965</v>
      </c>
    </row>
    <row r="1055" customFormat="false" ht="15" hidden="false" customHeight="false" outlineLevel="0" collapsed="false">
      <c r="A1055" s="39" t="s">
        <v>912</v>
      </c>
      <c r="B1055" s="39" t="s">
        <v>880</v>
      </c>
      <c r="C1055" s="39" t="s">
        <v>923</v>
      </c>
      <c r="D1055" s="39" t="s">
        <v>914</v>
      </c>
      <c r="E1055" s="39"/>
      <c r="F1055" s="39" t="s">
        <v>915</v>
      </c>
      <c r="G1055" s="60"/>
      <c r="H1055" s="58" t="n">
        <v>2560</v>
      </c>
      <c r="I1055" s="39" t="str">
        <f aca="false">A1055&amp;"|"&amp;B1055&amp;"|"&amp;D1055&amp;"|"&amp;E1055&amp;F1055</f>
        <v>home|Oklahoma City|scenario 1 (dwelling $100,000, deductible 1%)|masonry</v>
      </c>
      <c r="J1055" s="34" t="n">
        <f aca="false" t="array" ref="J1055:J1055">MEDIAN(IF($I$4:$I$1803=I1055,$H$4:$H$1803))</f>
        <v>2754</v>
      </c>
      <c r="K1055" s="59" t="n">
        <f aca="false">H1055/J1055</f>
        <v>0.929557007988381</v>
      </c>
    </row>
    <row r="1056" customFormat="false" ht="15" hidden="false" customHeight="false" outlineLevel="0" collapsed="false">
      <c r="A1056" s="39" t="s">
        <v>912</v>
      </c>
      <c r="B1056" s="39" t="s">
        <v>880</v>
      </c>
      <c r="C1056" s="39" t="s">
        <v>923</v>
      </c>
      <c r="D1056" s="39" t="s">
        <v>916</v>
      </c>
      <c r="E1056" s="39"/>
      <c r="F1056" s="39" t="s">
        <v>133</v>
      </c>
      <c r="G1056" s="60"/>
      <c r="H1056" s="58" t="n">
        <v>2943</v>
      </c>
      <c r="I1056" s="39" t="str">
        <f aca="false">A1056&amp;"|"&amp;B1056&amp;"|"&amp;D1056&amp;"|"&amp;E1056&amp;F1056</f>
        <v>home|Oklahoma City|scenario 2 (dwelling $200,000, deductible 1%)|frame</v>
      </c>
      <c r="J1056" s="34" t="n">
        <f aca="false" t="array" ref="J1056:J1056">MEDIAN(IF($I$4:$I$1803=I1056,$H$4:$H$1803))</f>
        <v>4325</v>
      </c>
      <c r="K1056" s="59" t="n">
        <f aca="false">H1056/J1056</f>
        <v>0.680462427745665</v>
      </c>
    </row>
    <row r="1057" customFormat="false" ht="15" hidden="false" customHeight="false" outlineLevel="0" collapsed="false">
      <c r="A1057" s="39" t="s">
        <v>912</v>
      </c>
      <c r="B1057" s="39" t="s">
        <v>880</v>
      </c>
      <c r="C1057" s="39" t="s">
        <v>923</v>
      </c>
      <c r="D1057" s="39" t="s">
        <v>916</v>
      </c>
      <c r="E1057" s="39"/>
      <c r="F1057" s="39" t="s">
        <v>915</v>
      </c>
      <c r="G1057" s="60"/>
      <c r="H1057" s="58" t="n">
        <v>2923</v>
      </c>
      <c r="I1057" s="39" t="str">
        <f aca="false">A1057&amp;"|"&amp;B1057&amp;"|"&amp;D1057&amp;"|"&amp;E1057&amp;F1057</f>
        <v>home|Oklahoma City|scenario 2 (dwelling $200,000, deductible 1%)|masonry</v>
      </c>
      <c r="J1057" s="34" t="n">
        <f aca="false" t="array" ref="J1057:J1057">MEDIAN(IF($I$4:$I$1803=I1057,$H$4:$H$1803))</f>
        <v>4381</v>
      </c>
      <c r="K1057" s="59" t="n">
        <f aca="false">H1057/J1057</f>
        <v>0.667199269573157</v>
      </c>
    </row>
    <row r="1058" customFormat="false" ht="15" hidden="false" customHeight="false" outlineLevel="0" collapsed="false">
      <c r="A1058" s="39" t="s">
        <v>912</v>
      </c>
      <c r="B1058" s="39" t="s">
        <v>880</v>
      </c>
      <c r="C1058" s="39" t="s">
        <v>923</v>
      </c>
      <c r="D1058" s="39" t="s">
        <v>917</v>
      </c>
      <c r="E1058" s="39"/>
      <c r="F1058" s="39" t="s">
        <v>133</v>
      </c>
      <c r="G1058" s="60"/>
      <c r="H1058" s="58" t="n">
        <v>3357</v>
      </c>
      <c r="I1058" s="39" t="str">
        <f aca="false">A1058&amp;"|"&amp;B1058&amp;"|"&amp;D1058&amp;"|"&amp;E1058&amp;F1058</f>
        <v>home|Oklahoma City|scenario 3 (dwelling $300,000, deductible 1%)|frame</v>
      </c>
      <c r="J1058" s="34" t="n">
        <f aca="false" t="array" ref="J1058:J1058">MEDIAN(IF($I$4:$I$1803=I1058,$H$4:$H$1803))</f>
        <v>5727</v>
      </c>
      <c r="K1058" s="59" t="n">
        <f aca="false">H1058/J1058</f>
        <v>0.586170770036668</v>
      </c>
    </row>
    <row r="1059" customFormat="false" ht="15" hidden="false" customHeight="false" outlineLevel="0" collapsed="false">
      <c r="A1059" s="39" t="s">
        <v>912</v>
      </c>
      <c r="B1059" s="39" t="s">
        <v>880</v>
      </c>
      <c r="C1059" s="39" t="s">
        <v>923</v>
      </c>
      <c r="D1059" s="39" t="s">
        <v>917</v>
      </c>
      <c r="E1059" s="39"/>
      <c r="F1059" s="39" t="s">
        <v>915</v>
      </c>
      <c r="G1059" s="60"/>
      <c r="H1059" s="58" t="n">
        <v>3328</v>
      </c>
      <c r="I1059" s="39" t="str">
        <f aca="false">A1059&amp;"|"&amp;B1059&amp;"|"&amp;D1059&amp;"|"&amp;E1059&amp;F1059</f>
        <v>home|Oklahoma City|scenario 3 (dwelling $300,000, deductible 1%)|masonry</v>
      </c>
      <c r="J1059" s="34" t="n">
        <f aca="false" t="array" ref="J1059:J1059">MEDIAN(IF($I$4:$I$1803=I1059,$H$4:$H$1803))</f>
        <v>5959</v>
      </c>
      <c r="K1059" s="59" t="n">
        <f aca="false">H1059/J1059</f>
        <v>0.558482966940762</v>
      </c>
    </row>
    <row r="1060" customFormat="false" ht="15" hidden="false" customHeight="false" outlineLevel="0" collapsed="false">
      <c r="A1060" s="39" t="s">
        <v>912</v>
      </c>
      <c r="B1060" s="39" t="s">
        <v>880</v>
      </c>
      <c r="C1060" s="39" t="s">
        <v>923</v>
      </c>
      <c r="D1060" s="39" t="s">
        <v>918</v>
      </c>
      <c r="E1060" s="39"/>
      <c r="F1060" s="39" t="s">
        <v>133</v>
      </c>
      <c r="G1060" s="60"/>
      <c r="H1060" s="58" t="n">
        <v>3759</v>
      </c>
      <c r="I1060" s="39" t="str">
        <f aca="false">A1060&amp;"|"&amp;B1060&amp;"|"&amp;D1060&amp;"|"&amp;E1060&amp;F1060</f>
        <v>home|Oklahoma City|scenario 4 (dwelling $400,000, deductible 1%)|frame</v>
      </c>
      <c r="J1060" s="34" t="n">
        <f aca="false" t="array" ref="J1060:J1060">MEDIAN(IF($I$4:$I$1803=I1060,$H$4:$H$1803))</f>
        <v>6965.5</v>
      </c>
      <c r="K1060" s="59" t="n">
        <f aca="false">H1060/J1060</f>
        <v>0.539659751633049</v>
      </c>
    </row>
    <row r="1061" customFormat="false" ht="15" hidden="false" customHeight="false" outlineLevel="0" collapsed="false">
      <c r="A1061" s="39" t="s">
        <v>912</v>
      </c>
      <c r="B1061" s="39" t="s">
        <v>880</v>
      </c>
      <c r="C1061" s="39" t="s">
        <v>923</v>
      </c>
      <c r="D1061" s="39" t="s">
        <v>918</v>
      </c>
      <c r="E1061" s="39"/>
      <c r="F1061" s="39" t="s">
        <v>915</v>
      </c>
      <c r="G1061" s="60"/>
      <c r="H1061" s="58" t="n">
        <v>3721</v>
      </c>
      <c r="I1061" s="39" t="str">
        <f aca="false">A1061&amp;"|"&amp;B1061&amp;"|"&amp;D1061&amp;"|"&amp;E1061&amp;F1061</f>
        <v>home|Oklahoma City|scenario 4 (dwelling $400,000, deductible 1%)|masonry</v>
      </c>
      <c r="J1061" s="34" t="n">
        <f aca="false" t="array" ref="J1061:J1061">MEDIAN(IF($I$4:$I$1803=I1061,$H$4:$H$1803))</f>
        <v>7153</v>
      </c>
      <c r="K1061" s="59" t="n">
        <f aca="false">H1061/J1061</f>
        <v>0.52020131413393</v>
      </c>
    </row>
    <row r="1062" customFormat="false" ht="15" hidden="false" customHeight="false" outlineLevel="0" collapsed="false">
      <c r="A1062" s="39" t="s">
        <v>912</v>
      </c>
      <c r="B1062" s="39" t="s">
        <v>880</v>
      </c>
      <c r="C1062" s="39" t="s">
        <v>923</v>
      </c>
      <c r="D1062" s="39" t="s">
        <v>919</v>
      </c>
      <c r="E1062" s="39"/>
      <c r="F1062" s="39" t="s">
        <v>133</v>
      </c>
      <c r="G1062" s="60"/>
      <c r="H1062" s="58" t="n">
        <v>3889</v>
      </c>
      <c r="I1062" s="39" t="str">
        <f aca="false">A1062&amp;"|"&amp;B1062&amp;"|"&amp;D1062&amp;"|"&amp;E1062&amp;F1062</f>
        <v>home|Oklahoma City|scenario 5 (dwelling $500,000, deductible 1%)|frame</v>
      </c>
      <c r="J1062" s="34" t="n">
        <f aca="false" t="array" ref="J1062:J1062">MEDIAN(IF($I$4:$I$1803=I1062,$H$4:$H$1803))</f>
        <v>8254.5</v>
      </c>
      <c r="K1062" s="59" t="n">
        <f aca="false">H1062/J1062</f>
        <v>0.471136955599976</v>
      </c>
    </row>
    <row r="1063" customFormat="false" ht="15" hidden="false" customHeight="false" outlineLevel="0" collapsed="false">
      <c r="A1063" s="39" t="s">
        <v>912</v>
      </c>
      <c r="B1063" s="39" t="s">
        <v>880</v>
      </c>
      <c r="C1063" s="39" t="s">
        <v>923</v>
      </c>
      <c r="D1063" s="39" t="s">
        <v>919</v>
      </c>
      <c r="E1063" s="39"/>
      <c r="F1063" s="39" t="s">
        <v>915</v>
      </c>
      <c r="G1063" s="60"/>
      <c r="H1063" s="58" t="n">
        <v>3844</v>
      </c>
      <c r="I1063" s="39" t="str">
        <f aca="false">A1063&amp;"|"&amp;B1063&amp;"|"&amp;D1063&amp;"|"&amp;E1063&amp;F1063</f>
        <v>home|Oklahoma City|scenario 5 (dwelling $500,000, deductible 1%)|masonry</v>
      </c>
      <c r="J1063" s="34" t="n">
        <f aca="false" t="array" ref="J1063:J1063">MEDIAN(IF($I$4:$I$1803=I1063,$H$4:$H$1803))</f>
        <v>8121</v>
      </c>
      <c r="K1063" s="59" t="n">
        <f aca="false">H1063/J1063</f>
        <v>0.473340721586012</v>
      </c>
    </row>
    <row r="1064" customFormat="false" ht="15" hidden="false" customHeight="false" outlineLevel="0" collapsed="false">
      <c r="A1064" s="39" t="s">
        <v>912</v>
      </c>
      <c r="B1064" s="39" t="s">
        <v>880</v>
      </c>
      <c r="C1064" s="39" t="s">
        <v>924</v>
      </c>
      <c r="D1064" s="39" t="s">
        <v>914</v>
      </c>
      <c r="E1064" s="39"/>
      <c r="F1064" s="39" t="s">
        <v>133</v>
      </c>
      <c r="G1064" s="60"/>
      <c r="H1064" s="58" t="n">
        <v>1557</v>
      </c>
      <c r="I1064" s="39" t="str">
        <f aca="false">A1064&amp;"|"&amp;B1064&amp;"|"&amp;D1064&amp;"|"&amp;E1064&amp;F1064</f>
        <v>home|Oklahoma City|scenario 1 (dwelling $100,000, deductible 1%)|frame</v>
      </c>
      <c r="J1064" s="34" t="n">
        <f aca="false" t="array" ref="J1064:J1064">MEDIAN(IF($I$4:$I$1803=I1064,$H$4:$H$1803))</f>
        <v>2742</v>
      </c>
      <c r="K1064" s="59" t="n">
        <f aca="false">H1064/J1064</f>
        <v>0.567833698030635</v>
      </c>
    </row>
    <row r="1065" customFormat="false" ht="15" hidden="false" customHeight="false" outlineLevel="0" collapsed="false">
      <c r="A1065" s="39" t="s">
        <v>912</v>
      </c>
      <c r="B1065" s="39" t="s">
        <v>880</v>
      </c>
      <c r="C1065" s="39" t="s">
        <v>924</v>
      </c>
      <c r="D1065" s="39" t="s">
        <v>914</v>
      </c>
      <c r="E1065" s="39"/>
      <c r="F1065" s="39" t="s">
        <v>915</v>
      </c>
      <c r="G1065" s="60"/>
      <c r="H1065" s="58" t="n">
        <v>1557</v>
      </c>
      <c r="I1065" s="39" t="str">
        <f aca="false">A1065&amp;"|"&amp;B1065&amp;"|"&amp;D1065&amp;"|"&amp;E1065&amp;F1065</f>
        <v>home|Oklahoma City|scenario 1 (dwelling $100,000, deductible 1%)|masonry</v>
      </c>
      <c r="J1065" s="34" t="n">
        <f aca="false" t="array" ref="J1065:J1065">MEDIAN(IF($I$4:$I$1803=I1065,$H$4:$H$1803))</f>
        <v>2754</v>
      </c>
      <c r="K1065" s="59" t="n">
        <f aca="false">H1065/J1065</f>
        <v>0.565359477124183</v>
      </c>
    </row>
    <row r="1066" customFormat="false" ht="15" hidden="false" customHeight="false" outlineLevel="0" collapsed="false">
      <c r="A1066" s="39" t="s">
        <v>912</v>
      </c>
      <c r="B1066" s="39" t="s">
        <v>880</v>
      </c>
      <c r="C1066" s="39" t="s">
        <v>924</v>
      </c>
      <c r="D1066" s="39" t="s">
        <v>916</v>
      </c>
      <c r="E1066" s="39"/>
      <c r="F1066" s="39" t="s">
        <v>133</v>
      </c>
      <c r="G1066" s="60"/>
      <c r="H1066" s="58" t="n">
        <v>2471</v>
      </c>
      <c r="I1066" s="39" t="str">
        <f aca="false">A1066&amp;"|"&amp;B1066&amp;"|"&amp;D1066&amp;"|"&amp;E1066&amp;F1066</f>
        <v>home|Oklahoma City|scenario 2 (dwelling $200,000, deductible 1%)|frame</v>
      </c>
      <c r="J1066" s="34" t="n">
        <f aca="false" t="array" ref="J1066:J1066">MEDIAN(IF($I$4:$I$1803=I1066,$H$4:$H$1803))</f>
        <v>4325</v>
      </c>
      <c r="K1066" s="59" t="n">
        <f aca="false">H1066/J1066</f>
        <v>0.571329479768786</v>
      </c>
    </row>
    <row r="1067" customFormat="false" ht="15" hidden="false" customHeight="false" outlineLevel="0" collapsed="false">
      <c r="A1067" s="39" t="s">
        <v>912</v>
      </c>
      <c r="B1067" s="39" t="s">
        <v>880</v>
      </c>
      <c r="C1067" s="39" t="s">
        <v>924</v>
      </c>
      <c r="D1067" s="39" t="s">
        <v>916</v>
      </c>
      <c r="E1067" s="39"/>
      <c r="F1067" s="39" t="s">
        <v>915</v>
      </c>
      <c r="G1067" s="60"/>
      <c r="H1067" s="58" t="n">
        <v>2471</v>
      </c>
      <c r="I1067" s="39" t="str">
        <f aca="false">A1067&amp;"|"&amp;B1067&amp;"|"&amp;D1067&amp;"|"&amp;E1067&amp;F1067</f>
        <v>home|Oklahoma City|scenario 2 (dwelling $200,000, deductible 1%)|masonry</v>
      </c>
      <c r="J1067" s="34" t="n">
        <f aca="false" t="array" ref="J1067:J1067">MEDIAN(IF($I$4:$I$1803=I1067,$H$4:$H$1803))</f>
        <v>4381</v>
      </c>
      <c r="K1067" s="59" t="n">
        <f aca="false">H1067/J1067</f>
        <v>0.564026477973066</v>
      </c>
    </row>
    <row r="1068" customFormat="false" ht="15" hidden="false" customHeight="false" outlineLevel="0" collapsed="false">
      <c r="A1068" s="39" t="s">
        <v>912</v>
      </c>
      <c r="B1068" s="39" t="s">
        <v>880</v>
      </c>
      <c r="C1068" s="39" t="s">
        <v>924</v>
      </c>
      <c r="D1068" s="39" t="s">
        <v>917</v>
      </c>
      <c r="E1068" s="39"/>
      <c r="F1068" s="39" t="s">
        <v>133</v>
      </c>
      <c r="G1068" s="60"/>
      <c r="H1068" s="58" t="n">
        <v>3388</v>
      </c>
      <c r="I1068" s="39" t="str">
        <f aca="false">A1068&amp;"|"&amp;B1068&amp;"|"&amp;D1068&amp;"|"&amp;E1068&amp;F1068</f>
        <v>home|Oklahoma City|scenario 3 (dwelling $300,000, deductible 1%)|frame</v>
      </c>
      <c r="J1068" s="34" t="n">
        <f aca="false" t="array" ref="J1068:J1068">MEDIAN(IF($I$4:$I$1803=I1068,$H$4:$H$1803))</f>
        <v>5727</v>
      </c>
      <c r="K1068" s="59" t="n">
        <f aca="false">H1068/J1068</f>
        <v>0.591583726209185</v>
      </c>
    </row>
    <row r="1069" customFormat="false" ht="15" hidden="false" customHeight="false" outlineLevel="0" collapsed="false">
      <c r="A1069" s="39" t="s">
        <v>912</v>
      </c>
      <c r="B1069" s="39" t="s">
        <v>880</v>
      </c>
      <c r="C1069" s="39" t="s">
        <v>924</v>
      </c>
      <c r="D1069" s="39" t="s">
        <v>917</v>
      </c>
      <c r="E1069" s="39"/>
      <c r="F1069" s="39" t="s">
        <v>915</v>
      </c>
      <c r="G1069" s="60"/>
      <c r="H1069" s="58" t="n">
        <v>3388</v>
      </c>
      <c r="I1069" s="39" t="str">
        <f aca="false">A1069&amp;"|"&amp;B1069&amp;"|"&amp;D1069&amp;"|"&amp;E1069&amp;F1069</f>
        <v>home|Oklahoma City|scenario 3 (dwelling $300,000, deductible 1%)|masonry</v>
      </c>
      <c r="J1069" s="34" t="n">
        <f aca="false" t="array" ref="J1069:J1069">MEDIAN(IF($I$4:$I$1803=I1069,$H$4:$H$1803))</f>
        <v>5959</v>
      </c>
      <c r="K1069" s="59" t="n">
        <f aca="false">H1069/J1069</f>
        <v>0.568551770431281</v>
      </c>
    </row>
    <row r="1070" customFormat="false" ht="15" hidden="false" customHeight="false" outlineLevel="0" collapsed="false">
      <c r="A1070" s="39" t="s">
        <v>912</v>
      </c>
      <c r="B1070" s="39" t="s">
        <v>880</v>
      </c>
      <c r="C1070" s="39" t="s">
        <v>924</v>
      </c>
      <c r="D1070" s="39" t="s">
        <v>918</v>
      </c>
      <c r="E1070" s="39"/>
      <c r="F1070" s="39" t="s">
        <v>133</v>
      </c>
      <c r="G1070" s="60"/>
      <c r="H1070" s="58" t="n">
        <v>4268</v>
      </c>
      <c r="I1070" s="39" t="str">
        <f aca="false">A1070&amp;"|"&amp;B1070&amp;"|"&amp;D1070&amp;"|"&amp;E1070&amp;F1070</f>
        <v>home|Oklahoma City|scenario 4 (dwelling $400,000, deductible 1%)|frame</v>
      </c>
      <c r="J1070" s="34" t="n">
        <f aca="false" t="array" ref="J1070:J1070">MEDIAN(IF($I$4:$I$1803=I1070,$H$4:$H$1803))</f>
        <v>6965.5</v>
      </c>
      <c r="K1070" s="59" t="n">
        <f aca="false">H1070/J1070</f>
        <v>0.612734189936114</v>
      </c>
    </row>
    <row r="1071" customFormat="false" ht="15" hidden="false" customHeight="false" outlineLevel="0" collapsed="false">
      <c r="A1071" s="39" t="s">
        <v>912</v>
      </c>
      <c r="B1071" s="39" t="s">
        <v>880</v>
      </c>
      <c r="C1071" s="39" t="s">
        <v>924</v>
      </c>
      <c r="D1071" s="39" t="s">
        <v>918</v>
      </c>
      <c r="E1071" s="39"/>
      <c r="F1071" s="39" t="s">
        <v>915</v>
      </c>
      <c r="G1071" s="60"/>
      <c r="H1071" s="58" t="n">
        <v>4268</v>
      </c>
      <c r="I1071" s="39" t="str">
        <f aca="false">A1071&amp;"|"&amp;B1071&amp;"|"&amp;D1071&amp;"|"&amp;E1071&amp;F1071</f>
        <v>home|Oklahoma City|scenario 4 (dwelling $400,000, deductible 1%)|masonry</v>
      </c>
      <c r="J1071" s="34" t="n">
        <f aca="false" t="array" ref="J1071:J1071">MEDIAN(IF($I$4:$I$1803=I1071,$H$4:$H$1803))</f>
        <v>7153</v>
      </c>
      <c r="K1071" s="59" t="n">
        <f aca="false">H1071/J1071</f>
        <v>0.596672724730882</v>
      </c>
    </row>
    <row r="1072" customFormat="false" ht="15" hidden="false" customHeight="false" outlineLevel="0" collapsed="false">
      <c r="A1072" s="39" t="s">
        <v>912</v>
      </c>
      <c r="B1072" s="39" t="s">
        <v>880</v>
      </c>
      <c r="C1072" s="39" t="s">
        <v>924</v>
      </c>
      <c r="D1072" s="39" t="s">
        <v>919</v>
      </c>
      <c r="E1072" s="39"/>
      <c r="F1072" s="39" t="s">
        <v>133</v>
      </c>
      <c r="G1072" s="60"/>
      <c r="H1072" s="58" t="n">
        <v>5132</v>
      </c>
      <c r="I1072" s="39" t="str">
        <f aca="false">A1072&amp;"|"&amp;B1072&amp;"|"&amp;D1072&amp;"|"&amp;E1072&amp;F1072</f>
        <v>home|Oklahoma City|scenario 5 (dwelling $500,000, deductible 1%)|frame</v>
      </c>
      <c r="J1072" s="34" t="n">
        <f aca="false" t="array" ref="J1072:J1072">MEDIAN(IF($I$4:$I$1803=I1072,$H$4:$H$1803))</f>
        <v>8254.5</v>
      </c>
      <c r="K1072" s="59" t="n">
        <f aca="false">H1072/J1072</f>
        <v>0.621721485250469</v>
      </c>
    </row>
    <row r="1073" customFormat="false" ht="15" hidden="false" customHeight="false" outlineLevel="0" collapsed="false">
      <c r="A1073" s="39" t="s">
        <v>912</v>
      </c>
      <c r="B1073" s="39" t="s">
        <v>880</v>
      </c>
      <c r="C1073" s="39" t="s">
        <v>924</v>
      </c>
      <c r="D1073" s="39" t="s">
        <v>919</v>
      </c>
      <c r="E1073" s="39"/>
      <c r="F1073" s="39" t="s">
        <v>915</v>
      </c>
      <c r="G1073" s="60"/>
      <c r="H1073" s="58" t="n">
        <v>5129</v>
      </c>
      <c r="I1073" s="39" t="str">
        <f aca="false">A1073&amp;"|"&amp;B1073&amp;"|"&amp;D1073&amp;"|"&amp;E1073&amp;F1073</f>
        <v>home|Oklahoma City|scenario 5 (dwelling $500,000, deductible 1%)|masonry</v>
      </c>
      <c r="J1073" s="34" t="n">
        <f aca="false" t="array" ref="J1073:J1073">MEDIAN(IF($I$4:$I$1803=I1073,$H$4:$H$1803))</f>
        <v>8121</v>
      </c>
      <c r="K1073" s="59" t="n">
        <f aca="false">H1073/J1073</f>
        <v>0.631572466445019</v>
      </c>
    </row>
    <row r="1074" customFormat="false" ht="15" hidden="false" customHeight="false" outlineLevel="0" collapsed="false">
      <c r="A1074" s="39" t="s">
        <v>912</v>
      </c>
      <c r="B1074" s="39" t="s">
        <v>880</v>
      </c>
      <c r="C1074" s="39" t="s">
        <v>925</v>
      </c>
      <c r="D1074" s="39" t="s">
        <v>914</v>
      </c>
      <c r="E1074" s="39"/>
      <c r="F1074" s="39" t="s">
        <v>133</v>
      </c>
      <c r="G1074" s="60"/>
      <c r="H1074" s="58" t="n">
        <v>3029</v>
      </c>
      <c r="I1074" s="39" t="str">
        <f aca="false">A1074&amp;"|"&amp;B1074&amp;"|"&amp;D1074&amp;"|"&amp;E1074&amp;F1074</f>
        <v>home|Oklahoma City|scenario 1 (dwelling $100,000, deductible 1%)|frame</v>
      </c>
      <c r="J1074" s="34" t="n">
        <f aca="false" t="array" ref="J1074:J1074">MEDIAN(IF($I$4:$I$1803=I1074,$H$4:$H$1803))</f>
        <v>2742</v>
      </c>
      <c r="K1074" s="59" t="n">
        <f aca="false">H1074/J1074</f>
        <v>1.10466812545587</v>
      </c>
    </row>
    <row r="1075" customFormat="false" ht="15" hidden="false" customHeight="false" outlineLevel="0" collapsed="false">
      <c r="A1075" s="39" t="s">
        <v>912</v>
      </c>
      <c r="B1075" s="39" t="s">
        <v>880</v>
      </c>
      <c r="C1075" s="39" t="s">
        <v>925</v>
      </c>
      <c r="D1075" s="39" t="s">
        <v>914</v>
      </c>
      <c r="E1075" s="39"/>
      <c r="F1075" s="39" t="s">
        <v>915</v>
      </c>
      <c r="G1075" s="60"/>
      <c r="H1075" s="58" t="n">
        <v>2948</v>
      </c>
      <c r="I1075" s="39" t="str">
        <f aca="false">A1075&amp;"|"&amp;B1075&amp;"|"&amp;D1075&amp;"|"&amp;E1075&amp;F1075</f>
        <v>home|Oklahoma City|scenario 1 (dwelling $100,000, deductible 1%)|masonry</v>
      </c>
      <c r="J1075" s="34" t="n">
        <f aca="false" t="array" ref="J1075:J1075">MEDIAN(IF($I$4:$I$1803=I1075,$H$4:$H$1803))</f>
        <v>2754</v>
      </c>
      <c r="K1075" s="59" t="n">
        <f aca="false">H1075/J1075</f>
        <v>1.07044299201162</v>
      </c>
    </row>
    <row r="1076" customFormat="false" ht="15" hidden="false" customHeight="false" outlineLevel="0" collapsed="false">
      <c r="A1076" s="39" t="s">
        <v>912</v>
      </c>
      <c r="B1076" s="39" t="s">
        <v>880</v>
      </c>
      <c r="C1076" s="39" t="s">
        <v>925</v>
      </c>
      <c r="D1076" s="39" t="s">
        <v>916</v>
      </c>
      <c r="E1076" s="39"/>
      <c r="F1076" s="39" t="s">
        <v>133</v>
      </c>
      <c r="G1076" s="60"/>
      <c r="H1076" s="58" t="n">
        <v>4204</v>
      </c>
      <c r="I1076" s="39" t="str">
        <f aca="false">A1076&amp;"|"&amp;B1076&amp;"|"&amp;D1076&amp;"|"&amp;E1076&amp;F1076</f>
        <v>home|Oklahoma City|scenario 2 (dwelling $200,000, deductible 1%)|frame</v>
      </c>
      <c r="J1076" s="34" t="n">
        <f aca="false" t="array" ref="J1076:J1076">MEDIAN(IF($I$4:$I$1803=I1076,$H$4:$H$1803))</f>
        <v>4325</v>
      </c>
      <c r="K1076" s="59" t="n">
        <f aca="false">H1076/J1076</f>
        <v>0.972023121387283</v>
      </c>
    </row>
    <row r="1077" customFormat="false" ht="15" hidden="false" customHeight="false" outlineLevel="0" collapsed="false">
      <c r="A1077" s="39" t="s">
        <v>912</v>
      </c>
      <c r="B1077" s="39" t="s">
        <v>880</v>
      </c>
      <c r="C1077" s="39" t="s">
        <v>925</v>
      </c>
      <c r="D1077" s="39" t="s">
        <v>916</v>
      </c>
      <c r="E1077" s="39"/>
      <c r="F1077" s="39" t="s">
        <v>915</v>
      </c>
      <c r="G1077" s="60"/>
      <c r="H1077" s="58" t="n">
        <v>4079</v>
      </c>
      <c r="I1077" s="39" t="str">
        <f aca="false">A1077&amp;"|"&amp;B1077&amp;"|"&amp;D1077&amp;"|"&amp;E1077&amp;F1077</f>
        <v>home|Oklahoma City|scenario 2 (dwelling $200,000, deductible 1%)|masonry</v>
      </c>
      <c r="J1077" s="34" t="n">
        <f aca="false" t="array" ref="J1077:J1077">MEDIAN(IF($I$4:$I$1803=I1077,$H$4:$H$1803))</f>
        <v>4381</v>
      </c>
      <c r="K1077" s="59" t="n">
        <f aca="false">H1077/J1077</f>
        <v>0.931065966674275</v>
      </c>
    </row>
    <row r="1078" customFormat="false" ht="15" hidden="false" customHeight="false" outlineLevel="0" collapsed="false">
      <c r="A1078" s="39" t="s">
        <v>912</v>
      </c>
      <c r="B1078" s="39" t="s">
        <v>880</v>
      </c>
      <c r="C1078" s="39" t="s">
        <v>925</v>
      </c>
      <c r="D1078" s="39" t="s">
        <v>917</v>
      </c>
      <c r="E1078" s="39"/>
      <c r="F1078" s="39" t="s">
        <v>133</v>
      </c>
      <c r="G1078" s="60"/>
      <c r="H1078" s="58" t="n">
        <v>5047</v>
      </c>
      <c r="I1078" s="39" t="str">
        <f aca="false">A1078&amp;"|"&amp;B1078&amp;"|"&amp;D1078&amp;"|"&amp;E1078&amp;F1078</f>
        <v>home|Oklahoma City|scenario 3 (dwelling $300,000, deductible 1%)|frame</v>
      </c>
      <c r="J1078" s="34" t="n">
        <f aca="false" t="array" ref="J1078:J1078">MEDIAN(IF($I$4:$I$1803=I1078,$H$4:$H$1803))</f>
        <v>5727</v>
      </c>
      <c r="K1078" s="59" t="n">
        <f aca="false">H1078/J1078</f>
        <v>0.881264187183517</v>
      </c>
    </row>
    <row r="1079" customFormat="false" ht="15" hidden="false" customHeight="false" outlineLevel="0" collapsed="false">
      <c r="A1079" s="39" t="s">
        <v>912</v>
      </c>
      <c r="B1079" s="39" t="s">
        <v>880</v>
      </c>
      <c r="C1079" s="39" t="s">
        <v>925</v>
      </c>
      <c r="D1079" s="39" t="s">
        <v>917</v>
      </c>
      <c r="E1079" s="39"/>
      <c r="F1079" s="39" t="s">
        <v>915</v>
      </c>
      <c r="G1079" s="60"/>
      <c r="H1079" s="58" t="n">
        <v>4888</v>
      </c>
      <c r="I1079" s="39" t="str">
        <f aca="false">A1079&amp;"|"&amp;B1079&amp;"|"&amp;D1079&amp;"|"&amp;E1079&amp;F1079</f>
        <v>home|Oklahoma City|scenario 3 (dwelling $300,000, deductible 1%)|masonry</v>
      </c>
      <c r="J1079" s="34" t="n">
        <f aca="false" t="array" ref="J1079:J1079">MEDIAN(IF($I$4:$I$1803=I1079,$H$4:$H$1803))</f>
        <v>5959</v>
      </c>
      <c r="K1079" s="59" t="n">
        <f aca="false">H1079/J1079</f>
        <v>0.820271857694244</v>
      </c>
    </row>
    <row r="1080" customFormat="false" ht="15" hidden="false" customHeight="false" outlineLevel="0" collapsed="false">
      <c r="A1080" s="39" t="s">
        <v>912</v>
      </c>
      <c r="B1080" s="39" t="s">
        <v>880</v>
      </c>
      <c r="C1080" s="39" t="s">
        <v>925</v>
      </c>
      <c r="D1080" s="39" t="s">
        <v>918</v>
      </c>
      <c r="E1080" s="39"/>
      <c r="F1080" s="39" t="s">
        <v>133</v>
      </c>
      <c r="G1080" s="60"/>
      <c r="H1080" s="58" t="n">
        <v>5764</v>
      </c>
      <c r="I1080" s="39" t="str">
        <f aca="false">A1080&amp;"|"&amp;B1080&amp;"|"&amp;D1080&amp;"|"&amp;E1080&amp;F1080</f>
        <v>home|Oklahoma City|scenario 4 (dwelling $400,000, deductible 1%)|frame</v>
      </c>
      <c r="J1080" s="34" t="n">
        <f aca="false" t="array" ref="J1080:J1080">MEDIAN(IF($I$4:$I$1803=I1080,$H$4:$H$1803))</f>
        <v>6965.5</v>
      </c>
      <c r="K1080" s="59" t="n">
        <f aca="false">H1080/J1080</f>
        <v>0.8275069987797</v>
      </c>
    </row>
    <row r="1081" customFormat="false" ht="15" hidden="false" customHeight="false" outlineLevel="0" collapsed="false">
      <c r="A1081" s="39" t="s">
        <v>912</v>
      </c>
      <c r="B1081" s="39" t="s">
        <v>880</v>
      </c>
      <c r="C1081" s="39" t="s">
        <v>925</v>
      </c>
      <c r="D1081" s="39" t="s">
        <v>918</v>
      </c>
      <c r="E1081" s="39"/>
      <c r="F1081" s="39" t="s">
        <v>915</v>
      </c>
      <c r="G1081" s="60"/>
      <c r="H1081" s="58" t="n">
        <v>5575</v>
      </c>
      <c r="I1081" s="39" t="str">
        <f aca="false">A1081&amp;"|"&amp;B1081&amp;"|"&amp;D1081&amp;"|"&amp;E1081&amp;F1081</f>
        <v>home|Oklahoma City|scenario 4 (dwelling $400,000, deductible 1%)|masonry</v>
      </c>
      <c r="J1081" s="34" t="n">
        <f aca="false" t="array" ref="J1081:J1081">MEDIAN(IF($I$4:$I$1803=I1081,$H$4:$H$1803))</f>
        <v>7153</v>
      </c>
      <c r="K1081" s="59" t="n">
        <f aca="false">H1081/J1081</f>
        <v>0.779393261568573</v>
      </c>
    </row>
    <row r="1082" customFormat="false" ht="15" hidden="false" customHeight="false" outlineLevel="0" collapsed="false">
      <c r="A1082" s="39" t="s">
        <v>912</v>
      </c>
      <c r="B1082" s="39" t="s">
        <v>880</v>
      </c>
      <c r="C1082" s="39" t="s">
        <v>925</v>
      </c>
      <c r="D1082" s="39" t="s">
        <v>919</v>
      </c>
      <c r="E1082" s="39"/>
      <c r="F1082" s="39" t="s">
        <v>133</v>
      </c>
      <c r="G1082" s="60"/>
      <c r="H1082" s="58" t="n">
        <v>6320</v>
      </c>
      <c r="I1082" s="39" t="str">
        <f aca="false">A1082&amp;"|"&amp;B1082&amp;"|"&amp;D1082&amp;"|"&amp;E1082&amp;F1082</f>
        <v>home|Oklahoma City|scenario 5 (dwelling $500,000, deductible 1%)|frame</v>
      </c>
      <c r="J1082" s="34" t="n">
        <f aca="false" t="array" ref="J1082:J1082">MEDIAN(IF($I$4:$I$1803=I1082,$H$4:$H$1803))</f>
        <v>8254.5</v>
      </c>
      <c r="K1082" s="59" t="n">
        <f aca="false">H1082/J1082</f>
        <v>0.765642982615543</v>
      </c>
    </row>
    <row r="1083" customFormat="false" ht="15" hidden="false" customHeight="false" outlineLevel="0" collapsed="false">
      <c r="A1083" s="39" t="s">
        <v>912</v>
      </c>
      <c r="B1083" s="39" t="s">
        <v>880</v>
      </c>
      <c r="C1083" s="39" t="s">
        <v>925</v>
      </c>
      <c r="D1083" s="39" t="s">
        <v>919</v>
      </c>
      <c r="E1083" s="39"/>
      <c r="F1083" s="39" t="s">
        <v>915</v>
      </c>
      <c r="G1083" s="60"/>
      <c r="H1083" s="58" t="n">
        <v>6105</v>
      </c>
      <c r="I1083" s="39" t="str">
        <f aca="false">A1083&amp;"|"&amp;B1083&amp;"|"&amp;D1083&amp;"|"&amp;E1083&amp;F1083</f>
        <v>home|Oklahoma City|scenario 5 (dwelling $500,000, deductible 1%)|masonry</v>
      </c>
      <c r="J1083" s="34" t="n">
        <f aca="false" t="array" ref="J1083:J1083">MEDIAN(IF($I$4:$I$1803=I1083,$H$4:$H$1803))</f>
        <v>8121</v>
      </c>
      <c r="K1083" s="59" t="n">
        <f aca="false">H1083/J1083</f>
        <v>0.751754710011082</v>
      </c>
    </row>
    <row r="1084" customFormat="false" ht="15" hidden="false" customHeight="false" outlineLevel="0" collapsed="false">
      <c r="A1084" s="39" t="s">
        <v>912</v>
      </c>
      <c r="B1084" s="39" t="s">
        <v>880</v>
      </c>
      <c r="C1084" s="39" t="s">
        <v>926</v>
      </c>
      <c r="D1084" s="39" t="s">
        <v>914</v>
      </c>
      <c r="E1084" s="39"/>
      <c r="F1084" s="39" t="s">
        <v>133</v>
      </c>
      <c r="G1084" s="60"/>
      <c r="H1084" s="58" t="n">
        <v>5069</v>
      </c>
      <c r="I1084" s="39" t="str">
        <f aca="false">A1084&amp;"|"&amp;B1084&amp;"|"&amp;D1084&amp;"|"&amp;E1084&amp;F1084</f>
        <v>home|Oklahoma City|scenario 1 (dwelling $100,000, deductible 1%)|frame</v>
      </c>
      <c r="J1084" s="34" t="n">
        <f aca="false" t="array" ref="J1084:J1084">MEDIAN(IF($I$4:$I$1803=I1084,$H$4:$H$1803))</f>
        <v>2742</v>
      </c>
      <c r="K1084" s="59" t="n">
        <f aca="false">H1084/J1084</f>
        <v>1.84865061998541</v>
      </c>
    </row>
    <row r="1085" customFormat="false" ht="15" hidden="false" customHeight="false" outlineLevel="0" collapsed="false">
      <c r="A1085" s="39" t="s">
        <v>912</v>
      </c>
      <c r="B1085" s="39" t="s">
        <v>880</v>
      </c>
      <c r="C1085" s="39" t="s">
        <v>926</v>
      </c>
      <c r="D1085" s="39" t="s">
        <v>914</v>
      </c>
      <c r="E1085" s="39"/>
      <c r="F1085" s="39" t="s">
        <v>915</v>
      </c>
      <c r="G1085" s="60"/>
      <c r="H1085" s="58" t="n">
        <v>5303</v>
      </c>
      <c r="I1085" s="39" t="str">
        <f aca="false">A1085&amp;"|"&amp;B1085&amp;"|"&amp;D1085&amp;"|"&amp;E1085&amp;F1085</f>
        <v>home|Oklahoma City|scenario 1 (dwelling $100,000, deductible 1%)|masonry</v>
      </c>
      <c r="J1085" s="34" t="n">
        <f aca="false" t="array" ref="J1085:J1085">MEDIAN(IF($I$4:$I$1803=I1085,$H$4:$H$1803))</f>
        <v>2754</v>
      </c>
      <c r="K1085" s="59" t="n">
        <f aca="false">H1085/J1085</f>
        <v>1.92556281771968</v>
      </c>
    </row>
    <row r="1086" customFormat="false" ht="15" hidden="false" customHeight="false" outlineLevel="0" collapsed="false">
      <c r="A1086" s="39" t="s">
        <v>912</v>
      </c>
      <c r="B1086" s="39" t="s">
        <v>880</v>
      </c>
      <c r="C1086" s="39" t="s">
        <v>926</v>
      </c>
      <c r="D1086" s="39" t="s">
        <v>916</v>
      </c>
      <c r="E1086" s="39"/>
      <c r="F1086" s="39" t="s">
        <v>133</v>
      </c>
      <c r="G1086" s="60"/>
      <c r="H1086" s="58" t="n">
        <v>6102</v>
      </c>
      <c r="I1086" s="39" t="str">
        <f aca="false">A1086&amp;"|"&amp;B1086&amp;"|"&amp;D1086&amp;"|"&amp;E1086&amp;F1086</f>
        <v>home|Oklahoma City|scenario 2 (dwelling $200,000, deductible 1%)|frame</v>
      </c>
      <c r="J1086" s="34" t="n">
        <f aca="false" t="array" ref="J1086:J1086">MEDIAN(IF($I$4:$I$1803=I1086,$H$4:$H$1803))</f>
        <v>4325</v>
      </c>
      <c r="K1086" s="59" t="n">
        <f aca="false">H1086/J1086</f>
        <v>1.41086705202312</v>
      </c>
    </row>
    <row r="1087" customFormat="false" ht="15" hidden="false" customHeight="false" outlineLevel="0" collapsed="false">
      <c r="A1087" s="39" t="s">
        <v>912</v>
      </c>
      <c r="B1087" s="39" t="s">
        <v>880</v>
      </c>
      <c r="C1087" s="39" t="s">
        <v>926</v>
      </c>
      <c r="D1087" s="39" t="s">
        <v>916</v>
      </c>
      <c r="E1087" s="39"/>
      <c r="F1087" s="39" t="s">
        <v>915</v>
      </c>
      <c r="G1087" s="60"/>
      <c r="H1087" s="58" t="n">
        <v>6375</v>
      </c>
      <c r="I1087" s="39" t="str">
        <f aca="false">A1087&amp;"|"&amp;B1087&amp;"|"&amp;D1087&amp;"|"&amp;E1087&amp;F1087</f>
        <v>home|Oklahoma City|scenario 2 (dwelling $200,000, deductible 1%)|masonry</v>
      </c>
      <c r="J1087" s="34" t="n">
        <f aca="false" t="array" ref="J1087:J1087">MEDIAN(IF($I$4:$I$1803=I1087,$H$4:$H$1803))</f>
        <v>4381</v>
      </c>
      <c r="K1087" s="59" t="n">
        <f aca="false">H1087/J1087</f>
        <v>1.45514722666058</v>
      </c>
    </row>
    <row r="1088" customFormat="false" ht="15" hidden="false" customHeight="false" outlineLevel="0" collapsed="false">
      <c r="A1088" s="39" t="s">
        <v>912</v>
      </c>
      <c r="B1088" s="39" t="s">
        <v>880</v>
      </c>
      <c r="C1088" s="39" t="s">
        <v>926</v>
      </c>
      <c r="D1088" s="39" t="s">
        <v>917</v>
      </c>
      <c r="E1088" s="39"/>
      <c r="F1088" s="39" t="s">
        <v>133</v>
      </c>
      <c r="G1088" s="60"/>
      <c r="H1088" s="58" t="n">
        <v>7881</v>
      </c>
      <c r="I1088" s="39" t="str">
        <f aca="false">A1088&amp;"|"&amp;B1088&amp;"|"&amp;D1088&amp;"|"&amp;E1088&amp;F1088</f>
        <v>home|Oklahoma City|scenario 3 (dwelling $300,000, deductible 1%)|frame</v>
      </c>
      <c r="J1088" s="34" t="n">
        <f aca="false" t="array" ref="J1088:J1088">MEDIAN(IF($I$4:$I$1803=I1088,$H$4:$H$1803))</f>
        <v>5727</v>
      </c>
      <c r="K1088" s="59" t="n">
        <f aca="false">H1088/J1088</f>
        <v>1.37611314824515</v>
      </c>
    </row>
    <row r="1089" customFormat="false" ht="15" hidden="false" customHeight="false" outlineLevel="0" collapsed="false">
      <c r="A1089" s="39" t="s">
        <v>912</v>
      </c>
      <c r="B1089" s="39" t="s">
        <v>880</v>
      </c>
      <c r="C1089" s="39" t="s">
        <v>926</v>
      </c>
      <c r="D1089" s="39" t="s">
        <v>917</v>
      </c>
      <c r="E1089" s="39"/>
      <c r="F1089" s="39" t="s">
        <v>915</v>
      </c>
      <c r="G1089" s="60"/>
      <c r="H1089" s="58" t="n">
        <v>8211</v>
      </c>
      <c r="I1089" s="39" t="str">
        <f aca="false">A1089&amp;"|"&amp;B1089&amp;"|"&amp;D1089&amp;"|"&amp;E1089&amp;F1089</f>
        <v>home|Oklahoma City|scenario 3 (dwelling $300,000, deductible 1%)|masonry</v>
      </c>
      <c r="J1089" s="34" t="n">
        <f aca="false" t="array" ref="J1089:J1089">MEDIAN(IF($I$4:$I$1803=I1089,$H$4:$H$1803))</f>
        <v>5959</v>
      </c>
      <c r="K1089" s="59" t="n">
        <f aca="false">H1089/J1089</f>
        <v>1.37791575767746</v>
      </c>
    </row>
    <row r="1090" customFormat="false" ht="15" hidden="false" customHeight="false" outlineLevel="0" collapsed="false">
      <c r="A1090" s="39" t="s">
        <v>912</v>
      </c>
      <c r="B1090" s="39" t="s">
        <v>880</v>
      </c>
      <c r="C1090" s="39" t="s">
        <v>926</v>
      </c>
      <c r="D1090" s="39" t="s">
        <v>918</v>
      </c>
      <c r="E1090" s="39"/>
      <c r="F1090" s="39" t="s">
        <v>133</v>
      </c>
      <c r="G1090" s="60"/>
      <c r="H1090" s="58" t="n">
        <v>9196</v>
      </c>
      <c r="I1090" s="39" t="str">
        <f aca="false">A1090&amp;"|"&amp;B1090&amp;"|"&amp;D1090&amp;"|"&amp;E1090&amp;F1090</f>
        <v>home|Oklahoma City|scenario 4 (dwelling $400,000, deductible 1%)|frame</v>
      </c>
      <c r="J1090" s="34" t="n">
        <f aca="false" t="array" ref="J1090:J1090">MEDIAN(IF($I$4:$I$1803=I1090,$H$4:$H$1803))</f>
        <v>6965.5</v>
      </c>
      <c r="K1090" s="59" t="n">
        <f aca="false">H1090/J1090</f>
        <v>1.32022108965616</v>
      </c>
    </row>
    <row r="1091" customFormat="false" ht="15" hidden="false" customHeight="false" outlineLevel="0" collapsed="false">
      <c r="A1091" s="39" t="s">
        <v>912</v>
      </c>
      <c r="B1091" s="39" t="s">
        <v>880</v>
      </c>
      <c r="C1091" s="39" t="s">
        <v>926</v>
      </c>
      <c r="D1091" s="39" t="s">
        <v>918</v>
      </c>
      <c r="E1091" s="39"/>
      <c r="F1091" s="39" t="s">
        <v>915</v>
      </c>
      <c r="G1091" s="60"/>
      <c r="H1091" s="58" t="n">
        <v>9584</v>
      </c>
      <c r="I1091" s="39" t="str">
        <f aca="false">A1091&amp;"|"&amp;B1091&amp;"|"&amp;D1091&amp;"|"&amp;E1091&amp;F1091</f>
        <v>home|Oklahoma City|scenario 4 (dwelling $400,000, deductible 1%)|masonry</v>
      </c>
      <c r="J1091" s="34" t="n">
        <f aca="false" t="array" ref="J1091:J1091">MEDIAN(IF($I$4:$I$1803=I1091,$H$4:$H$1803))</f>
        <v>7153</v>
      </c>
      <c r="K1091" s="59" t="n">
        <f aca="false">H1091/J1091</f>
        <v>1.33985740248847</v>
      </c>
    </row>
    <row r="1092" customFormat="false" ht="15" hidden="false" customHeight="false" outlineLevel="0" collapsed="false">
      <c r="A1092" s="39" t="s">
        <v>912</v>
      </c>
      <c r="B1092" s="39" t="s">
        <v>880</v>
      </c>
      <c r="C1092" s="39" t="s">
        <v>926</v>
      </c>
      <c r="D1092" s="39" t="s">
        <v>919</v>
      </c>
      <c r="E1092" s="39"/>
      <c r="F1092" s="39" t="s">
        <v>133</v>
      </c>
      <c r="G1092" s="60"/>
      <c r="H1092" s="58" t="n">
        <v>10365</v>
      </c>
      <c r="I1092" s="39" t="str">
        <f aca="false">A1092&amp;"|"&amp;B1092&amp;"|"&amp;D1092&amp;"|"&amp;E1092&amp;F1092</f>
        <v>home|Oklahoma City|scenario 5 (dwelling $500,000, deductible 1%)|frame</v>
      </c>
      <c r="J1092" s="34" t="n">
        <f aca="false" t="array" ref="J1092:J1092">MEDIAN(IF($I$4:$I$1803=I1092,$H$4:$H$1803))</f>
        <v>8254.5</v>
      </c>
      <c r="K1092" s="59" t="n">
        <f aca="false">H1092/J1092</f>
        <v>1.2556787206978</v>
      </c>
    </row>
    <row r="1093" customFormat="false" ht="15" hidden="false" customHeight="false" outlineLevel="0" collapsed="false">
      <c r="A1093" s="39" t="s">
        <v>912</v>
      </c>
      <c r="B1093" s="39" t="s">
        <v>880</v>
      </c>
      <c r="C1093" s="39" t="s">
        <v>926</v>
      </c>
      <c r="D1093" s="39" t="s">
        <v>919</v>
      </c>
      <c r="E1093" s="39"/>
      <c r="F1093" s="39" t="s">
        <v>915</v>
      </c>
      <c r="G1093" s="60"/>
      <c r="H1093" s="58" t="n">
        <v>10809</v>
      </c>
      <c r="I1093" s="39" t="str">
        <f aca="false">A1093&amp;"|"&amp;B1093&amp;"|"&amp;D1093&amp;"|"&amp;E1093&amp;F1093</f>
        <v>home|Oklahoma City|scenario 5 (dwelling $500,000, deductible 1%)|masonry</v>
      </c>
      <c r="J1093" s="34" t="n">
        <f aca="false" t="array" ref="J1093:J1093">MEDIAN(IF($I$4:$I$1803=I1093,$H$4:$H$1803))</f>
        <v>8121</v>
      </c>
      <c r="K1093" s="59" t="n">
        <f aca="false">H1093/J1093</f>
        <v>1.33099371998522</v>
      </c>
    </row>
    <row r="1094" customFormat="false" ht="15" hidden="false" customHeight="false" outlineLevel="0" collapsed="false">
      <c r="A1094" s="39" t="s">
        <v>912</v>
      </c>
      <c r="B1094" s="39" t="s">
        <v>880</v>
      </c>
      <c r="C1094" s="39" t="s">
        <v>927</v>
      </c>
      <c r="D1094" s="39" t="s">
        <v>914</v>
      </c>
      <c r="E1094" s="39"/>
      <c r="F1094" s="39" t="s">
        <v>133</v>
      </c>
      <c r="G1094" s="60"/>
      <c r="H1094" s="58" t="n">
        <v>1662</v>
      </c>
      <c r="I1094" s="39" t="str">
        <f aca="false">A1094&amp;"|"&amp;B1094&amp;"|"&amp;D1094&amp;"|"&amp;E1094&amp;F1094</f>
        <v>home|Oklahoma City|scenario 1 (dwelling $100,000, deductible 1%)|frame</v>
      </c>
      <c r="J1094" s="34" t="n">
        <f aca="false" t="array" ref="J1094:J1094">MEDIAN(IF($I$4:$I$1803=I1094,$H$4:$H$1803))</f>
        <v>2742</v>
      </c>
      <c r="K1094" s="59" t="n">
        <f aca="false">H1094/J1094</f>
        <v>0.606126914660832</v>
      </c>
    </row>
    <row r="1095" customFormat="false" ht="15" hidden="false" customHeight="false" outlineLevel="0" collapsed="false">
      <c r="A1095" s="39" t="s">
        <v>912</v>
      </c>
      <c r="B1095" s="39" t="s">
        <v>880</v>
      </c>
      <c r="C1095" s="39" t="s">
        <v>927</v>
      </c>
      <c r="D1095" s="39" t="s">
        <v>914</v>
      </c>
      <c r="E1095" s="39"/>
      <c r="F1095" s="39" t="s">
        <v>915</v>
      </c>
      <c r="G1095" s="60"/>
      <c r="H1095" s="58" t="n">
        <v>1619</v>
      </c>
      <c r="I1095" s="39" t="str">
        <f aca="false">A1095&amp;"|"&amp;B1095&amp;"|"&amp;D1095&amp;"|"&amp;E1095&amp;F1095</f>
        <v>home|Oklahoma City|scenario 1 (dwelling $100,000, deductible 1%)|masonry</v>
      </c>
      <c r="J1095" s="34" t="n">
        <f aca="false" t="array" ref="J1095:J1095">MEDIAN(IF($I$4:$I$1803=I1095,$H$4:$H$1803))</f>
        <v>2754</v>
      </c>
      <c r="K1095" s="59" t="n">
        <f aca="false">H1095/J1095</f>
        <v>0.587872185911402</v>
      </c>
    </row>
    <row r="1096" customFormat="false" ht="15" hidden="false" customHeight="false" outlineLevel="0" collapsed="false">
      <c r="A1096" s="39" t="s">
        <v>912</v>
      </c>
      <c r="B1096" s="39" t="s">
        <v>880</v>
      </c>
      <c r="C1096" s="39" t="s">
        <v>927</v>
      </c>
      <c r="D1096" s="39" t="s">
        <v>916</v>
      </c>
      <c r="E1096" s="39"/>
      <c r="F1096" s="39" t="s">
        <v>133</v>
      </c>
      <c r="G1096" s="60"/>
      <c r="H1096" s="58" t="n">
        <v>2126</v>
      </c>
      <c r="I1096" s="39" t="str">
        <f aca="false">A1096&amp;"|"&amp;B1096&amp;"|"&amp;D1096&amp;"|"&amp;E1096&amp;F1096</f>
        <v>home|Oklahoma City|scenario 2 (dwelling $200,000, deductible 1%)|frame</v>
      </c>
      <c r="J1096" s="34" t="n">
        <f aca="false" t="array" ref="J1096:J1096">MEDIAN(IF($I$4:$I$1803=I1096,$H$4:$H$1803))</f>
        <v>4325</v>
      </c>
      <c r="K1096" s="59" t="n">
        <f aca="false">H1096/J1096</f>
        <v>0.491560693641619</v>
      </c>
    </row>
    <row r="1097" customFormat="false" ht="15" hidden="false" customHeight="false" outlineLevel="0" collapsed="false">
      <c r="A1097" s="39" t="s">
        <v>912</v>
      </c>
      <c r="B1097" s="39" t="s">
        <v>880</v>
      </c>
      <c r="C1097" s="39" t="s">
        <v>927</v>
      </c>
      <c r="D1097" s="39" t="s">
        <v>916</v>
      </c>
      <c r="E1097" s="39"/>
      <c r="F1097" s="39" t="s">
        <v>915</v>
      </c>
      <c r="G1097" s="60"/>
      <c r="H1097" s="58" t="n">
        <v>2067</v>
      </c>
      <c r="I1097" s="39" t="str">
        <f aca="false">A1097&amp;"|"&amp;B1097&amp;"|"&amp;D1097&amp;"|"&amp;E1097&amp;F1097</f>
        <v>home|Oklahoma City|scenario 2 (dwelling $200,000, deductible 1%)|masonry</v>
      </c>
      <c r="J1097" s="34" t="n">
        <f aca="false" t="array" ref="J1097:J1097">MEDIAN(IF($I$4:$I$1803=I1097,$H$4:$H$1803))</f>
        <v>4381</v>
      </c>
      <c r="K1097" s="59" t="n">
        <f aca="false">H1097/J1097</f>
        <v>0.471810089020772</v>
      </c>
    </row>
    <row r="1098" customFormat="false" ht="15" hidden="false" customHeight="false" outlineLevel="0" collapsed="false">
      <c r="A1098" s="39" t="s">
        <v>912</v>
      </c>
      <c r="B1098" s="39" t="s">
        <v>880</v>
      </c>
      <c r="C1098" s="39" t="s">
        <v>927</v>
      </c>
      <c r="D1098" s="39" t="s">
        <v>917</v>
      </c>
      <c r="E1098" s="39"/>
      <c r="F1098" s="39" t="s">
        <v>133</v>
      </c>
      <c r="G1098" s="60"/>
      <c r="H1098" s="58" t="n">
        <v>2768</v>
      </c>
      <c r="I1098" s="39" t="str">
        <f aca="false">A1098&amp;"|"&amp;B1098&amp;"|"&amp;D1098&amp;"|"&amp;E1098&amp;F1098</f>
        <v>home|Oklahoma City|scenario 3 (dwelling $300,000, deductible 1%)|frame</v>
      </c>
      <c r="J1098" s="34" t="n">
        <f aca="false" t="array" ref="J1098:J1098">MEDIAN(IF($I$4:$I$1803=I1098,$H$4:$H$1803))</f>
        <v>5727</v>
      </c>
      <c r="K1098" s="59" t="n">
        <f aca="false">H1098/J1098</f>
        <v>0.483324602758862</v>
      </c>
    </row>
    <row r="1099" customFormat="false" ht="15" hidden="false" customHeight="false" outlineLevel="0" collapsed="false">
      <c r="A1099" s="39" t="s">
        <v>912</v>
      </c>
      <c r="B1099" s="39" t="s">
        <v>880</v>
      </c>
      <c r="C1099" s="39" t="s">
        <v>927</v>
      </c>
      <c r="D1099" s="39" t="s">
        <v>917</v>
      </c>
      <c r="E1099" s="39"/>
      <c r="F1099" s="39" t="s">
        <v>915</v>
      </c>
      <c r="G1099" s="60"/>
      <c r="H1099" s="58" t="n">
        <v>2693</v>
      </c>
      <c r="I1099" s="39" t="str">
        <f aca="false">A1099&amp;"|"&amp;B1099&amp;"|"&amp;D1099&amp;"|"&amp;E1099&amp;F1099</f>
        <v>home|Oklahoma City|scenario 3 (dwelling $300,000, deductible 1%)|masonry</v>
      </c>
      <c r="J1099" s="34" t="n">
        <f aca="false" t="array" ref="J1099:J1099">MEDIAN(IF($I$4:$I$1803=I1099,$H$4:$H$1803))</f>
        <v>5959</v>
      </c>
      <c r="K1099" s="59" t="n">
        <f aca="false">H1099/J1099</f>
        <v>0.451921463332774</v>
      </c>
    </row>
    <row r="1100" customFormat="false" ht="15" hidden="false" customHeight="false" outlineLevel="0" collapsed="false">
      <c r="A1100" s="39" t="s">
        <v>912</v>
      </c>
      <c r="B1100" s="39" t="s">
        <v>880</v>
      </c>
      <c r="C1100" s="39" t="s">
        <v>927</v>
      </c>
      <c r="D1100" s="39" t="s">
        <v>918</v>
      </c>
      <c r="E1100" s="39"/>
      <c r="F1100" s="39" t="s">
        <v>133</v>
      </c>
      <c r="G1100" s="60"/>
      <c r="H1100" s="58" t="n">
        <v>3324</v>
      </c>
      <c r="I1100" s="39" t="str">
        <f aca="false">A1100&amp;"|"&amp;B1100&amp;"|"&amp;D1100&amp;"|"&amp;E1100&amp;F1100</f>
        <v>home|Oklahoma City|scenario 4 (dwelling $400,000, deductible 1%)|frame</v>
      </c>
      <c r="J1100" s="34" t="n">
        <f aca="false" t="array" ref="J1100:J1100">MEDIAN(IF($I$4:$I$1803=I1100,$H$4:$H$1803))</f>
        <v>6965.5</v>
      </c>
      <c r="K1100" s="59" t="n">
        <f aca="false">H1100/J1100</f>
        <v>0.477209102002728</v>
      </c>
    </row>
    <row r="1101" customFormat="false" ht="15" hidden="false" customHeight="false" outlineLevel="0" collapsed="false">
      <c r="A1101" s="39" t="s">
        <v>912</v>
      </c>
      <c r="B1101" s="39" t="s">
        <v>880</v>
      </c>
      <c r="C1101" s="39" t="s">
        <v>927</v>
      </c>
      <c r="D1101" s="39" t="s">
        <v>918</v>
      </c>
      <c r="E1101" s="39"/>
      <c r="F1101" s="39" t="s">
        <v>915</v>
      </c>
      <c r="G1101" s="60"/>
      <c r="H1101" s="58" t="n">
        <v>3231</v>
      </c>
      <c r="I1101" s="39" t="str">
        <f aca="false">A1101&amp;"|"&amp;B1101&amp;"|"&amp;D1101&amp;"|"&amp;E1101&amp;F1101</f>
        <v>home|Oklahoma City|scenario 4 (dwelling $400,000, deductible 1%)|masonry</v>
      </c>
      <c r="J1101" s="34" t="n">
        <f aca="false" t="array" ref="J1101:J1101">MEDIAN(IF($I$4:$I$1803=I1101,$H$4:$H$1803))</f>
        <v>7153</v>
      </c>
      <c r="K1101" s="59" t="n">
        <f aca="false">H1101/J1101</f>
        <v>0.451698588005033</v>
      </c>
    </row>
    <row r="1102" customFormat="false" ht="15" hidden="false" customHeight="false" outlineLevel="0" collapsed="false">
      <c r="A1102" s="39" t="s">
        <v>912</v>
      </c>
      <c r="B1102" s="39" t="s">
        <v>880</v>
      </c>
      <c r="C1102" s="39" t="s">
        <v>927</v>
      </c>
      <c r="D1102" s="39" t="s">
        <v>919</v>
      </c>
      <c r="E1102" s="39"/>
      <c r="F1102" s="39" t="s">
        <v>133</v>
      </c>
      <c r="G1102" s="60"/>
      <c r="H1102" s="58" t="n">
        <v>3937</v>
      </c>
      <c r="I1102" s="39" t="str">
        <f aca="false">A1102&amp;"|"&amp;B1102&amp;"|"&amp;D1102&amp;"|"&amp;E1102&amp;F1102</f>
        <v>home|Oklahoma City|scenario 5 (dwelling $500,000, deductible 1%)|frame</v>
      </c>
      <c r="J1102" s="34" t="n">
        <f aca="false" t="array" ref="J1102:J1102">MEDIAN(IF($I$4:$I$1803=I1102,$H$4:$H$1803))</f>
        <v>8254.5</v>
      </c>
      <c r="K1102" s="59" t="n">
        <f aca="false">H1102/J1102</f>
        <v>0.476951965594524</v>
      </c>
    </row>
    <row r="1103" customFormat="false" ht="15" hidden="false" customHeight="false" outlineLevel="0" collapsed="false">
      <c r="A1103" s="39" t="s">
        <v>912</v>
      </c>
      <c r="B1103" s="39" t="s">
        <v>880</v>
      </c>
      <c r="C1103" s="39" t="s">
        <v>927</v>
      </c>
      <c r="D1103" s="39" t="s">
        <v>919</v>
      </c>
      <c r="E1103" s="39"/>
      <c r="F1103" s="39" t="s">
        <v>915</v>
      </c>
      <c r="G1103" s="60"/>
      <c r="H1103" s="58" t="n">
        <v>3826</v>
      </c>
      <c r="I1103" s="39" t="str">
        <f aca="false">A1103&amp;"|"&amp;B1103&amp;"|"&amp;D1103&amp;"|"&amp;E1103&amp;F1103</f>
        <v>home|Oklahoma City|scenario 5 (dwelling $500,000, deductible 1%)|masonry</v>
      </c>
      <c r="J1103" s="34" t="n">
        <f aca="false" t="array" ref="J1103:J1103">MEDIAN(IF($I$4:$I$1803=I1103,$H$4:$H$1803))</f>
        <v>8121</v>
      </c>
      <c r="K1103" s="59" t="n">
        <f aca="false">H1103/J1103</f>
        <v>0.471124245782539</v>
      </c>
    </row>
    <row r="1104" customFormat="false" ht="15" hidden="false" customHeight="false" outlineLevel="0" collapsed="false">
      <c r="A1104" s="39" t="s">
        <v>912</v>
      </c>
      <c r="B1104" s="39" t="s">
        <v>880</v>
      </c>
      <c r="C1104" s="39" t="s">
        <v>928</v>
      </c>
      <c r="D1104" s="39" t="s">
        <v>914</v>
      </c>
      <c r="E1104" s="39"/>
      <c r="F1104" s="39" t="s">
        <v>133</v>
      </c>
      <c r="G1104" s="60"/>
      <c r="H1104" s="58" t="n">
        <v>1079</v>
      </c>
      <c r="I1104" s="39" t="str">
        <f aca="false">A1104&amp;"|"&amp;B1104&amp;"|"&amp;D1104&amp;"|"&amp;E1104&amp;F1104</f>
        <v>home|Oklahoma City|scenario 1 (dwelling $100,000, deductible 1%)|frame</v>
      </c>
      <c r="J1104" s="34" t="n">
        <f aca="false" t="array" ref="J1104:J1104">MEDIAN(IF($I$4:$I$1803=I1104,$H$4:$H$1803))</f>
        <v>2742</v>
      </c>
      <c r="K1104" s="59" t="n">
        <f aca="false">H1104/J1104</f>
        <v>0.393508388037929</v>
      </c>
    </row>
    <row r="1105" customFormat="false" ht="15" hidden="false" customHeight="false" outlineLevel="0" collapsed="false">
      <c r="A1105" s="39" t="s">
        <v>912</v>
      </c>
      <c r="B1105" s="39" t="s">
        <v>880</v>
      </c>
      <c r="C1105" s="39" t="s">
        <v>928</v>
      </c>
      <c r="D1105" s="39" t="s">
        <v>914</v>
      </c>
      <c r="E1105" s="39"/>
      <c r="F1105" s="39" t="s">
        <v>915</v>
      </c>
      <c r="G1105" s="60"/>
      <c r="H1105" s="58" t="n">
        <v>1129</v>
      </c>
      <c r="I1105" s="39" t="str">
        <f aca="false">A1105&amp;"|"&amp;B1105&amp;"|"&amp;D1105&amp;"|"&amp;E1105&amp;F1105</f>
        <v>home|Oklahoma City|scenario 1 (dwelling $100,000, deductible 1%)|masonry</v>
      </c>
      <c r="J1105" s="34" t="n">
        <f aca="false" t="array" ref="J1105:J1105">MEDIAN(IF($I$4:$I$1803=I1105,$H$4:$H$1803))</f>
        <v>2754</v>
      </c>
      <c r="K1105" s="59" t="n">
        <f aca="false">H1105/J1105</f>
        <v>0.409949164851126</v>
      </c>
    </row>
    <row r="1106" customFormat="false" ht="15" hidden="false" customHeight="false" outlineLevel="0" collapsed="false">
      <c r="A1106" s="39" t="s">
        <v>912</v>
      </c>
      <c r="B1106" s="39" t="s">
        <v>880</v>
      </c>
      <c r="C1106" s="39" t="s">
        <v>928</v>
      </c>
      <c r="D1106" s="39" t="s">
        <v>916</v>
      </c>
      <c r="E1106" s="39"/>
      <c r="F1106" s="39" t="s">
        <v>133</v>
      </c>
      <c r="G1106" s="60"/>
      <c r="H1106" s="58" t="n">
        <v>1719</v>
      </c>
      <c r="I1106" s="39" t="str">
        <f aca="false">A1106&amp;"|"&amp;B1106&amp;"|"&amp;D1106&amp;"|"&amp;E1106&amp;F1106</f>
        <v>home|Oklahoma City|scenario 2 (dwelling $200,000, deductible 1%)|frame</v>
      </c>
      <c r="J1106" s="34" t="n">
        <f aca="false" t="array" ref="J1106:J1106">MEDIAN(IF($I$4:$I$1803=I1106,$H$4:$H$1803))</f>
        <v>4325</v>
      </c>
      <c r="K1106" s="59" t="n">
        <f aca="false">H1106/J1106</f>
        <v>0.397456647398844</v>
      </c>
    </row>
    <row r="1107" customFormat="false" ht="15" hidden="false" customHeight="false" outlineLevel="0" collapsed="false">
      <c r="A1107" s="39" t="s">
        <v>912</v>
      </c>
      <c r="B1107" s="39" t="s">
        <v>880</v>
      </c>
      <c r="C1107" s="39" t="s">
        <v>928</v>
      </c>
      <c r="D1107" s="39" t="s">
        <v>916</v>
      </c>
      <c r="E1107" s="39"/>
      <c r="F1107" s="39" t="s">
        <v>915</v>
      </c>
      <c r="G1107" s="60"/>
      <c r="H1107" s="58" t="n">
        <v>1819</v>
      </c>
      <c r="I1107" s="39" t="str">
        <f aca="false">A1107&amp;"|"&amp;B1107&amp;"|"&amp;D1107&amp;"|"&amp;E1107&amp;F1107</f>
        <v>home|Oklahoma City|scenario 2 (dwelling $200,000, deductible 1%)|masonry</v>
      </c>
      <c r="J1107" s="34" t="n">
        <f aca="false" t="array" ref="J1107:J1107">MEDIAN(IF($I$4:$I$1803=I1107,$H$4:$H$1803))</f>
        <v>4381</v>
      </c>
      <c r="K1107" s="59" t="n">
        <f aca="false">H1107/J1107</f>
        <v>0.415202008673819</v>
      </c>
    </row>
    <row r="1108" customFormat="false" ht="15" hidden="false" customHeight="false" outlineLevel="0" collapsed="false">
      <c r="A1108" s="39" t="s">
        <v>912</v>
      </c>
      <c r="B1108" s="39" t="s">
        <v>880</v>
      </c>
      <c r="C1108" s="39" t="s">
        <v>928</v>
      </c>
      <c r="D1108" s="39" t="s">
        <v>917</v>
      </c>
      <c r="E1108" s="39"/>
      <c r="F1108" s="39" t="s">
        <v>133</v>
      </c>
      <c r="G1108" s="60"/>
      <c r="H1108" s="58" t="n">
        <v>2360</v>
      </c>
      <c r="I1108" s="39" t="str">
        <f aca="false">A1108&amp;"|"&amp;B1108&amp;"|"&amp;D1108&amp;"|"&amp;E1108&amp;F1108</f>
        <v>home|Oklahoma City|scenario 3 (dwelling $300,000, deductible 1%)|frame</v>
      </c>
      <c r="J1108" s="34" t="n">
        <f aca="false" t="array" ref="J1108:J1108">MEDIAN(IF($I$4:$I$1803=I1108,$H$4:$H$1803))</f>
        <v>5727</v>
      </c>
      <c r="K1108" s="59" t="n">
        <f aca="false">H1108/J1108</f>
        <v>0.412083115068972</v>
      </c>
    </row>
    <row r="1109" customFormat="false" ht="15" hidden="false" customHeight="false" outlineLevel="0" collapsed="false">
      <c r="A1109" s="39" t="s">
        <v>912</v>
      </c>
      <c r="B1109" s="39" t="s">
        <v>880</v>
      </c>
      <c r="C1109" s="39" t="s">
        <v>928</v>
      </c>
      <c r="D1109" s="39" t="s">
        <v>917</v>
      </c>
      <c r="E1109" s="39"/>
      <c r="F1109" s="39" t="s">
        <v>915</v>
      </c>
      <c r="G1109" s="60"/>
      <c r="H1109" s="58" t="n">
        <v>2509</v>
      </c>
      <c r="I1109" s="39" t="str">
        <f aca="false">A1109&amp;"|"&amp;B1109&amp;"|"&amp;D1109&amp;"|"&amp;E1109&amp;F1109</f>
        <v>home|Oklahoma City|scenario 3 (dwelling $300,000, deductible 1%)|masonry</v>
      </c>
      <c r="J1109" s="34" t="n">
        <f aca="false" t="array" ref="J1109:J1109">MEDIAN(IF($I$4:$I$1803=I1109,$H$4:$H$1803))</f>
        <v>5959</v>
      </c>
      <c r="K1109" s="59" t="n">
        <f aca="false">H1109/J1109</f>
        <v>0.421043799295184</v>
      </c>
    </row>
    <row r="1110" customFormat="false" ht="15" hidden="false" customHeight="false" outlineLevel="0" collapsed="false">
      <c r="A1110" s="39" t="s">
        <v>912</v>
      </c>
      <c r="B1110" s="39" t="s">
        <v>880</v>
      </c>
      <c r="C1110" s="39" t="s">
        <v>928</v>
      </c>
      <c r="D1110" s="39" t="s">
        <v>918</v>
      </c>
      <c r="E1110" s="39"/>
      <c r="F1110" s="39" t="s">
        <v>133</v>
      </c>
      <c r="G1110" s="60"/>
      <c r="H1110" s="58" t="n">
        <v>3001</v>
      </c>
      <c r="I1110" s="39" t="str">
        <f aca="false">A1110&amp;"|"&amp;B1110&amp;"|"&amp;D1110&amp;"|"&amp;E1110&amp;F1110</f>
        <v>home|Oklahoma City|scenario 4 (dwelling $400,000, deductible 1%)|frame</v>
      </c>
      <c r="J1110" s="34" t="n">
        <f aca="false" t="array" ref="J1110:J1110">MEDIAN(IF($I$4:$I$1803=I1110,$H$4:$H$1803))</f>
        <v>6965.5</v>
      </c>
      <c r="K1110" s="59" t="n">
        <f aca="false">H1110/J1110</f>
        <v>0.430837700093317</v>
      </c>
    </row>
    <row r="1111" customFormat="false" ht="15" hidden="false" customHeight="false" outlineLevel="0" collapsed="false">
      <c r="A1111" s="39" t="s">
        <v>912</v>
      </c>
      <c r="B1111" s="39" t="s">
        <v>880</v>
      </c>
      <c r="C1111" s="39" t="s">
        <v>928</v>
      </c>
      <c r="D1111" s="39" t="s">
        <v>918</v>
      </c>
      <c r="E1111" s="39"/>
      <c r="F1111" s="39" t="s">
        <v>915</v>
      </c>
      <c r="G1111" s="60"/>
      <c r="H1111" s="58" t="n">
        <v>3200</v>
      </c>
      <c r="I1111" s="39" t="str">
        <f aca="false">A1111&amp;"|"&amp;B1111&amp;"|"&amp;D1111&amp;"|"&amp;E1111&amp;F1111</f>
        <v>home|Oklahoma City|scenario 4 (dwelling $400,000, deductible 1%)|masonry</v>
      </c>
      <c r="J1111" s="34" t="n">
        <f aca="false" t="array" ref="J1111:J1111">MEDIAN(IF($I$4:$I$1803=I1111,$H$4:$H$1803))</f>
        <v>7153</v>
      </c>
      <c r="K1111" s="59" t="n">
        <f aca="false">H1111/J1111</f>
        <v>0.447364742066266</v>
      </c>
    </row>
    <row r="1112" customFormat="false" ht="15" hidden="false" customHeight="false" outlineLevel="0" collapsed="false">
      <c r="A1112" s="39" t="s">
        <v>912</v>
      </c>
      <c r="B1112" s="39" t="s">
        <v>880</v>
      </c>
      <c r="C1112" s="39" t="s">
        <v>928</v>
      </c>
      <c r="D1112" s="39" t="s">
        <v>919</v>
      </c>
      <c r="E1112" s="39"/>
      <c r="F1112" s="39" t="s">
        <v>133</v>
      </c>
      <c r="G1112" s="60"/>
      <c r="H1112" s="58" t="n">
        <v>3638</v>
      </c>
      <c r="I1112" s="39" t="str">
        <f aca="false">A1112&amp;"|"&amp;B1112&amp;"|"&amp;D1112&amp;"|"&amp;E1112&amp;F1112</f>
        <v>home|Oklahoma City|scenario 5 (dwelling $500,000, deductible 1%)|frame</v>
      </c>
      <c r="J1112" s="34" t="n">
        <f aca="false" t="array" ref="J1112:J1112">MEDIAN(IF($I$4:$I$1803=I1112,$H$4:$H$1803))</f>
        <v>8254.5</v>
      </c>
      <c r="K1112" s="59" t="n">
        <f aca="false">H1112/J1112</f>
        <v>0.44072929917015</v>
      </c>
    </row>
    <row r="1113" customFormat="false" ht="15" hidden="false" customHeight="false" outlineLevel="0" collapsed="false">
      <c r="A1113" s="39" t="s">
        <v>912</v>
      </c>
      <c r="B1113" s="39" t="s">
        <v>880</v>
      </c>
      <c r="C1113" s="39" t="s">
        <v>928</v>
      </c>
      <c r="D1113" s="39" t="s">
        <v>919</v>
      </c>
      <c r="E1113" s="39"/>
      <c r="F1113" s="39" t="s">
        <v>915</v>
      </c>
      <c r="G1113" s="60"/>
      <c r="H1113" s="58" t="n">
        <v>3886</v>
      </c>
      <c r="I1113" s="39" t="str">
        <f aca="false">A1113&amp;"|"&amp;B1113&amp;"|"&amp;D1113&amp;"|"&amp;E1113&amp;F1113</f>
        <v>home|Oklahoma City|scenario 5 (dwelling $500,000, deductible 1%)|masonry</v>
      </c>
      <c r="J1113" s="34" t="n">
        <f aca="false" t="array" ref="J1113:J1113">MEDIAN(IF($I$4:$I$1803=I1113,$H$4:$H$1803))</f>
        <v>8121</v>
      </c>
      <c r="K1113" s="59" t="n">
        <f aca="false">H1113/J1113</f>
        <v>0.478512498460781</v>
      </c>
    </row>
    <row r="1114" customFormat="false" ht="15" hidden="false" customHeight="false" outlineLevel="0" collapsed="false">
      <c r="A1114" s="39" t="s">
        <v>912</v>
      </c>
      <c r="B1114" s="39" t="s">
        <v>880</v>
      </c>
      <c r="C1114" s="39" t="s">
        <v>929</v>
      </c>
      <c r="D1114" s="39" t="s">
        <v>914</v>
      </c>
      <c r="E1114" s="39"/>
      <c r="F1114" s="39" t="s">
        <v>133</v>
      </c>
      <c r="G1114" s="60"/>
      <c r="H1114" s="58" t="n">
        <v>4461</v>
      </c>
      <c r="I1114" s="39" t="str">
        <f aca="false">A1114&amp;"|"&amp;B1114&amp;"|"&amp;D1114&amp;"|"&amp;E1114&amp;F1114</f>
        <v>home|Oklahoma City|scenario 1 (dwelling $100,000, deductible 1%)|frame</v>
      </c>
      <c r="J1114" s="34" t="n">
        <f aca="false" t="array" ref="J1114:J1114">MEDIAN(IF($I$4:$I$1803=I1114,$H$4:$H$1803))</f>
        <v>2742</v>
      </c>
      <c r="K1114" s="59" t="n">
        <f aca="false">H1114/J1114</f>
        <v>1.62691466083151</v>
      </c>
    </row>
    <row r="1115" customFormat="false" ht="15" hidden="false" customHeight="false" outlineLevel="0" collapsed="false">
      <c r="A1115" s="39" t="s">
        <v>912</v>
      </c>
      <c r="B1115" s="39" t="s">
        <v>880</v>
      </c>
      <c r="C1115" s="39" t="s">
        <v>929</v>
      </c>
      <c r="D1115" s="39" t="s">
        <v>914</v>
      </c>
      <c r="E1115" s="39"/>
      <c r="F1115" s="39" t="s">
        <v>915</v>
      </c>
      <c r="G1115" s="60"/>
      <c r="H1115" s="58" t="n">
        <v>5097</v>
      </c>
      <c r="I1115" s="39" t="str">
        <f aca="false">A1115&amp;"|"&amp;B1115&amp;"|"&amp;D1115&amp;"|"&amp;E1115&amp;F1115</f>
        <v>home|Oklahoma City|scenario 1 (dwelling $100,000, deductible 1%)|masonry</v>
      </c>
      <c r="J1115" s="34" t="n">
        <f aca="false" t="array" ref="J1115:J1115">MEDIAN(IF($I$4:$I$1803=I1115,$H$4:$H$1803))</f>
        <v>2754</v>
      </c>
      <c r="K1115" s="59" t="n">
        <f aca="false">H1115/J1115</f>
        <v>1.85076252723312</v>
      </c>
    </row>
    <row r="1116" customFormat="false" ht="15" hidden="false" customHeight="false" outlineLevel="0" collapsed="false">
      <c r="A1116" s="39" t="s">
        <v>912</v>
      </c>
      <c r="B1116" s="39" t="s">
        <v>880</v>
      </c>
      <c r="C1116" s="39" t="s">
        <v>929</v>
      </c>
      <c r="D1116" s="39" t="s">
        <v>916</v>
      </c>
      <c r="E1116" s="39"/>
      <c r="F1116" s="39" t="s">
        <v>133</v>
      </c>
      <c r="G1116" s="60"/>
      <c r="H1116" s="58" t="n">
        <v>5455</v>
      </c>
      <c r="I1116" s="39" t="str">
        <f aca="false">A1116&amp;"|"&amp;B1116&amp;"|"&amp;D1116&amp;"|"&amp;E1116&amp;F1116</f>
        <v>home|Oklahoma City|scenario 2 (dwelling $200,000, deductible 1%)|frame</v>
      </c>
      <c r="J1116" s="34" t="n">
        <f aca="false" t="array" ref="J1116:J1116">MEDIAN(IF($I$4:$I$1803=I1116,$H$4:$H$1803))</f>
        <v>4325</v>
      </c>
      <c r="K1116" s="59" t="n">
        <f aca="false">H1116/J1116</f>
        <v>1.26127167630058</v>
      </c>
    </row>
    <row r="1117" customFormat="false" ht="15" hidden="false" customHeight="false" outlineLevel="0" collapsed="false">
      <c r="A1117" s="39" t="s">
        <v>912</v>
      </c>
      <c r="B1117" s="39" t="s">
        <v>880</v>
      </c>
      <c r="C1117" s="39" t="s">
        <v>929</v>
      </c>
      <c r="D1117" s="39" t="s">
        <v>916</v>
      </c>
      <c r="E1117" s="39"/>
      <c r="F1117" s="39" t="s">
        <v>915</v>
      </c>
      <c r="G1117" s="60"/>
      <c r="H1117" s="58" t="n">
        <v>6216</v>
      </c>
      <c r="I1117" s="39" t="str">
        <f aca="false">A1117&amp;"|"&amp;B1117&amp;"|"&amp;D1117&amp;"|"&amp;E1117&amp;F1117</f>
        <v>home|Oklahoma City|scenario 2 (dwelling $200,000, deductible 1%)|masonry</v>
      </c>
      <c r="J1117" s="34" t="n">
        <f aca="false" t="array" ref="J1117:J1117">MEDIAN(IF($I$4:$I$1803=I1117,$H$4:$H$1803))</f>
        <v>4381</v>
      </c>
      <c r="K1117" s="59" t="n">
        <f aca="false">H1117/J1117</f>
        <v>1.41885414288975</v>
      </c>
    </row>
    <row r="1118" customFormat="false" ht="15" hidden="false" customHeight="false" outlineLevel="0" collapsed="false">
      <c r="A1118" s="39" t="s">
        <v>912</v>
      </c>
      <c r="B1118" s="39" t="s">
        <v>880</v>
      </c>
      <c r="C1118" s="39" t="s">
        <v>929</v>
      </c>
      <c r="D1118" s="39" t="s">
        <v>917</v>
      </c>
      <c r="E1118" s="39"/>
      <c r="F1118" s="39" t="s">
        <v>133</v>
      </c>
      <c r="G1118" s="60"/>
      <c r="H1118" s="58" t="n">
        <v>7075</v>
      </c>
      <c r="I1118" s="39" t="str">
        <f aca="false">A1118&amp;"|"&amp;B1118&amp;"|"&amp;D1118&amp;"|"&amp;E1118&amp;F1118</f>
        <v>home|Oklahoma City|scenario 3 (dwelling $300,000, deductible 1%)|frame</v>
      </c>
      <c r="J1118" s="34" t="n">
        <f aca="false" t="array" ref="J1118:J1118">MEDIAN(IF($I$4:$I$1803=I1118,$H$4:$H$1803))</f>
        <v>5727</v>
      </c>
      <c r="K1118" s="59" t="n">
        <f aca="false">H1118/J1118</f>
        <v>1.23537628775973</v>
      </c>
    </row>
    <row r="1119" customFormat="false" ht="15" hidden="false" customHeight="false" outlineLevel="0" collapsed="false">
      <c r="A1119" s="39" t="s">
        <v>912</v>
      </c>
      <c r="B1119" s="39" t="s">
        <v>880</v>
      </c>
      <c r="C1119" s="39" t="s">
        <v>929</v>
      </c>
      <c r="D1119" s="39" t="s">
        <v>917</v>
      </c>
      <c r="E1119" s="39"/>
      <c r="F1119" s="39" t="s">
        <v>915</v>
      </c>
      <c r="G1119" s="60"/>
      <c r="H1119" s="58" t="n">
        <v>8121</v>
      </c>
      <c r="I1119" s="39" t="str">
        <f aca="false">A1119&amp;"|"&amp;B1119&amp;"|"&amp;D1119&amp;"|"&amp;E1119&amp;F1119</f>
        <v>home|Oklahoma City|scenario 3 (dwelling $300,000, deductible 1%)|masonry</v>
      </c>
      <c r="J1119" s="34" t="n">
        <f aca="false" t="array" ref="J1119:J1119">MEDIAN(IF($I$4:$I$1803=I1119,$H$4:$H$1803))</f>
        <v>5959</v>
      </c>
      <c r="K1119" s="59" t="n">
        <f aca="false">H1119/J1119</f>
        <v>1.36281255244168</v>
      </c>
    </row>
    <row r="1120" customFormat="false" ht="15" hidden="false" customHeight="false" outlineLevel="0" collapsed="false">
      <c r="A1120" s="39" t="s">
        <v>912</v>
      </c>
      <c r="B1120" s="39" t="s">
        <v>880</v>
      </c>
      <c r="C1120" s="39" t="s">
        <v>929</v>
      </c>
      <c r="D1120" s="39" t="s">
        <v>918</v>
      </c>
      <c r="E1120" s="39"/>
      <c r="F1120" s="39" t="s">
        <v>133</v>
      </c>
      <c r="G1120" s="60"/>
      <c r="H1120" s="58" t="n">
        <v>8360</v>
      </c>
      <c r="I1120" s="39" t="str">
        <f aca="false">A1120&amp;"|"&amp;B1120&amp;"|"&amp;D1120&amp;"|"&amp;E1120&amp;F1120</f>
        <v>home|Oklahoma City|scenario 4 (dwelling $400,000, deductible 1%)|frame</v>
      </c>
      <c r="J1120" s="34" t="n">
        <f aca="false" t="array" ref="J1120:J1120">MEDIAN(IF($I$4:$I$1803=I1120,$H$4:$H$1803))</f>
        <v>6965.5</v>
      </c>
      <c r="K1120" s="59" t="n">
        <f aca="false">H1120/J1120</f>
        <v>1.20020099059651</v>
      </c>
    </row>
    <row r="1121" customFormat="false" ht="15" hidden="false" customHeight="false" outlineLevel="0" collapsed="false">
      <c r="A1121" s="39" t="s">
        <v>912</v>
      </c>
      <c r="B1121" s="39" t="s">
        <v>880</v>
      </c>
      <c r="C1121" s="39" t="s">
        <v>929</v>
      </c>
      <c r="D1121" s="39" t="s">
        <v>918</v>
      </c>
      <c r="E1121" s="39"/>
      <c r="F1121" s="39" t="s">
        <v>915</v>
      </c>
      <c r="G1121" s="60"/>
      <c r="H1121" s="58" t="n">
        <v>9534</v>
      </c>
      <c r="I1121" s="39" t="str">
        <f aca="false">A1121&amp;"|"&amp;B1121&amp;"|"&amp;D1121&amp;"|"&amp;E1121&amp;F1121</f>
        <v>home|Oklahoma City|scenario 4 (dwelling $400,000, deductible 1%)|masonry</v>
      </c>
      <c r="J1121" s="34" t="n">
        <f aca="false" t="array" ref="J1121:J1121">MEDIAN(IF($I$4:$I$1803=I1121,$H$4:$H$1803))</f>
        <v>7153</v>
      </c>
      <c r="K1121" s="59" t="n">
        <f aca="false">H1121/J1121</f>
        <v>1.33286732839368</v>
      </c>
    </row>
    <row r="1122" customFormat="false" ht="15" hidden="false" customHeight="false" outlineLevel="0" collapsed="false">
      <c r="A1122" s="39" t="s">
        <v>912</v>
      </c>
      <c r="B1122" s="39" t="s">
        <v>880</v>
      </c>
      <c r="C1122" s="39" t="s">
        <v>929</v>
      </c>
      <c r="D1122" s="39" t="s">
        <v>919</v>
      </c>
      <c r="E1122" s="39"/>
      <c r="F1122" s="39" t="s">
        <v>133</v>
      </c>
      <c r="G1122" s="60"/>
      <c r="H1122" s="58" t="n">
        <v>9551</v>
      </c>
      <c r="I1122" s="39" t="str">
        <f aca="false">A1122&amp;"|"&amp;B1122&amp;"|"&amp;D1122&amp;"|"&amp;E1122&amp;F1122</f>
        <v>home|Oklahoma City|scenario 5 (dwelling $500,000, deductible 1%)|frame</v>
      </c>
      <c r="J1122" s="34" t="n">
        <f aca="false" t="array" ref="J1122:J1122">MEDIAN(IF($I$4:$I$1803=I1122,$H$4:$H$1803))</f>
        <v>8254.5</v>
      </c>
      <c r="K1122" s="59" t="n">
        <f aca="false">H1122/J1122</f>
        <v>1.15706584287358</v>
      </c>
    </row>
    <row r="1123" customFormat="false" ht="15" hidden="false" customHeight="false" outlineLevel="0" collapsed="false">
      <c r="A1123" s="39" t="s">
        <v>912</v>
      </c>
      <c r="B1123" s="39" t="s">
        <v>880</v>
      </c>
      <c r="C1123" s="39" t="s">
        <v>929</v>
      </c>
      <c r="D1123" s="39" t="s">
        <v>919</v>
      </c>
      <c r="E1123" s="39"/>
      <c r="F1123" s="39" t="s">
        <v>915</v>
      </c>
      <c r="G1123" s="60"/>
      <c r="H1123" s="58" t="n">
        <v>10813</v>
      </c>
      <c r="I1123" s="39" t="str">
        <f aca="false">A1123&amp;"|"&amp;B1123&amp;"|"&amp;D1123&amp;"|"&amp;E1123&amp;F1123</f>
        <v>home|Oklahoma City|scenario 5 (dwelling $500,000, deductible 1%)|masonry</v>
      </c>
      <c r="J1123" s="34" t="n">
        <f aca="false" t="array" ref="J1123:J1123">MEDIAN(IF($I$4:$I$1803=I1123,$H$4:$H$1803))</f>
        <v>8121</v>
      </c>
      <c r="K1123" s="59" t="n">
        <f aca="false">H1123/J1123</f>
        <v>1.33148627016377</v>
      </c>
    </row>
    <row r="1124" customFormat="false" ht="15" hidden="false" customHeight="false" outlineLevel="0" collapsed="false">
      <c r="A1124" s="39" t="s">
        <v>912</v>
      </c>
      <c r="B1124" s="39" t="s">
        <v>880</v>
      </c>
      <c r="C1124" s="39" t="s">
        <v>930</v>
      </c>
      <c r="D1124" s="39" t="s">
        <v>914</v>
      </c>
      <c r="E1124" s="39"/>
      <c r="F1124" s="39" t="s">
        <v>133</v>
      </c>
      <c r="G1124" s="60"/>
      <c r="H1124" s="58" t="n">
        <v>2406</v>
      </c>
      <c r="I1124" s="39" t="str">
        <f aca="false">A1124&amp;"|"&amp;B1124&amp;"|"&amp;D1124&amp;"|"&amp;E1124&amp;F1124</f>
        <v>home|Oklahoma City|scenario 1 (dwelling $100,000, deductible 1%)|frame</v>
      </c>
      <c r="J1124" s="34" t="n">
        <f aca="false" t="array" ref="J1124:J1124">MEDIAN(IF($I$4:$I$1803=I1124,$H$4:$H$1803))</f>
        <v>2742</v>
      </c>
      <c r="K1124" s="59" t="n">
        <f aca="false">H1124/J1124</f>
        <v>0.87746170678337</v>
      </c>
    </row>
    <row r="1125" customFormat="false" ht="15" hidden="false" customHeight="false" outlineLevel="0" collapsed="false">
      <c r="A1125" s="39" t="s">
        <v>912</v>
      </c>
      <c r="B1125" s="39" t="s">
        <v>880</v>
      </c>
      <c r="C1125" s="39" t="s">
        <v>930</v>
      </c>
      <c r="D1125" s="39" t="s">
        <v>914</v>
      </c>
      <c r="E1125" s="39"/>
      <c r="F1125" s="39" t="s">
        <v>915</v>
      </c>
      <c r="G1125" s="60"/>
      <c r="H1125" s="58" t="n">
        <v>2164</v>
      </c>
      <c r="I1125" s="39" t="str">
        <f aca="false">A1125&amp;"|"&amp;B1125&amp;"|"&amp;D1125&amp;"|"&amp;E1125&amp;F1125</f>
        <v>home|Oklahoma City|scenario 1 (dwelling $100,000, deductible 1%)|masonry</v>
      </c>
      <c r="J1125" s="34" t="n">
        <f aca="false" t="array" ref="J1125:J1125">MEDIAN(IF($I$4:$I$1803=I1125,$H$4:$H$1803))</f>
        <v>2754</v>
      </c>
      <c r="K1125" s="59" t="n">
        <f aca="false">H1125/J1125</f>
        <v>0.785766158315178</v>
      </c>
    </row>
    <row r="1126" customFormat="false" ht="15" hidden="false" customHeight="false" outlineLevel="0" collapsed="false">
      <c r="A1126" s="39" t="s">
        <v>912</v>
      </c>
      <c r="B1126" s="39" t="s">
        <v>880</v>
      </c>
      <c r="C1126" s="39" t="s">
        <v>930</v>
      </c>
      <c r="D1126" s="39" t="s">
        <v>916</v>
      </c>
      <c r="E1126" s="39"/>
      <c r="F1126" s="39" t="s">
        <v>133</v>
      </c>
      <c r="G1126" s="60"/>
      <c r="H1126" s="58" t="n">
        <v>3389</v>
      </c>
      <c r="I1126" s="39" t="str">
        <f aca="false">A1126&amp;"|"&amp;B1126&amp;"|"&amp;D1126&amp;"|"&amp;E1126&amp;F1126</f>
        <v>home|Oklahoma City|scenario 2 (dwelling $200,000, deductible 1%)|frame</v>
      </c>
      <c r="J1126" s="34" t="n">
        <f aca="false" t="array" ref="J1126:J1126">MEDIAN(IF($I$4:$I$1803=I1126,$H$4:$H$1803))</f>
        <v>4325</v>
      </c>
      <c r="K1126" s="59" t="n">
        <f aca="false">H1126/J1126</f>
        <v>0.783583815028902</v>
      </c>
    </row>
    <row r="1127" customFormat="false" ht="15" hidden="false" customHeight="false" outlineLevel="0" collapsed="false">
      <c r="A1127" s="39" t="s">
        <v>912</v>
      </c>
      <c r="B1127" s="39" t="s">
        <v>880</v>
      </c>
      <c r="C1127" s="39" t="s">
        <v>930</v>
      </c>
      <c r="D1127" s="39" t="s">
        <v>916</v>
      </c>
      <c r="E1127" s="39"/>
      <c r="F1127" s="39" t="s">
        <v>915</v>
      </c>
      <c r="G1127" s="60"/>
      <c r="H1127" s="58" t="n">
        <v>3049</v>
      </c>
      <c r="I1127" s="39" t="str">
        <f aca="false">A1127&amp;"|"&amp;B1127&amp;"|"&amp;D1127&amp;"|"&amp;E1127&amp;F1127</f>
        <v>home|Oklahoma City|scenario 2 (dwelling $200,000, deductible 1%)|masonry</v>
      </c>
      <c r="J1127" s="34" t="n">
        <f aca="false" t="array" ref="J1127:J1127">MEDIAN(IF($I$4:$I$1803=I1127,$H$4:$H$1803))</f>
        <v>4381</v>
      </c>
      <c r="K1127" s="59" t="n">
        <f aca="false">H1127/J1127</f>
        <v>0.695959826523625</v>
      </c>
    </row>
    <row r="1128" customFormat="false" ht="15" hidden="false" customHeight="false" outlineLevel="0" collapsed="false">
      <c r="A1128" s="39" t="s">
        <v>912</v>
      </c>
      <c r="B1128" s="39" t="s">
        <v>880</v>
      </c>
      <c r="C1128" s="39" t="s">
        <v>930</v>
      </c>
      <c r="D1128" s="39" t="s">
        <v>917</v>
      </c>
      <c r="E1128" s="39"/>
      <c r="F1128" s="39" t="s">
        <v>133</v>
      </c>
      <c r="G1128" s="60"/>
      <c r="H1128" s="58" t="n">
        <v>4618</v>
      </c>
      <c r="I1128" s="39" t="str">
        <f aca="false">A1128&amp;"|"&amp;B1128&amp;"|"&amp;D1128&amp;"|"&amp;E1128&amp;F1128</f>
        <v>home|Oklahoma City|scenario 3 (dwelling $300,000, deductible 1%)|frame</v>
      </c>
      <c r="J1128" s="34" t="n">
        <f aca="false" t="array" ref="J1128:J1128">MEDIAN(IF($I$4:$I$1803=I1128,$H$4:$H$1803))</f>
        <v>5727</v>
      </c>
      <c r="K1128" s="59" t="n">
        <f aca="false">H1128/J1128</f>
        <v>0.806355858215471</v>
      </c>
    </row>
    <row r="1129" customFormat="false" ht="15" hidden="false" customHeight="false" outlineLevel="0" collapsed="false">
      <c r="A1129" s="39" t="s">
        <v>912</v>
      </c>
      <c r="B1129" s="39" t="s">
        <v>880</v>
      </c>
      <c r="C1129" s="39" t="s">
        <v>930</v>
      </c>
      <c r="D1129" s="39" t="s">
        <v>917</v>
      </c>
      <c r="E1129" s="39"/>
      <c r="F1129" s="39" t="s">
        <v>915</v>
      </c>
      <c r="G1129" s="60"/>
      <c r="H1129" s="58" t="n">
        <v>4154</v>
      </c>
      <c r="I1129" s="39" t="str">
        <f aca="false">A1129&amp;"|"&amp;B1129&amp;"|"&amp;D1129&amp;"|"&amp;E1129&amp;F1129</f>
        <v>home|Oklahoma City|scenario 3 (dwelling $300,000, deductible 1%)|masonry</v>
      </c>
      <c r="J1129" s="34" t="n">
        <f aca="false" t="array" ref="J1129:J1129">MEDIAN(IF($I$4:$I$1803=I1129,$H$4:$H$1803))</f>
        <v>5959</v>
      </c>
      <c r="K1129" s="59" t="n">
        <f aca="false">H1129/J1129</f>
        <v>0.697096828326901</v>
      </c>
    </row>
    <row r="1130" customFormat="false" ht="15" hidden="false" customHeight="false" outlineLevel="0" collapsed="false">
      <c r="A1130" s="39" t="s">
        <v>912</v>
      </c>
      <c r="B1130" s="39" t="s">
        <v>880</v>
      </c>
      <c r="C1130" s="39" t="s">
        <v>930</v>
      </c>
      <c r="D1130" s="39" t="s">
        <v>918</v>
      </c>
      <c r="E1130" s="39"/>
      <c r="F1130" s="39" t="s">
        <v>133</v>
      </c>
      <c r="G1130" s="60"/>
      <c r="H1130" s="58" t="n">
        <v>6438</v>
      </c>
      <c r="I1130" s="39" t="str">
        <f aca="false">A1130&amp;"|"&amp;B1130&amp;"|"&amp;D1130&amp;"|"&amp;E1130&amp;F1130</f>
        <v>home|Oklahoma City|scenario 4 (dwelling $400,000, deductible 1%)|frame</v>
      </c>
      <c r="J1130" s="34" t="n">
        <f aca="false" t="array" ref="J1130:J1130">MEDIAN(IF($I$4:$I$1803=I1130,$H$4:$H$1803))</f>
        <v>6965.5</v>
      </c>
      <c r="K1130" s="59" t="n">
        <f aca="false">H1130/J1130</f>
        <v>0.924269614528749</v>
      </c>
    </row>
    <row r="1131" customFormat="false" ht="15" hidden="false" customHeight="false" outlineLevel="0" collapsed="false">
      <c r="A1131" s="39" t="s">
        <v>912</v>
      </c>
      <c r="B1131" s="39" t="s">
        <v>880</v>
      </c>
      <c r="C1131" s="39" t="s">
        <v>930</v>
      </c>
      <c r="D1131" s="39" t="s">
        <v>918</v>
      </c>
      <c r="E1131" s="39"/>
      <c r="F1131" s="39" t="s">
        <v>915</v>
      </c>
      <c r="G1131" s="60"/>
      <c r="H1131" s="58" t="n">
        <v>5791</v>
      </c>
      <c r="I1131" s="39" t="str">
        <f aca="false">A1131&amp;"|"&amp;B1131&amp;"|"&amp;D1131&amp;"|"&amp;E1131&amp;F1131</f>
        <v>home|Oklahoma City|scenario 4 (dwelling $400,000, deductible 1%)|masonry</v>
      </c>
      <c r="J1131" s="34" t="n">
        <f aca="false" t="array" ref="J1131:J1131">MEDIAN(IF($I$4:$I$1803=I1131,$H$4:$H$1803))</f>
        <v>7153</v>
      </c>
      <c r="K1131" s="59" t="n">
        <f aca="false">H1131/J1131</f>
        <v>0.809590381658046</v>
      </c>
    </row>
    <row r="1132" customFormat="false" ht="15" hidden="false" customHeight="false" outlineLevel="0" collapsed="false">
      <c r="A1132" s="39" t="s">
        <v>912</v>
      </c>
      <c r="B1132" s="39" t="s">
        <v>880</v>
      </c>
      <c r="C1132" s="39" t="s">
        <v>930</v>
      </c>
      <c r="D1132" s="39" t="s">
        <v>919</v>
      </c>
      <c r="E1132" s="39"/>
      <c r="F1132" s="39" t="s">
        <v>133</v>
      </c>
      <c r="G1132" s="60"/>
      <c r="H1132" s="58" t="n">
        <v>8285</v>
      </c>
      <c r="I1132" s="39" t="str">
        <f aca="false">A1132&amp;"|"&amp;B1132&amp;"|"&amp;D1132&amp;"|"&amp;E1132&amp;F1132</f>
        <v>home|Oklahoma City|scenario 5 (dwelling $500,000, deductible 1%)|frame</v>
      </c>
      <c r="J1132" s="34" t="n">
        <f aca="false" t="array" ref="J1132:J1132">MEDIAN(IF($I$4:$I$1803=I1132,$H$4:$H$1803))</f>
        <v>8254.5</v>
      </c>
      <c r="K1132" s="59" t="n">
        <f aca="false">H1132/J1132</f>
        <v>1.00369495426737</v>
      </c>
    </row>
    <row r="1133" customFormat="false" ht="15" hidden="false" customHeight="false" outlineLevel="0" collapsed="false">
      <c r="A1133" s="39" t="s">
        <v>912</v>
      </c>
      <c r="B1133" s="39" t="s">
        <v>880</v>
      </c>
      <c r="C1133" s="39" t="s">
        <v>930</v>
      </c>
      <c r="D1133" s="39" t="s">
        <v>919</v>
      </c>
      <c r="E1133" s="39"/>
      <c r="F1133" s="39" t="s">
        <v>915</v>
      </c>
      <c r="G1133" s="60"/>
      <c r="H1133" s="58" t="n">
        <v>7453</v>
      </c>
      <c r="I1133" s="39" t="str">
        <f aca="false">A1133&amp;"|"&amp;B1133&amp;"|"&amp;D1133&amp;"|"&amp;E1133&amp;F1133</f>
        <v>home|Oklahoma City|scenario 5 (dwelling $500,000, deductible 1%)|masonry</v>
      </c>
      <c r="J1133" s="34" t="n">
        <f aca="false" t="array" ref="J1133:J1133">MEDIAN(IF($I$4:$I$1803=I1133,$H$4:$H$1803))</f>
        <v>8121</v>
      </c>
      <c r="K1133" s="59" t="n">
        <f aca="false">H1133/J1133</f>
        <v>0.917744120182244</v>
      </c>
    </row>
    <row r="1134" customFormat="false" ht="15" hidden="false" customHeight="false" outlineLevel="0" collapsed="false">
      <c r="A1134" s="39" t="s">
        <v>912</v>
      </c>
      <c r="B1134" s="39" t="s">
        <v>880</v>
      </c>
      <c r="C1134" s="39" t="s">
        <v>931</v>
      </c>
      <c r="D1134" s="39" t="s">
        <v>914</v>
      </c>
      <c r="E1134" s="39"/>
      <c r="F1134" s="39" t="s">
        <v>133</v>
      </c>
      <c r="G1134" s="60"/>
      <c r="H1134" s="58" t="n">
        <v>3410</v>
      </c>
      <c r="I1134" s="39" t="str">
        <f aca="false">A1134&amp;"|"&amp;B1134&amp;"|"&amp;D1134&amp;"|"&amp;E1134&amp;F1134</f>
        <v>home|Oklahoma City|scenario 1 (dwelling $100,000, deductible 1%)|frame</v>
      </c>
      <c r="J1134" s="34" t="n">
        <f aca="false" t="array" ref="J1134:J1134">MEDIAN(IF($I$4:$I$1803=I1134,$H$4:$H$1803))</f>
        <v>2742</v>
      </c>
      <c r="K1134" s="59" t="n">
        <f aca="false">H1134/J1134</f>
        <v>1.2436177972283</v>
      </c>
    </row>
    <row r="1135" customFormat="false" ht="15" hidden="false" customHeight="false" outlineLevel="0" collapsed="false">
      <c r="A1135" s="39" t="s">
        <v>912</v>
      </c>
      <c r="B1135" s="39" t="s">
        <v>880</v>
      </c>
      <c r="C1135" s="39" t="s">
        <v>931</v>
      </c>
      <c r="D1135" s="39" t="s">
        <v>914</v>
      </c>
      <c r="E1135" s="39"/>
      <c r="F1135" s="39" t="s">
        <v>915</v>
      </c>
      <c r="G1135" s="60"/>
      <c r="H1135" s="58" t="n">
        <v>3190</v>
      </c>
      <c r="I1135" s="39" t="str">
        <f aca="false">A1135&amp;"|"&amp;B1135&amp;"|"&amp;D1135&amp;"|"&amp;E1135&amp;F1135</f>
        <v>home|Oklahoma City|scenario 1 (dwelling $100,000, deductible 1%)|masonry</v>
      </c>
      <c r="J1135" s="34" t="n">
        <f aca="false" t="array" ref="J1135:J1135">MEDIAN(IF($I$4:$I$1803=I1135,$H$4:$H$1803))</f>
        <v>2754</v>
      </c>
      <c r="K1135" s="59" t="n">
        <f aca="false">H1135/J1135</f>
        <v>1.15831517792302</v>
      </c>
    </row>
    <row r="1136" customFormat="false" ht="15" hidden="false" customHeight="false" outlineLevel="0" collapsed="false">
      <c r="A1136" s="39" t="s">
        <v>912</v>
      </c>
      <c r="B1136" s="39" t="s">
        <v>880</v>
      </c>
      <c r="C1136" s="39" t="s">
        <v>931</v>
      </c>
      <c r="D1136" s="39" t="s">
        <v>916</v>
      </c>
      <c r="E1136" s="39"/>
      <c r="F1136" s="39" t="s">
        <v>133</v>
      </c>
      <c r="G1136" s="60"/>
      <c r="H1136" s="58" t="n">
        <v>5222</v>
      </c>
      <c r="I1136" s="39" t="str">
        <f aca="false">A1136&amp;"|"&amp;B1136&amp;"|"&amp;D1136&amp;"|"&amp;E1136&amp;F1136</f>
        <v>home|Oklahoma City|scenario 2 (dwelling $200,000, deductible 1%)|frame</v>
      </c>
      <c r="J1136" s="34" t="n">
        <f aca="false" t="array" ref="J1136:J1136">MEDIAN(IF($I$4:$I$1803=I1136,$H$4:$H$1803))</f>
        <v>4325</v>
      </c>
      <c r="K1136" s="59" t="n">
        <f aca="false">H1136/J1136</f>
        <v>1.20739884393064</v>
      </c>
    </row>
    <row r="1137" customFormat="false" ht="15" hidden="false" customHeight="false" outlineLevel="0" collapsed="false">
      <c r="A1137" s="39" t="s">
        <v>912</v>
      </c>
      <c r="B1137" s="39" t="s">
        <v>880</v>
      </c>
      <c r="C1137" s="39" t="s">
        <v>931</v>
      </c>
      <c r="D1137" s="39" t="s">
        <v>916</v>
      </c>
      <c r="E1137" s="39"/>
      <c r="F1137" s="39" t="s">
        <v>915</v>
      </c>
      <c r="G1137" s="60"/>
      <c r="H1137" s="58" t="n">
        <v>4887</v>
      </c>
      <c r="I1137" s="39" t="str">
        <f aca="false">A1137&amp;"|"&amp;B1137&amp;"|"&amp;D1137&amp;"|"&amp;E1137&amp;F1137</f>
        <v>home|Oklahoma City|scenario 2 (dwelling $200,000, deductible 1%)|masonry</v>
      </c>
      <c r="J1137" s="34" t="n">
        <f aca="false" t="array" ref="J1137:J1137">MEDIAN(IF($I$4:$I$1803=I1137,$H$4:$H$1803))</f>
        <v>4381</v>
      </c>
      <c r="K1137" s="59" t="n">
        <f aca="false">H1137/J1137</f>
        <v>1.11549874457886</v>
      </c>
    </row>
    <row r="1138" customFormat="false" ht="15" hidden="false" customHeight="false" outlineLevel="0" collapsed="false">
      <c r="A1138" s="39" t="s">
        <v>912</v>
      </c>
      <c r="B1138" s="39" t="s">
        <v>880</v>
      </c>
      <c r="C1138" s="39" t="s">
        <v>931</v>
      </c>
      <c r="D1138" s="39" t="s">
        <v>917</v>
      </c>
      <c r="E1138" s="39"/>
      <c r="F1138" s="39" t="s">
        <v>133</v>
      </c>
      <c r="G1138" s="60"/>
      <c r="H1138" s="58" t="n">
        <v>7262</v>
      </c>
      <c r="I1138" s="39" t="str">
        <f aca="false">A1138&amp;"|"&amp;B1138&amp;"|"&amp;D1138&amp;"|"&amp;E1138&amp;F1138</f>
        <v>home|Oklahoma City|scenario 3 (dwelling $300,000, deductible 1%)|frame</v>
      </c>
      <c r="J1138" s="34" t="n">
        <f aca="false" t="array" ref="J1138:J1138">MEDIAN(IF($I$4:$I$1803=I1138,$H$4:$H$1803))</f>
        <v>5727</v>
      </c>
      <c r="K1138" s="59" t="n">
        <f aca="false">H1138/J1138</f>
        <v>1.26802863628427</v>
      </c>
    </row>
    <row r="1139" customFormat="false" ht="15" hidden="false" customHeight="false" outlineLevel="0" collapsed="false">
      <c r="A1139" s="39" t="s">
        <v>912</v>
      </c>
      <c r="B1139" s="39" t="s">
        <v>880</v>
      </c>
      <c r="C1139" s="39" t="s">
        <v>931</v>
      </c>
      <c r="D1139" s="39" t="s">
        <v>917</v>
      </c>
      <c r="E1139" s="39"/>
      <c r="F1139" s="39" t="s">
        <v>915</v>
      </c>
      <c r="G1139" s="60"/>
      <c r="H1139" s="58" t="n">
        <v>6796</v>
      </c>
      <c r="I1139" s="39" t="str">
        <f aca="false">A1139&amp;"|"&amp;B1139&amp;"|"&amp;D1139&amp;"|"&amp;E1139&amp;F1139</f>
        <v>home|Oklahoma City|scenario 3 (dwelling $300,000, deductible 1%)|masonry</v>
      </c>
      <c r="J1139" s="34" t="n">
        <f aca="false" t="array" ref="J1139:J1139">MEDIAN(IF($I$4:$I$1803=I1139,$H$4:$H$1803))</f>
        <v>5959</v>
      </c>
      <c r="K1139" s="59" t="n">
        <f aca="false">H1139/J1139</f>
        <v>1.14045980869273</v>
      </c>
    </row>
    <row r="1140" customFormat="false" ht="15" hidden="false" customHeight="false" outlineLevel="0" collapsed="false">
      <c r="A1140" s="39" t="s">
        <v>912</v>
      </c>
      <c r="B1140" s="39" t="s">
        <v>880</v>
      </c>
      <c r="C1140" s="39" t="s">
        <v>931</v>
      </c>
      <c r="D1140" s="39" t="s">
        <v>918</v>
      </c>
      <c r="E1140" s="39"/>
      <c r="F1140" s="39" t="s">
        <v>133</v>
      </c>
      <c r="G1140" s="60"/>
      <c r="H1140" s="58" t="n">
        <v>9304</v>
      </c>
      <c r="I1140" s="39" t="str">
        <f aca="false">A1140&amp;"|"&amp;B1140&amp;"|"&amp;D1140&amp;"|"&amp;E1140&amp;F1140</f>
        <v>home|Oklahoma City|scenario 4 (dwelling $400,000, deductible 1%)|frame</v>
      </c>
      <c r="J1140" s="34" t="n">
        <f aca="false" t="array" ref="J1140:J1140">MEDIAN(IF($I$4:$I$1803=I1140,$H$4:$H$1803))</f>
        <v>6965.5</v>
      </c>
      <c r="K1140" s="59" t="n">
        <f aca="false">H1140/J1140</f>
        <v>1.3357260785299</v>
      </c>
    </row>
    <row r="1141" customFormat="false" ht="15" hidden="false" customHeight="false" outlineLevel="0" collapsed="false">
      <c r="A1141" s="39" t="s">
        <v>912</v>
      </c>
      <c r="B1141" s="39" t="s">
        <v>880</v>
      </c>
      <c r="C1141" s="39" t="s">
        <v>931</v>
      </c>
      <c r="D1141" s="39" t="s">
        <v>918</v>
      </c>
      <c r="E1141" s="39"/>
      <c r="F1141" s="39" t="s">
        <v>915</v>
      </c>
      <c r="G1141" s="60"/>
      <c r="H1141" s="58" t="n">
        <v>8706</v>
      </c>
      <c r="I1141" s="39" t="str">
        <f aca="false">A1141&amp;"|"&amp;B1141&amp;"|"&amp;D1141&amp;"|"&amp;E1141&amp;F1141</f>
        <v>home|Oklahoma City|scenario 4 (dwelling $400,000, deductible 1%)|masonry</v>
      </c>
      <c r="J1141" s="34" t="n">
        <f aca="false" t="array" ref="J1141:J1141">MEDIAN(IF($I$4:$I$1803=I1141,$H$4:$H$1803))</f>
        <v>7153</v>
      </c>
      <c r="K1141" s="59" t="n">
        <f aca="false">H1141/J1141</f>
        <v>1.21711170138403</v>
      </c>
    </row>
    <row r="1142" customFormat="false" ht="15" hidden="false" customHeight="false" outlineLevel="0" collapsed="false">
      <c r="A1142" s="39" t="s">
        <v>912</v>
      </c>
      <c r="B1142" s="39" t="s">
        <v>880</v>
      </c>
      <c r="C1142" s="39" t="s">
        <v>931</v>
      </c>
      <c r="D1142" s="39" t="s">
        <v>919</v>
      </c>
      <c r="E1142" s="39"/>
      <c r="F1142" s="39" t="s">
        <v>133</v>
      </c>
      <c r="G1142" s="60"/>
      <c r="H1142" s="58" t="n">
        <v>11098</v>
      </c>
      <c r="I1142" s="39" t="str">
        <f aca="false">A1142&amp;"|"&amp;B1142&amp;"|"&amp;D1142&amp;"|"&amp;E1142&amp;F1142</f>
        <v>home|Oklahoma City|scenario 5 (dwelling $500,000, deductible 1%)|frame</v>
      </c>
      <c r="J1142" s="34" t="n">
        <f aca="false" t="array" ref="J1142:J1142">MEDIAN(IF($I$4:$I$1803=I1142,$H$4:$H$1803))</f>
        <v>8254.5</v>
      </c>
      <c r="K1142" s="59" t="n">
        <f aca="false">H1142/J1142</f>
        <v>1.34447876915622</v>
      </c>
    </row>
    <row r="1143" customFormat="false" ht="15" hidden="false" customHeight="false" outlineLevel="0" collapsed="false">
      <c r="A1143" s="39" t="s">
        <v>912</v>
      </c>
      <c r="B1143" s="39" t="s">
        <v>880</v>
      </c>
      <c r="C1143" s="39" t="s">
        <v>931</v>
      </c>
      <c r="D1143" s="39" t="s">
        <v>919</v>
      </c>
      <c r="E1143" s="39"/>
      <c r="F1143" s="39" t="s">
        <v>915</v>
      </c>
      <c r="G1143" s="60"/>
      <c r="H1143" s="58" t="n">
        <v>10385</v>
      </c>
      <c r="I1143" s="39" t="str">
        <f aca="false">A1143&amp;"|"&amp;B1143&amp;"|"&amp;D1143&amp;"|"&amp;E1143&amp;F1143</f>
        <v>home|Oklahoma City|scenario 5 (dwelling $500,000, deductible 1%)|masonry</v>
      </c>
      <c r="J1143" s="34" t="n">
        <f aca="false" t="array" ref="J1143:J1143">MEDIAN(IF($I$4:$I$1803=I1143,$H$4:$H$1803))</f>
        <v>8121</v>
      </c>
      <c r="K1143" s="59" t="n">
        <f aca="false">H1143/J1143</f>
        <v>1.27878340105898</v>
      </c>
    </row>
    <row r="1144" customFormat="false" ht="15" hidden="false" customHeight="false" outlineLevel="0" collapsed="false">
      <c r="A1144" s="39" t="s">
        <v>912</v>
      </c>
      <c r="B1144" s="39" t="s">
        <v>880</v>
      </c>
      <c r="C1144" s="39" t="s">
        <v>899</v>
      </c>
      <c r="D1144" s="39" t="s">
        <v>914</v>
      </c>
      <c r="E1144" s="39"/>
      <c r="F1144" s="39" t="s">
        <v>133</v>
      </c>
      <c r="G1144" s="60"/>
      <c r="H1144" s="58" t="n">
        <v>4855</v>
      </c>
      <c r="I1144" s="39" t="str">
        <f aca="false">A1144&amp;"|"&amp;B1144&amp;"|"&amp;D1144&amp;"|"&amp;E1144&amp;F1144</f>
        <v>home|Oklahoma City|scenario 1 (dwelling $100,000, deductible 1%)|frame</v>
      </c>
      <c r="J1144" s="34" t="n">
        <f aca="false" t="array" ref="J1144:J1144">MEDIAN(IF($I$4:$I$1803=I1144,$H$4:$H$1803))</f>
        <v>2742</v>
      </c>
      <c r="K1144" s="59" t="n">
        <f aca="false">H1144/J1144</f>
        <v>1.77060539752006</v>
      </c>
    </row>
    <row r="1145" customFormat="false" ht="15" hidden="false" customHeight="false" outlineLevel="0" collapsed="false">
      <c r="A1145" s="39" t="s">
        <v>912</v>
      </c>
      <c r="B1145" s="39" t="s">
        <v>880</v>
      </c>
      <c r="C1145" s="39" t="s">
        <v>899</v>
      </c>
      <c r="D1145" s="39" t="s">
        <v>914</v>
      </c>
      <c r="E1145" s="39"/>
      <c r="F1145" s="39" t="s">
        <v>915</v>
      </c>
      <c r="G1145" s="60"/>
      <c r="H1145" s="58" t="n">
        <v>4757</v>
      </c>
      <c r="I1145" s="39" t="str">
        <f aca="false">A1145&amp;"|"&amp;B1145&amp;"|"&amp;D1145&amp;"|"&amp;E1145&amp;F1145</f>
        <v>home|Oklahoma City|scenario 1 (dwelling $100,000, deductible 1%)|masonry</v>
      </c>
      <c r="J1145" s="34" t="n">
        <f aca="false" t="array" ref="J1145:J1145">MEDIAN(IF($I$4:$I$1803=I1145,$H$4:$H$1803))</f>
        <v>2754</v>
      </c>
      <c r="K1145" s="59" t="n">
        <f aca="false">H1145/J1145</f>
        <v>1.72730573710966</v>
      </c>
    </row>
    <row r="1146" customFormat="false" ht="15" hidden="false" customHeight="false" outlineLevel="0" collapsed="false">
      <c r="A1146" s="39" t="s">
        <v>912</v>
      </c>
      <c r="B1146" s="39" t="s">
        <v>880</v>
      </c>
      <c r="C1146" s="39" t="s">
        <v>899</v>
      </c>
      <c r="D1146" s="39" t="s">
        <v>916</v>
      </c>
      <c r="E1146" s="39"/>
      <c r="F1146" s="39" t="s">
        <v>133</v>
      </c>
      <c r="G1146" s="60"/>
      <c r="H1146" s="58" t="n">
        <v>6940</v>
      </c>
      <c r="I1146" s="39" t="str">
        <f aca="false">A1146&amp;"|"&amp;B1146&amp;"|"&amp;D1146&amp;"|"&amp;E1146&amp;F1146</f>
        <v>home|Oklahoma City|scenario 2 (dwelling $200,000, deductible 1%)|frame</v>
      </c>
      <c r="J1146" s="34" t="n">
        <f aca="false" t="array" ref="J1146:J1146">MEDIAN(IF($I$4:$I$1803=I1146,$H$4:$H$1803))</f>
        <v>4325</v>
      </c>
      <c r="K1146" s="59" t="n">
        <f aca="false">H1146/J1146</f>
        <v>1.60462427745665</v>
      </c>
    </row>
    <row r="1147" customFormat="false" ht="15" hidden="false" customHeight="false" outlineLevel="0" collapsed="false">
      <c r="A1147" s="39" t="s">
        <v>912</v>
      </c>
      <c r="B1147" s="39" t="s">
        <v>880</v>
      </c>
      <c r="C1147" s="39" t="s">
        <v>899</v>
      </c>
      <c r="D1147" s="39" t="s">
        <v>916</v>
      </c>
      <c r="E1147" s="39"/>
      <c r="F1147" s="39" t="s">
        <v>915</v>
      </c>
      <c r="G1147" s="60"/>
      <c r="H1147" s="58" t="n">
        <v>6800</v>
      </c>
      <c r="I1147" s="39" t="str">
        <f aca="false">A1147&amp;"|"&amp;B1147&amp;"|"&amp;D1147&amp;"|"&amp;E1147&amp;F1147</f>
        <v>home|Oklahoma City|scenario 2 (dwelling $200,000, deductible 1%)|masonry</v>
      </c>
      <c r="J1147" s="34" t="n">
        <f aca="false" t="array" ref="J1147:J1147">MEDIAN(IF($I$4:$I$1803=I1147,$H$4:$H$1803))</f>
        <v>4381</v>
      </c>
      <c r="K1147" s="59" t="n">
        <f aca="false">H1147/J1147</f>
        <v>1.55215704177129</v>
      </c>
    </row>
    <row r="1148" customFormat="false" ht="15" hidden="false" customHeight="false" outlineLevel="0" collapsed="false">
      <c r="A1148" s="39" t="s">
        <v>912</v>
      </c>
      <c r="B1148" s="39" t="s">
        <v>880</v>
      </c>
      <c r="C1148" s="39" t="s">
        <v>899</v>
      </c>
      <c r="D1148" s="39" t="s">
        <v>917</v>
      </c>
      <c r="E1148" s="39"/>
      <c r="F1148" s="39" t="s">
        <v>133</v>
      </c>
      <c r="G1148" s="60"/>
      <c r="H1148" s="58" t="n">
        <v>8156</v>
      </c>
      <c r="I1148" s="39" t="str">
        <f aca="false">A1148&amp;"|"&amp;B1148&amp;"|"&amp;D1148&amp;"|"&amp;E1148&amp;F1148</f>
        <v>home|Oklahoma City|scenario 3 (dwelling $300,000, deductible 1%)|frame</v>
      </c>
      <c r="J1148" s="34" t="n">
        <f aca="false" t="array" ref="J1148:J1148">MEDIAN(IF($I$4:$I$1803=I1148,$H$4:$H$1803))</f>
        <v>5727</v>
      </c>
      <c r="K1148" s="59" t="n">
        <f aca="false">H1148/J1148</f>
        <v>1.42413130784006</v>
      </c>
    </row>
    <row r="1149" customFormat="false" ht="15" hidden="false" customHeight="false" outlineLevel="0" collapsed="false">
      <c r="A1149" s="39" t="s">
        <v>912</v>
      </c>
      <c r="B1149" s="39" t="s">
        <v>880</v>
      </c>
      <c r="C1149" s="39" t="s">
        <v>899</v>
      </c>
      <c r="D1149" s="39" t="s">
        <v>917</v>
      </c>
      <c r="E1149" s="39"/>
      <c r="F1149" s="39" t="s">
        <v>915</v>
      </c>
      <c r="G1149" s="60"/>
      <c r="H1149" s="58" t="n">
        <v>7992</v>
      </c>
      <c r="I1149" s="39" t="str">
        <f aca="false">A1149&amp;"|"&amp;B1149&amp;"|"&amp;D1149&amp;"|"&amp;E1149&amp;F1149</f>
        <v>home|Oklahoma City|scenario 3 (dwelling $300,000, deductible 1%)|masonry</v>
      </c>
      <c r="J1149" s="34" t="n">
        <f aca="false" t="array" ref="J1149:J1149">MEDIAN(IF($I$4:$I$1803=I1149,$H$4:$H$1803))</f>
        <v>5959</v>
      </c>
      <c r="K1149" s="59" t="n">
        <f aca="false">H1149/J1149</f>
        <v>1.34116462493707</v>
      </c>
    </row>
    <row r="1150" customFormat="false" ht="15" hidden="false" customHeight="false" outlineLevel="0" collapsed="false">
      <c r="A1150" s="39" t="s">
        <v>912</v>
      </c>
      <c r="B1150" s="39" t="s">
        <v>880</v>
      </c>
      <c r="C1150" s="39" t="s">
        <v>899</v>
      </c>
      <c r="D1150" s="39" t="s">
        <v>918</v>
      </c>
      <c r="E1150" s="39"/>
      <c r="F1150" s="39" t="s">
        <v>133</v>
      </c>
      <c r="G1150" s="60"/>
      <c r="H1150" s="58" t="n">
        <v>9743</v>
      </c>
      <c r="I1150" s="39" t="str">
        <f aca="false">A1150&amp;"|"&amp;B1150&amp;"|"&amp;D1150&amp;"|"&amp;E1150&amp;F1150</f>
        <v>home|Oklahoma City|scenario 4 (dwelling $400,000, deductible 1%)|frame</v>
      </c>
      <c r="J1150" s="34" t="n">
        <f aca="false" t="array" ref="J1150:J1150">MEDIAN(IF($I$4:$I$1803=I1150,$H$4:$H$1803))</f>
        <v>6965.5</v>
      </c>
      <c r="K1150" s="59" t="n">
        <f aca="false">H1150/J1150</f>
        <v>1.39875098700739</v>
      </c>
    </row>
    <row r="1151" customFormat="false" ht="15" hidden="false" customHeight="false" outlineLevel="0" collapsed="false">
      <c r="A1151" s="39" t="s">
        <v>912</v>
      </c>
      <c r="B1151" s="39" t="s">
        <v>880</v>
      </c>
      <c r="C1151" s="39" t="s">
        <v>899</v>
      </c>
      <c r="D1151" s="39" t="s">
        <v>918</v>
      </c>
      <c r="E1151" s="39"/>
      <c r="F1151" s="39" t="s">
        <v>915</v>
      </c>
      <c r="G1151" s="60"/>
      <c r="H1151" s="58" t="n">
        <v>9432</v>
      </c>
      <c r="I1151" s="39" t="str">
        <f aca="false">A1151&amp;"|"&amp;B1151&amp;"|"&amp;D1151&amp;"|"&amp;E1151&amp;F1151</f>
        <v>home|Oklahoma City|scenario 4 (dwelling $400,000, deductible 1%)|masonry</v>
      </c>
      <c r="J1151" s="34" t="n">
        <f aca="false" t="array" ref="J1151:J1151">MEDIAN(IF($I$4:$I$1803=I1151,$H$4:$H$1803))</f>
        <v>7153</v>
      </c>
      <c r="K1151" s="59" t="n">
        <f aca="false">H1151/J1151</f>
        <v>1.31860757724032</v>
      </c>
    </row>
    <row r="1152" customFormat="false" ht="15" hidden="false" customHeight="false" outlineLevel="0" collapsed="false">
      <c r="A1152" s="39" t="s">
        <v>912</v>
      </c>
      <c r="B1152" s="39" t="s">
        <v>880</v>
      </c>
      <c r="C1152" s="39" t="s">
        <v>899</v>
      </c>
      <c r="D1152" s="39" t="s">
        <v>919</v>
      </c>
      <c r="E1152" s="39"/>
      <c r="F1152" s="39" t="s">
        <v>133</v>
      </c>
      <c r="G1152" s="60"/>
      <c r="H1152" s="58" t="n">
        <v>11040</v>
      </c>
      <c r="I1152" s="39" t="str">
        <f aca="false">A1152&amp;"|"&amp;B1152&amp;"|"&amp;D1152&amp;"|"&amp;E1152&amp;F1152</f>
        <v>home|Oklahoma City|scenario 5 (dwelling $500,000, deductible 1%)|frame</v>
      </c>
      <c r="J1152" s="34" t="n">
        <f aca="false" t="array" ref="J1152:J1152">MEDIAN(IF($I$4:$I$1803=I1152,$H$4:$H$1803))</f>
        <v>8254.5</v>
      </c>
      <c r="K1152" s="59" t="n">
        <f aca="false">H1152/J1152</f>
        <v>1.33745229874614</v>
      </c>
    </row>
    <row r="1153" customFormat="false" ht="15" hidden="false" customHeight="false" outlineLevel="0" collapsed="false">
      <c r="A1153" s="39" t="s">
        <v>912</v>
      </c>
      <c r="B1153" s="39" t="s">
        <v>880</v>
      </c>
      <c r="C1153" s="39" t="s">
        <v>899</v>
      </c>
      <c r="D1153" s="39" t="s">
        <v>919</v>
      </c>
      <c r="E1153" s="39"/>
      <c r="F1153" s="39" t="s">
        <v>915</v>
      </c>
      <c r="G1153" s="60"/>
      <c r="H1153" s="58" t="n">
        <v>10818</v>
      </c>
      <c r="I1153" s="39" t="str">
        <f aca="false">A1153&amp;"|"&amp;B1153&amp;"|"&amp;D1153&amp;"|"&amp;E1153&amp;F1153</f>
        <v>home|Oklahoma City|scenario 5 (dwelling $500,000, deductible 1%)|masonry</v>
      </c>
      <c r="J1153" s="34" t="n">
        <f aca="false" t="array" ref="J1153:J1153">MEDIAN(IF($I$4:$I$1803=I1153,$H$4:$H$1803))</f>
        <v>8121</v>
      </c>
      <c r="K1153" s="59" t="n">
        <f aca="false">H1153/J1153</f>
        <v>1.33210195788696</v>
      </c>
    </row>
    <row r="1154" customFormat="false" ht="15" hidden="false" customHeight="false" outlineLevel="0" collapsed="false">
      <c r="A1154" s="39" t="s">
        <v>912</v>
      </c>
      <c r="B1154" s="39" t="s">
        <v>880</v>
      </c>
      <c r="C1154" s="39" t="s">
        <v>900</v>
      </c>
      <c r="D1154" s="39" t="s">
        <v>914</v>
      </c>
      <c r="E1154" s="39"/>
      <c r="F1154" s="39" t="s">
        <v>133</v>
      </c>
      <c r="G1154" s="60"/>
      <c r="H1154" s="58" t="n">
        <v>2511</v>
      </c>
      <c r="I1154" s="39" t="str">
        <f aca="false">A1154&amp;"|"&amp;B1154&amp;"|"&amp;D1154&amp;"|"&amp;E1154&amp;F1154</f>
        <v>home|Oklahoma City|scenario 1 (dwelling $100,000, deductible 1%)|frame</v>
      </c>
      <c r="J1154" s="34" t="n">
        <f aca="false" t="array" ref="J1154:J1154">MEDIAN(IF($I$4:$I$1803=I1154,$H$4:$H$1803))</f>
        <v>2742</v>
      </c>
      <c r="K1154" s="59" t="n">
        <f aca="false">H1154/J1154</f>
        <v>0.915754923413567</v>
      </c>
    </row>
    <row r="1155" customFormat="false" ht="15" hidden="false" customHeight="false" outlineLevel="0" collapsed="false">
      <c r="A1155" s="39" t="s">
        <v>912</v>
      </c>
      <c r="B1155" s="39" t="s">
        <v>880</v>
      </c>
      <c r="C1155" s="39" t="s">
        <v>900</v>
      </c>
      <c r="D1155" s="39" t="s">
        <v>914</v>
      </c>
      <c r="E1155" s="39"/>
      <c r="F1155" s="39" t="s">
        <v>915</v>
      </c>
      <c r="G1155" s="60"/>
      <c r="H1155" s="58" t="n">
        <v>2465</v>
      </c>
      <c r="I1155" s="39" t="str">
        <f aca="false">A1155&amp;"|"&amp;B1155&amp;"|"&amp;D1155&amp;"|"&amp;E1155&amp;F1155</f>
        <v>home|Oklahoma City|scenario 1 (dwelling $100,000, deductible 1%)|masonry</v>
      </c>
      <c r="J1155" s="34" t="n">
        <f aca="false" t="array" ref="J1155:J1155">MEDIAN(IF($I$4:$I$1803=I1155,$H$4:$H$1803))</f>
        <v>2754</v>
      </c>
      <c r="K1155" s="59" t="n">
        <f aca="false">H1155/J1155</f>
        <v>0.895061728395062</v>
      </c>
    </row>
    <row r="1156" customFormat="false" ht="15" hidden="false" customHeight="false" outlineLevel="0" collapsed="false">
      <c r="A1156" s="39" t="s">
        <v>912</v>
      </c>
      <c r="B1156" s="39" t="s">
        <v>880</v>
      </c>
      <c r="C1156" s="39" t="s">
        <v>900</v>
      </c>
      <c r="D1156" s="39" t="s">
        <v>916</v>
      </c>
      <c r="E1156" s="39"/>
      <c r="F1156" s="39" t="s">
        <v>133</v>
      </c>
      <c r="G1156" s="60"/>
      <c r="H1156" s="58" t="n">
        <v>4333</v>
      </c>
      <c r="I1156" s="39" t="str">
        <f aca="false">A1156&amp;"|"&amp;B1156&amp;"|"&amp;D1156&amp;"|"&amp;E1156&amp;F1156</f>
        <v>home|Oklahoma City|scenario 2 (dwelling $200,000, deductible 1%)|frame</v>
      </c>
      <c r="J1156" s="34" t="n">
        <f aca="false" t="array" ref="J1156:J1156">MEDIAN(IF($I$4:$I$1803=I1156,$H$4:$H$1803))</f>
        <v>4325</v>
      </c>
      <c r="K1156" s="59" t="n">
        <f aca="false">H1156/J1156</f>
        <v>1.00184971098266</v>
      </c>
    </row>
    <row r="1157" customFormat="false" ht="15" hidden="false" customHeight="false" outlineLevel="0" collapsed="false">
      <c r="A1157" s="39" t="s">
        <v>912</v>
      </c>
      <c r="B1157" s="39" t="s">
        <v>880</v>
      </c>
      <c r="C1157" s="39" t="s">
        <v>900</v>
      </c>
      <c r="D1157" s="39" t="s">
        <v>916</v>
      </c>
      <c r="E1157" s="39"/>
      <c r="F1157" s="39" t="s">
        <v>915</v>
      </c>
      <c r="G1157" s="60"/>
      <c r="H1157" s="58" t="n">
        <v>4251</v>
      </c>
      <c r="I1157" s="39" t="str">
        <f aca="false">A1157&amp;"|"&amp;B1157&amp;"|"&amp;D1157&amp;"|"&amp;E1157&amp;F1157</f>
        <v>home|Oklahoma City|scenario 2 (dwelling $200,000, deductible 1%)|masonry</v>
      </c>
      <c r="J1157" s="34" t="n">
        <f aca="false" t="array" ref="J1157:J1157">MEDIAN(IF($I$4:$I$1803=I1157,$H$4:$H$1803))</f>
        <v>4381</v>
      </c>
      <c r="K1157" s="59" t="n">
        <f aca="false">H1157/J1157</f>
        <v>0.970326409495549</v>
      </c>
    </row>
    <row r="1158" customFormat="false" ht="15" hidden="false" customHeight="false" outlineLevel="0" collapsed="false">
      <c r="A1158" s="39" t="s">
        <v>912</v>
      </c>
      <c r="B1158" s="39" t="s">
        <v>880</v>
      </c>
      <c r="C1158" s="39" t="s">
        <v>900</v>
      </c>
      <c r="D1158" s="39" t="s">
        <v>917</v>
      </c>
      <c r="E1158" s="39"/>
      <c r="F1158" s="39" t="s">
        <v>133</v>
      </c>
      <c r="G1158" s="60"/>
      <c r="H1158" s="58" t="n">
        <v>6107</v>
      </c>
      <c r="I1158" s="39" t="str">
        <f aca="false">A1158&amp;"|"&amp;B1158&amp;"|"&amp;D1158&amp;"|"&amp;E1158&amp;F1158</f>
        <v>home|Oklahoma City|scenario 3 (dwelling $300,000, deductible 1%)|frame</v>
      </c>
      <c r="J1158" s="34" t="n">
        <f aca="false" t="array" ref="J1158:J1158">MEDIAN(IF($I$4:$I$1803=I1158,$H$4:$H$1803))</f>
        <v>5727</v>
      </c>
      <c r="K1158" s="59" t="n">
        <f aca="false">H1158/J1158</f>
        <v>1.06635236598568</v>
      </c>
    </row>
    <row r="1159" customFormat="false" ht="15" hidden="false" customHeight="false" outlineLevel="0" collapsed="false">
      <c r="A1159" s="39" t="s">
        <v>912</v>
      </c>
      <c r="B1159" s="39" t="s">
        <v>880</v>
      </c>
      <c r="C1159" s="39" t="s">
        <v>900</v>
      </c>
      <c r="D1159" s="39" t="s">
        <v>917</v>
      </c>
      <c r="E1159" s="39"/>
      <c r="F1159" s="39" t="s">
        <v>915</v>
      </c>
      <c r="G1159" s="60"/>
      <c r="H1159" s="58" t="n">
        <v>5990</v>
      </c>
      <c r="I1159" s="39" t="str">
        <f aca="false">A1159&amp;"|"&amp;B1159&amp;"|"&amp;D1159&amp;"|"&amp;E1159&amp;F1159</f>
        <v>home|Oklahoma City|scenario 3 (dwelling $300,000, deductible 1%)|masonry</v>
      </c>
      <c r="J1159" s="34" t="n">
        <f aca="false" t="array" ref="J1159:J1159">MEDIAN(IF($I$4:$I$1803=I1159,$H$4:$H$1803))</f>
        <v>5959</v>
      </c>
      <c r="K1159" s="59" t="n">
        <f aca="false">H1159/J1159</f>
        <v>1.00520221513677</v>
      </c>
    </row>
    <row r="1160" customFormat="false" ht="15" hidden="false" customHeight="false" outlineLevel="0" collapsed="false">
      <c r="A1160" s="39" t="s">
        <v>912</v>
      </c>
      <c r="B1160" s="39" t="s">
        <v>880</v>
      </c>
      <c r="C1160" s="39" t="s">
        <v>900</v>
      </c>
      <c r="D1160" s="39" t="s">
        <v>918</v>
      </c>
      <c r="E1160" s="39"/>
      <c r="F1160" s="39" t="s">
        <v>133</v>
      </c>
      <c r="G1160" s="60"/>
      <c r="H1160" s="58" t="n">
        <v>8024</v>
      </c>
      <c r="I1160" s="39" t="str">
        <f aca="false">A1160&amp;"|"&amp;B1160&amp;"|"&amp;D1160&amp;"|"&amp;E1160&amp;F1160</f>
        <v>home|Oklahoma City|scenario 4 (dwelling $400,000, deductible 1%)|frame</v>
      </c>
      <c r="J1160" s="34" t="n">
        <f aca="false" t="array" ref="J1160:J1160">MEDIAN(IF($I$4:$I$1803=I1160,$H$4:$H$1803))</f>
        <v>6965.5</v>
      </c>
      <c r="K1160" s="59" t="n">
        <f aca="false">H1160/J1160</f>
        <v>1.15196324743378</v>
      </c>
    </row>
    <row r="1161" customFormat="false" ht="15" hidden="false" customHeight="false" outlineLevel="0" collapsed="false">
      <c r="A1161" s="39" t="s">
        <v>912</v>
      </c>
      <c r="B1161" s="39" t="s">
        <v>880</v>
      </c>
      <c r="C1161" s="39" t="s">
        <v>900</v>
      </c>
      <c r="D1161" s="39" t="s">
        <v>918</v>
      </c>
      <c r="E1161" s="39"/>
      <c r="F1161" s="39" t="s">
        <v>915</v>
      </c>
      <c r="G1161" s="60"/>
      <c r="H1161" s="58" t="n">
        <v>7870</v>
      </c>
      <c r="I1161" s="39" t="str">
        <f aca="false">A1161&amp;"|"&amp;B1161&amp;"|"&amp;D1161&amp;"|"&amp;E1161&amp;F1161</f>
        <v>home|Oklahoma City|scenario 4 (dwelling $400,000, deductible 1%)|masonry</v>
      </c>
      <c r="J1161" s="34" t="n">
        <f aca="false" t="array" ref="J1161:J1161">MEDIAN(IF($I$4:$I$1803=I1161,$H$4:$H$1803))</f>
        <v>7153</v>
      </c>
      <c r="K1161" s="59" t="n">
        <f aca="false">H1161/J1161</f>
        <v>1.10023766251922</v>
      </c>
    </row>
    <row r="1162" customFormat="false" ht="15" hidden="false" customHeight="false" outlineLevel="0" collapsed="false">
      <c r="A1162" s="39" t="s">
        <v>912</v>
      </c>
      <c r="B1162" s="39" t="s">
        <v>880</v>
      </c>
      <c r="C1162" s="39" t="s">
        <v>900</v>
      </c>
      <c r="D1162" s="39" t="s">
        <v>919</v>
      </c>
      <c r="E1162" s="39"/>
      <c r="F1162" s="39" t="s">
        <v>133</v>
      </c>
      <c r="G1162" s="60"/>
      <c r="H1162" s="58" t="n">
        <v>9479</v>
      </c>
      <c r="I1162" s="39" t="str">
        <f aca="false">A1162&amp;"|"&amp;B1162&amp;"|"&amp;D1162&amp;"|"&amp;E1162&amp;F1162</f>
        <v>home|Oklahoma City|scenario 5 (dwelling $500,000, deductible 1%)|frame</v>
      </c>
      <c r="J1162" s="34" t="n">
        <f aca="false" t="array" ref="J1162:J1162">MEDIAN(IF($I$4:$I$1803=I1162,$H$4:$H$1803))</f>
        <v>8254.5</v>
      </c>
      <c r="K1162" s="59" t="n">
        <f aca="false">H1162/J1162</f>
        <v>1.14834332788176</v>
      </c>
    </row>
    <row r="1163" customFormat="false" ht="15" hidden="false" customHeight="false" outlineLevel="0" collapsed="false">
      <c r="A1163" s="39" t="s">
        <v>912</v>
      </c>
      <c r="B1163" s="39" t="s">
        <v>880</v>
      </c>
      <c r="C1163" s="39" t="s">
        <v>900</v>
      </c>
      <c r="D1163" s="39" t="s">
        <v>919</v>
      </c>
      <c r="E1163" s="39"/>
      <c r="F1163" s="39" t="s">
        <v>915</v>
      </c>
      <c r="G1163" s="60"/>
      <c r="H1163" s="58" t="n">
        <v>9295</v>
      </c>
      <c r="I1163" s="39" t="str">
        <f aca="false">A1163&amp;"|"&amp;B1163&amp;"|"&amp;D1163&amp;"|"&amp;E1163&amp;F1163</f>
        <v>home|Oklahoma City|scenario 5 (dwelling $500,000, deductible 1%)|masonry</v>
      </c>
      <c r="J1163" s="34" t="n">
        <f aca="false" t="array" ref="J1163:J1163">MEDIAN(IF($I$4:$I$1803=I1163,$H$4:$H$1803))</f>
        <v>8121</v>
      </c>
      <c r="K1163" s="59" t="n">
        <f aca="false">H1163/J1163</f>
        <v>1.14456347740426</v>
      </c>
    </row>
    <row r="1164" customFormat="false" ht="15" hidden="false" customHeight="false" outlineLevel="0" collapsed="false">
      <c r="A1164" s="39" t="s">
        <v>912</v>
      </c>
      <c r="B1164" s="39" t="s">
        <v>880</v>
      </c>
      <c r="C1164" s="39" t="s">
        <v>932</v>
      </c>
      <c r="D1164" s="39" t="s">
        <v>914</v>
      </c>
      <c r="E1164" s="39"/>
      <c r="F1164" s="39" t="s">
        <v>133</v>
      </c>
      <c r="G1164" s="60"/>
      <c r="H1164" s="58" t="n">
        <v>3687</v>
      </c>
      <c r="I1164" s="39" t="str">
        <f aca="false">A1164&amp;"|"&amp;B1164&amp;"|"&amp;D1164&amp;"|"&amp;E1164&amp;F1164</f>
        <v>home|Oklahoma City|scenario 1 (dwelling $100,000, deductible 1%)|frame</v>
      </c>
      <c r="J1164" s="34" t="n">
        <f aca="false" t="array" ref="J1164:J1164">MEDIAN(IF($I$4:$I$1803=I1164,$H$4:$H$1803))</f>
        <v>2742</v>
      </c>
      <c r="K1164" s="59" t="n">
        <f aca="false">H1164/J1164</f>
        <v>1.34463894967177</v>
      </c>
    </row>
    <row r="1165" customFormat="false" ht="15" hidden="false" customHeight="false" outlineLevel="0" collapsed="false">
      <c r="A1165" s="39" t="s">
        <v>912</v>
      </c>
      <c r="B1165" s="39" t="s">
        <v>880</v>
      </c>
      <c r="C1165" s="39" t="s">
        <v>932</v>
      </c>
      <c r="D1165" s="39" t="s">
        <v>914</v>
      </c>
      <c r="E1165" s="39"/>
      <c r="F1165" s="39" t="s">
        <v>915</v>
      </c>
      <c r="G1165" s="60"/>
      <c r="H1165" s="58" t="n">
        <v>3271</v>
      </c>
      <c r="I1165" s="39" t="str">
        <f aca="false">A1165&amp;"|"&amp;B1165&amp;"|"&amp;D1165&amp;"|"&amp;E1165&amp;F1165</f>
        <v>home|Oklahoma City|scenario 1 (dwelling $100,000, deductible 1%)|masonry</v>
      </c>
      <c r="J1165" s="34" t="n">
        <f aca="false" t="array" ref="J1165:J1165">MEDIAN(IF($I$4:$I$1803=I1165,$H$4:$H$1803))</f>
        <v>2754</v>
      </c>
      <c r="K1165" s="59" t="n">
        <f aca="false">H1165/J1165</f>
        <v>1.1877269426289</v>
      </c>
    </row>
    <row r="1166" customFormat="false" ht="15" hidden="false" customHeight="false" outlineLevel="0" collapsed="false">
      <c r="A1166" s="39" t="s">
        <v>912</v>
      </c>
      <c r="B1166" s="39" t="s">
        <v>880</v>
      </c>
      <c r="C1166" s="39" t="s">
        <v>932</v>
      </c>
      <c r="D1166" s="39" t="s">
        <v>916</v>
      </c>
      <c r="E1166" s="39"/>
      <c r="F1166" s="39" t="s">
        <v>133</v>
      </c>
      <c r="G1166" s="60"/>
      <c r="H1166" s="58" t="n">
        <v>5609</v>
      </c>
      <c r="I1166" s="39" t="str">
        <f aca="false">A1166&amp;"|"&amp;B1166&amp;"|"&amp;D1166&amp;"|"&amp;E1166&amp;F1166</f>
        <v>home|Oklahoma City|scenario 2 (dwelling $200,000, deductible 1%)|frame</v>
      </c>
      <c r="J1166" s="34" t="n">
        <f aca="false" t="array" ref="J1166:J1166">MEDIAN(IF($I$4:$I$1803=I1166,$H$4:$H$1803))</f>
        <v>4325</v>
      </c>
      <c r="K1166" s="59" t="n">
        <f aca="false">H1166/J1166</f>
        <v>1.29687861271676</v>
      </c>
    </row>
    <row r="1167" customFormat="false" ht="15" hidden="false" customHeight="false" outlineLevel="0" collapsed="false">
      <c r="A1167" s="39" t="s">
        <v>912</v>
      </c>
      <c r="B1167" s="39" t="s">
        <v>880</v>
      </c>
      <c r="C1167" s="39" t="s">
        <v>932</v>
      </c>
      <c r="D1167" s="39" t="s">
        <v>916</v>
      </c>
      <c r="E1167" s="39"/>
      <c r="F1167" s="39" t="s">
        <v>915</v>
      </c>
      <c r="G1167" s="60"/>
      <c r="H1167" s="58" t="n">
        <v>4903</v>
      </c>
      <c r="I1167" s="39" t="str">
        <f aca="false">A1167&amp;"|"&amp;B1167&amp;"|"&amp;D1167&amp;"|"&amp;E1167&amp;F1167</f>
        <v>home|Oklahoma City|scenario 2 (dwelling $200,000, deductible 1%)|masonry</v>
      </c>
      <c r="J1167" s="34" t="n">
        <f aca="false" t="array" ref="J1167:J1167">MEDIAN(IF($I$4:$I$1803=I1167,$H$4:$H$1803))</f>
        <v>4381</v>
      </c>
      <c r="K1167" s="59" t="n">
        <f aca="false">H1167/J1167</f>
        <v>1.1191508787948</v>
      </c>
    </row>
    <row r="1168" customFormat="false" ht="15" hidden="false" customHeight="false" outlineLevel="0" collapsed="false">
      <c r="A1168" s="39" t="s">
        <v>912</v>
      </c>
      <c r="B1168" s="39" t="s">
        <v>880</v>
      </c>
      <c r="C1168" s="39" t="s">
        <v>932</v>
      </c>
      <c r="D1168" s="39" t="s">
        <v>917</v>
      </c>
      <c r="E1168" s="39"/>
      <c r="F1168" s="39" t="s">
        <v>133</v>
      </c>
      <c r="G1168" s="60"/>
      <c r="H1168" s="58" t="n">
        <v>6972</v>
      </c>
      <c r="I1168" s="39" t="str">
        <f aca="false">A1168&amp;"|"&amp;B1168&amp;"|"&amp;D1168&amp;"|"&amp;E1168&amp;F1168</f>
        <v>home|Oklahoma City|scenario 3 (dwelling $300,000, deductible 1%)|frame</v>
      </c>
      <c r="J1168" s="34" t="n">
        <f aca="false" t="array" ref="J1168:J1168">MEDIAN(IF($I$4:$I$1803=I1168,$H$4:$H$1803))</f>
        <v>5727</v>
      </c>
      <c r="K1168" s="59" t="n">
        <f aca="false">H1168/J1168</f>
        <v>1.21739130434783</v>
      </c>
    </row>
    <row r="1169" customFormat="false" ht="15" hidden="false" customHeight="false" outlineLevel="0" collapsed="false">
      <c r="A1169" s="39" t="s">
        <v>912</v>
      </c>
      <c r="B1169" s="39" t="s">
        <v>880</v>
      </c>
      <c r="C1169" s="39" t="s">
        <v>932</v>
      </c>
      <c r="D1169" s="39" t="s">
        <v>917</v>
      </c>
      <c r="E1169" s="39"/>
      <c r="F1169" s="39" t="s">
        <v>915</v>
      </c>
      <c r="G1169" s="60"/>
      <c r="H1169" s="58" t="n">
        <v>6063</v>
      </c>
      <c r="I1169" s="39" t="str">
        <f aca="false">A1169&amp;"|"&amp;B1169&amp;"|"&amp;D1169&amp;"|"&amp;E1169&amp;F1169</f>
        <v>home|Oklahoma City|scenario 3 (dwelling $300,000, deductible 1%)|masonry</v>
      </c>
      <c r="J1169" s="34" t="n">
        <f aca="false" t="array" ref="J1169:J1169">MEDIAN(IF($I$4:$I$1803=I1169,$H$4:$H$1803))</f>
        <v>5959</v>
      </c>
      <c r="K1169" s="59" t="n">
        <f aca="false">H1169/J1169</f>
        <v>1.0174525927169</v>
      </c>
    </row>
    <row r="1170" customFormat="false" ht="15" hidden="false" customHeight="false" outlineLevel="0" collapsed="false">
      <c r="A1170" s="39" t="s">
        <v>912</v>
      </c>
      <c r="B1170" s="39" t="s">
        <v>880</v>
      </c>
      <c r="C1170" s="39" t="s">
        <v>932</v>
      </c>
      <c r="D1170" s="39" t="s">
        <v>918</v>
      </c>
      <c r="E1170" s="39"/>
      <c r="F1170" s="39" t="s">
        <v>133</v>
      </c>
      <c r="G1170" s="60"/>
      <c r="H1170" s="58" t="n">
        <v>8144</v>
      </c>
      <c r="I1170" s="39" t="str">
        <f aca="false">A1170&amp;"|"&amp;B1170&amp;"|"&amp;D1170&amp;"|"&amp;E1170&amp;F1170</f>
        <v>home|Oklahoma City|scenario 4 (dwelling $400,000, deductible 1%)|frame</v>
      </c>
      <c r="J1170" s="34" t="n">
        <f aca="false" t="array" ref="J1170:J1170">MEDIAN(IF($I$4:$I$1803=I1170,$H$4:$H$1803))</f>
        <v>6965.5</v>
      </c>
      <c r="K1170" s="59" t="n">
        <f aca="false">H1170/J1170</f>
        <v>1.16919101284904</v>
      </c>
    </row>
    <row r="1171" customFormat="false" ht="15" hidden="false" customHeight="false" outlineLevel="0" collapsed="false">
      <c r="A1171" s="39" t="s">
        <v>912</v>
      </c>
      <c r="B1171" s="39" t="s">
        <v>880</v>
      </c>
      <c r="C1171" s="39" t="s">
        <v>932</v>
      </c>
      <c r="D1171" s="39" t="s">
        <v>918</v>
      </c>
      <c r="E1171" s="39"/>
      <c r="F1171" s="39" t="s">
        <v>915</v>
      </c>
      <c r="G1171" s="60"/>
      <c r="H1171" s="58" t="n">
        <v>7064</v>
      </c>
      <c r="I1171" s="39" t="str">
        <f aca="false">A1171&amp;"|"&amp;B1171&amp;"|"&amp;D1171&amp;"|"&amp;E1171&amp;F1171</f>
        <v>home|Oklahoma City|scenario 4 (dwelling $400,000, deductible 1%)|masonry</v>
      </c>
      <c r="J1171" s="34" t="n">
        <f aca="false" t="array" ref="J1171:J1171">MEDIAN(IF($I$4:$I$1803=I1171,$H$4:$H$1803))</f>
        <v>7153</v>
      </c>
      <c r="K1171" s="59" t="n">
        <f aca="false">H1171/J1171</f>
        <v>0.987557668111282</v>
      </c>
    </row>
    <row r="1172" customFormat="false" ht="15" hidden="false" customHeight="false" outlineLevel="0" collapsed="false">
      <c r="A1172" s="39" t="s">
        <v>912</v>
      </c>
      <c r="B1172" s="39" t="s">
        <v>880</v>
      </c>
      <c r="C1172" s="39" t="s">
        <v>932</v>
      </c>
      <c r="D1172" s="39" t="s">
        <v>919</v>
      </c>
      <c r="E1172" s="39"/>
      <c r="F1172" s="39" t="s">
        <v>133</v>
      </c>
      <c r="G1172" s="60"/>
      <c r="H1172" s="58" t="n">
        <v>9143</v>
      </c>
      <c r="I1172" s="39" t="str">
        <f aca="false">A1172&amp;"|"&amp;B1172&amp;"|"&amp;D1172&amp;"|"&amp;E1172&amp;F1172</f>
        <v>home|Oklahoma City|scenario 5 (dwelling $500,000, deductible 1%)|frame</v>
      </c>
      <c r="J1172" s="34" t="n">
        <f aca="false" t="array" ref="J1172:J1172">MEDIAN(IF($I$4:$I$1803=I1172,$H$4:$H$1803))</f>
        <v>8254.5</v>
      </c>
      <c r="K1172" s="59" t="n">
        <f aca="false">H1172/J1172</f>
        <v>1.10763825791992</v>
      </c>
    </row>
    <row r="1173" customFormat="false" ht="15" hidden="false" customHeight="false" outlineLevel="0" collapsed="false">
      <c r="A1173" s="39" t="s">
        <v>912</v>
      </c>
      <c r="B1173" s="39" t="s">
        <v>880</v>
      </c>
      <c r="C1173" s="39" t="s">
        <v>932</v>
      </c>
      <c r="D1173" s="39" t="s">
        <v>919</v>
      </c>
      <c r="E1173" s="39"/>
      <c r="F1173" s="39" t="s">
        <v>915</v>
      </c>
      <c r="G1173" s="60"/>
      <c r="H1173" s="58" t="n">
        <v>7920</v>
      </c>
      <c r="I1173" s="39" t="str">
        <f aca="false">A1173&amp;"|"&amp;B1173&amp;"|"&amp;D1173&amp;"|"&amp;E1173&amp;F1173</f>
        <v>home|Oklahoma City|scenario 5 (dwelling $500,000, deductible 1%)|masonry</v>
      </c>
      <c r="J1173" s="34" t="n">
        <f aca="false" t="array" ref="J1173:J1173">MEDIAN(IF($I$4:$I$1803=I1173,$H$4:$H$1803))</f>
        <v>8121</v>
      </c>
      <c r="K1173" s="59" t="n">
        <f aca="false">H1173/J1173</f>
        <v>0.975249353527891</v>
      </c>
    </row>
    <row r="1174" customFormat="false" ht="15" hidden="false" customHeight="false" outlineLevel="0" collapsed="false">
      <c r="A1174" s="39" t="s">
        <v>912</v>
      </c>
      <c r="B1174" s="39" t="s">
        <v>880</v>
      </c>
      <c r="C1174" s="39" t="s">
        <v>933</v>
      </c>
      <c r="D1174" s="39" t="s">
        <v>914</v>
      </c>
      <c r="E1174" s="39"/>
      <c r="F1174" s="39" t="s">
        <v>133</v>
      </c>
      <c r="G1174" s="60"/>
      <c r="H1174" s="58" t="n">
        <v>3025</v>
      </c>
      <c r="I1174" s="39" t="str">
        <f aca="false">A1174&amp;"|"&amp;B1174&amp;"|"&amp;D1174&amp;"|"&amp;E1174&amp;F1174</f>
        <v>home|Oklahoma City|scenario 1 (dwelling $100,000, deductible 1%)|frame</v>
      </c>
      <c r="J1174" s="34" t="n">
        <f aca="false" t="array" ref="J1174:J1174">MEDIAN(IF($I$4:$I$1803=I1174,$H$4:$H$1803))</f>
        <v>2742</v>
      </c>
      <c r="K1174" s="59" t="n">
        <f aca="false">H1174/J1174</f>
        <v>1.10320933625091</v>
      </c>
    </row>
    <row r="1175" customFormat="false" ht="15" hidden="false" customHeight="false" outlineLevel="0" collapsed="false">
      <c r="A1175" s="39" t="s">
        <v>912</v>
      </c>
      <c r="B1175" s="39" t="s">
        <v>880</v>
      </c>
      <c r="C1175" s="39" t="s">
        <v>933</v>
      </c>
      <c r="D1175" s="39" t="s">
        <v>914</v>
      </c>
      <c r="E1175" s="39"/>
      <c r="F1175" s="39" t="s">
        <v>915</v>
      </c>
      <c r="G1175" s="60"/>
      <c r="H1175" s="58" t="n">
        <v>3136</v>
      </c>
      <c r="I1175" s="39" t="str">
        <f aca="false">A1175&amp;"|"&amp;B1175&amp;"|"&amp;D1175&amp;"|"&amp;E1175&amp;F1175</f>
        <v>home|Oklahoma City|scenario 1 (dwelling $100,000, deductible 1%)|masonry</v>
      </c>
      <c r="J1175" s="34" t="n">
        <f aca="false" t="array" ref="J1175:J1175">MEDIAN(IF($I$4:$I$1803=I1175,$H$4:$H$1803))</f>
        <v>2754</v>
      </c>
      <c r="K1175" s="59" t="n">
        <f aca="false">H1175/J1175</f>
        <v>1.13870733478577</v>
      </c>
    </row>
    <row r="1176" customFormat="false" ht="15" hidden="false" customHeight="false" outlineLevel="0" collapsed="false">
      <c r="A1176" s="39" t="s">
        <v>912</v>
      </c>
      <c r="B1176" s="39" t="s">
        <v>880</v>
      </c>
      <c r="C1176" s="39" t="s">
        <v>933</v>
      </c>
      <c r="D1176" s="39" t="s">
        <v>916</v>
      </c>
      <c r="E1176" s="39"/>
      <c r="F1176" s="39" t="s">
        <v>133</v>
      </c>
      <c r="G1176" s="60"/>
      <c r="H1176" s="58" t="n">
        <v>4456</v>
      </c>
      <c r="I1176" s="39" t="str">
        <f aca="false">A1176&amp;"|"&amp;B1176&amp;"|"&amp;D1176&amp;"|"&amp;E1176&amp;F1176</f>
        <v>home|Oklahoma City|scenario 2 (dwelling $200,000, deductible 1%)|frame</v>
      </c>
      <c r="J1176" s="34" t="n">
        <f aca="false" t="array" ref="J1176:J1176">MEDIAN(IF($I$4:$I$1803=I1176,$H$4:$H$1803))</f>
        <v>4325</v>
      </c>
      <c r="K1176" s="59" t="n">
        <f aca="false">H1176/J1176</f>
        <v>1.03028901734104</v>
      </c>
    </row>
    <row r="1177" customFormat="false" ht="15" hidden="false" customHeight="false" outlineLevel="0" collapsed="false">
      <c r="A1177" s="39" t="s">
        <v>912</v>
      </c>
      <c r="B1177" s="39" t="s">
        <v>880</v>
      </c>
      <c r="C1177" s="39" t="s">
        <v>933</v>
      </c>
      <c r="D1177" s="39" t="s">
        <v>916</v>
      </c>
      <c r="E1177" s="39"/>
      <c r="F1177" s="39" t="s">
        <v>915</v>
      </c>
      <c r="G1177" s="60"/>
      <c r="H1177" s="58" t="n">
        <v>4657</v>
      </c>
      <c r="I1177" s="39" t="str">
        <f aca="false">A1177&amp;"|"&amp;B1177&amp;"|"&amp;D1177&amp;"|"&amp;E1177&amp;F1177</f>
        <v>home|Oklahoma City|scenario 2 (dwelling $200,000, deductible 1%)|masonry</v>
      </c>
      <c r="J1177" s="34" t="n">
        <f aca="false" t="array" ref="J1177:J1177">MEDIAN(IF($I$4:$I$1803=I1177,$H$4:$H$1803))</f>
        <v>4381</v>
      </c>
      <c r="K1177" s="59" t="n">
        <f aca="false">H1177/J1177</f>
        <v>1.06299931522483</v>
      </c>
    </row>
    <row r="1178" customFormat="false" ht="15" hidden="false" customHeight="false" outlineLevel="0" collapsed="false">
      <c r="A1178" s="39" t="s">
        <v>912</v>
      </c>
      <c r="B1178" s="39" t="s">
        <v>880</v>
      </c>
      <c r="C1178" s="39" t="s">
        <v>933</v>
      </c>
      <c r="D1178" s="39" t="s">
        <v>917</v>
      </c>
      <c r="E1178" s="39"/>
      <c r="F1178" s="39" t="s">
        <v>133</v>
      </c>
      <c r="G1178" s="60"/>
      <c r="H1178" s="58" t="n">
        <v>5807</v>
      </c>
      <c r="I1178" s="39" t="str">
        <f aca="false">A1178&amp;"|"&amp;B1178&amp;"|"&amp;D1178&amp;"|"&amp;E1178&amp;F1178</f>
        <v>home|Oklahoma City|scenario 3 (dwelling $300,000, deductible 1%)|frame</v>
      </c>
      <c r="J1178" s="34" t="n">
        <f aca="false" t="array" ref="J1178:J1178">MEDIAN(IF($I$4:$I$1803=I1178,$H$4:$H$1803))</f>
        <v>5727</v>
      </c>
      <c r="K1178" s="59" t="n">
        <f aca="false">H1178/J1178</f>
        <v>1.01396891915488</v>
      </c>
    </row>
    <row r="1179" customFormat="false" ht="15" hidden="false" customHeight="false" outlineLevel="0" collapsed="false">
      <c r="A1179" s="39" t="s">
        <v>912</v>
      </c>
      <c r="B1179" s="39" t="s">
        <v>880</v>
      </c>
      <c r="C1179" s="39" t="s">
        <v>933</v>
      </c>
      <c r="D1179" s="39" t="s">
        <v>917</v>
      </c>
      <c r="E1179" s="39"/>
      <c r="F1179" s="39" t="s">
        <v>915</v>
      </c>
      <c r="G1179" s="60"/>
      <c r="H1179" s="58" t="n">
        <v>6097</v>
      </c>
      <c r="I1179" s="39" t="str">
        <f aca="false">A1179&amp;"|"&amp;B1179&amp;"|"&amp;D1179&amp;"|"&amp;E1179&amp;F1179</f>
        <v>home|Oklahoma City|scenario 3 (dwelling $300,000, deductible 1%)|masonry</v>
      </c>
      <c r="J1179" s="34" t="n">
        <f aca="false" t="array" ref="J1179:J1179">MEDIAN(IF($I$4:$I$1803=I1179,$H$4:$H$1803))</f>
        <v>5959</v>
      </c>
      <c r="K1179" s="59" t="n">
        <f aca="false">H1179/J1179</f>
        <v>1.02315824802819</v>
      </c>
    </row>
    <row r="1180" customFormat="false" ht="15" hidden="false" customHeight="false" outlineLevel="0" collapsed="false">
      <c r="A1180" s="39" t="s">
        <v>912</v>
      </c>
      <c r="B1180" s="39" t="s">
        <v>880</v>
      </c>
      <c r="C1180" s="39" t="s">
        <v>933</v>
      </c>
      <c r="D1180" s="39" t="s">
        <v>918</v>
      </c>
      <c r="E1180" s="39"/>
      <c r="F1180" s="39" t="s">
        <v>133</v>
      </c>
      <c r="G1180" s="60"/>
      <c r="H1180" s="58" t="n">
        <v>7054</v>
      </c>
      <c r="I1180" s="39" t="str">
        <f aca="false">A1180&amp;"|"&amp;B1180&amp;"|"&amp;D1180&amp;"|"&amp;E1180&amp;F1180</f>
        <v>home|Oklahoma City|scenario 4 (dwelling $400,000, deductible 1%)|frame</v>
      </c>
      <c r="J1180" s="34" t="n">
        <f aca="false" t="array" ref="J1180:J1180">MEDIAN(IF($I$4:$I$1803=I1180,$H$4:$H$1803))</f>
        <v>6965.5</v>
      </c>
      <c r="K1180" s="59" t="n">
        <f aca="false">H1180/J1180</f>
        <v>1.01270547699376</v>
      </c>
    </row>
    <row r="1181" customFormat="false" ht="15" hidden="false" customHeight="false" outlineLevel="0" collapsed="false">
      <c r="A1181" s="39" t="s">
        <v>912</v>
      </c>
      <c r="B1181" s="39" t="s">
        <v>880</v>
      </c>
      <c r="C1181" s="39" t="s">
        <v>933</v>
      </c>
      <c r="D1181" s="39" t="s">
        <v>918</v>
      </c>
      <c r="E1181" s="39"/>
      <c r="F1181" s="39" t="s">
        <v>915</v>
      </c>
      <c r="G1181" s="60"/>
      <c r="H1181" s="58" t="n">
        <v>7432</v>
      </c>
      <c r="I1181" s="39" t="str">
        <f aca="false">A1181&amp;"|"&amp;B1181&amp;"|"&amp;D1181&amp;"|"&amp;E1181&amp;F1181</f>
        <v>home|Oklahoma City|scenario 4 (dwelling $400,000, deductible 1%)|masonry</v>
      </c>
      <c r="J1181" s="34" t="n">
        <f aca="false" t="array" ref="J1181:J1181">MEDIAN(IF($I$4:$I$1803=I1181,$H$4:$H$1803))</f>
        <v>7153</v>
      </c>
      <c r="K1181" s="59" t="n">
        <f aca="false">H1181/J1181</f>
        <v>1.0390046134489</v>
      </c>
    </row>
    <row r="1182" customFormat="false" ht="15" hidden="false" customHeight="false" outlineLevel="0" collapsed="false">
      <c r="A1182" s="39" t="s">
        <v>912</v>
      </c>
      <c r="B1182" s="39" t="s">
        <v>880</v>
      </c>
      <c r="C1182" s="39" t="s">
        <v>933</v>
      </c>
      <c r="D1182" s="39" t="s">
        <v>919</v>
      </c>
      <c r="E1182" s="39"/>
      <c r="F1182" s="39" t="s">
        <v>133</v>
      </c>
      <c r="G1182" s="60"/>
      <c r="H1182" s="58" t="n">
        <v>8056</v>
      </c>
      <c r="I1182" s="39" t="str">
        <f aca="false">A1182&amp;"|"&amp;B1182&amp;"|"&amp;D1182&amp;"|"&amp;E1182&amp;F1182</f>
        <v>home|Oklahoma City|scenario 5 (dwelling $500,000, deductible 1%)|frame</v>
      </c>
      <c r="J1182" s="34" t="n">
        <f aca="false" t="array" ref="J1182:J1182">MEDIAN(IF($I$4:$I$1803=I1182,$H$4:$H$1803))</f>
        <v>8254.5</v>
      </c>
      <c r="K1182" s="59" t="n">
        <f aca="false">H1182/J1182</f>
        <v>0.975952510751711</v>
      </c>
    </row>
    <row r="1183" customFormat="false" ht="15" hidden="false" customHeight="false" outlineLevel="0" collapsed="false">
      <c r="A1183" s="39" t="s">
        <v>912</v>
      </c>
      <c r="B1183" s="39" t="s">
        <v>880</v>
      </c>
      <c r="C1183" s="39" t="s">
        <v>933</v>
      </c>
      <c r="D1183" s="39" t="s">
        <v>919</v>
      </c>
      <c r="E1183" s="39"/>
      <c r="F1183" s="39" t="s">
        <v>915</v>
      </c>
      <c r="G1183" s="60"/>
      <c r="H1183" s="58" t="n">
        <v>8522</v>
      </c>
      <c r="I1183" s="39" t="str">
        <f aca="false">A1183&amp;"|"&amp;B1183&amp;"|"&amp;D1183&amp;"|"&amp;E1183&amp;F1183</f>
        <v>home|Oklahoma City|scenario 5 (dwelling $500,000, deductible 1%)|masonry</v>
      </c>
      <c r="J1183" s="34" t="n">
        <f aca="false" t="array" ref="J1183:J1183">MEDIAN(IF($I$4:$I$1803=I1183,$H$4:$H$1803))</f>
        <v>8121</v>
      </c>
      <c r="K1183" s="59" t="n">
        <f aca="false">H1183/J1183</f>
        <v>1.04937815539958</v>
      </c>
    </row>
    <row r="1184" customFormat="false" ht="15" hidden="false" customHeight="false" outlineLevel="0" collapsed="false">
      <c r="A1184" s="39" t="s">
        <v>912</v>
      </c>
      <c r="B1184" s="39" t="s">
        <v>880</v>
      </c>
      <c r="C1184" s="39" t="s">
        <v>934</v>
      </c>
      <c r="D1184" s="39" t="s">
        <v>914</v>
      </c>
      <c r="E1184" s="39"/>
      <c r="F1184" s="39" t="s">
        <v>133</v>
      </c>
      <c r="G1184" s="60"/>
      <c r="H1184" s="58" t="n">
        <v>2913</v>
      </c>
      <c r="I1184" s="39" t="str">
        <f aca="false">A1184&amp;"|"&amp;B1184&amp;"|"&amp;D1184&amp;"|"&amp;E1184&amp;F1184</f>
        <v>home|Oklahoma City|scenario 1 (dwelling $100,000, deductible 1%)|frame</v>
      </c>
      <c r="J1184" s="34" t="n">
        <f aca="false" t="array" ref="J1184:J1184">MEDIAN(IF($I$4:$I$1803=I1184,$H$4:$H$1803))</f>
        <v>2742</v>
      </c>
      <c r="K1184" s="59" t="n">
        <f aca="false">H1184/J1184</f>
        <v>1.06236323851204</v>
      </c>
    </row>
    <row r="1185" customFormat="false" ht="15" hidden="false" customHeight="false" outlineLevel="0" collapsed="false">
      <c r="A1185" s="39" t="s">
        <v>912</v>
      </c>
      <c r="B1185" s="39" t="s">
        <v>880</v>
      </c>
      <c r="C1185" s="39" t="s">
        <v>934</v>
      </c>
      <c r="D1185" s="39" t="s">
        <v>914</v>
      </c>
      <c r="E1185" s="39"/>
      <c r="F1185" s="39" t="s">
        <v>915</v>
      </c>
      <c r="G1185" s="60"/>
      <c r="H1185" s="58" t="n">
        <v>3019</v>
      </c>
      <c r="I1185" s="39" t="str">
        <f aca="false">A1185&amp;"|"&amp;B1185&amp;"|"&amp;D1185&amp;"|"&amp;E1185&amp;F1185</f>
        <v>home|Oklahoma City|scenario 1 (dwelling $100,000, deductible 1%)|masonry</v>
      </c>
      <c r="J1185" s="34" t="n">
        <f aca="false" t="array" ref="J1185:J1185">MEDIAN(IF($I$4:$I$1803=I1185,$H$4:$H$1803))</f>
        <v>2754</v>
      </c>
      <c r="K1185" s="59" t="n">
        <f aca="false">H1185/J1185</f>
        <v>1.09622367465505</v>
      </c>
    </row>
    <row r="1186" customFormat="false" ht="15" hidden="false" customHeight="false" outlineLevel="0" collapsed="false">
      <c r="A1186" s="39" t="s">
        <v>912</v>
      </c>
      <c r="B1186" s="39" t="s">
        <v>880</v>
      </c>
      <c r="C1186" s="39" t="s">
        <v>934</v>
      </c>
      <c r="D1186" s="39" t="s">
        <v>916</v>
      </c>
      <c r="E1186" s="39"/>
      <c r="F1186" s="39" t="s">
        <v>133</v>
      </c>
      <c r="G1186" s="60"/>
      <c r="H1186" s="58" t="n">
        <v>4317</v>
      </c>
      <c r="I1186" s="39" t="str">
        <f aca="false">A1186&amp;"|"&amp;B1186&amp;"|"&amp;D1186&amp;"|"&amp;E1186&amp;F1186</f>
        <v>home|Oklahoma City|scenario 2 (dwelling $200,000, deductible 1%)|frame</v>
      </c>
      <c r="J1186" s="34" t="n">
        <f aca="false" t="array" ref="J1186:J1186">MEDIAN(IF($I$4:$I$1803=I1186,$H$4:$H$1803))</f>
        <v>4325</v>
      </c>
      <c r="K1186" s="59" t="n">
        <f aca="false">H1186/J1186</f>
        <v>0.998150289017341</v>
      </c>
    </row>
    <row r="1187" customFormat="false" ht="15" hidden="false" customHeight="false" outlineLevel="0" collapsed="false">
      <c r="A1187" s="39" t="s">
        <v>912</v>
      </c>
      <c r="B1187" s="39" t="s">
        <v>880</v>
      </c>
      <c r="C1187" s="39" t="s">
        <v>934</v>
      </c>
      <c r="D1187" s="39" t="s">
        <v>916</v>
      </c>
      <c r="E1187" s="39"/>
      <c r="F1187" s="39" t="s">
        <v>915</v>
      </c>
      <c r="G1187" s="60"/>
      <c r="H1187" s="58" t="n">
        <v>4511</v>
      </c>
      <c r="I1187" s="39" t="str">
        <f aca="false">A1187&amp;"|"&amp;B1187&amp;"|"&amp;D1187&amp;"|"&amp;E1187&amp;F1187</f>
        <v>home|Oklahoma City|scenario 2 (dwelling $200,000, deductible 1%)|masonry</v>
      </c>
      <c r="J1187" s="34" t="n">
        <f aca="false" t="array" ref="J1187:J1187">MEDIAN(IF($I$4:$I$1803=I1187,$H$4:$H$1803))</f>
        <v>4381</v>
      </c>
      <c r="K1187" s="59" t="n">
        <f aca="false">H1187/J1187</f>
        <v>1.02967359050445</v>
      </c>
    </row>
    <row r="1188" customFormat="false" ht="15" hidden="false" customHeight="false" outlineLevel="0" collapsed="false">
      <c r="A1188" s="39" t="s">
        <v>912</v>
      </c>
      <c r="B1188" s="39" t="s">
        <v>880</v>
      </c>
      <c r="C1188" s="39" t="s">
        <v>934</v>
      </c>
      <c r="D1188" s="39" t="s">
        <v>917</v>
      </c>
      <c r="E1188" s="39"/>
      <c r="F1188" s="39" t="s">
        <v>133</v>
      </c>
      <c r="G1188" s="60"/>
      <c r="H1188" s="58" t="n">
        <v>5647</v>
      </c>
      <c r="I1188" s="39" t="str">
        <f aca="false">A1188&amp;"|"&amp;B1188&amp;"|"&amp;D1188&amp;"|"&amp;E1188&amp;F1188</f>
        <v>home|Oklahoma City|scenario 3 (dwelling $300,000, deductible 1%)|frame</v>
      </c>
      <c r="J1188" s="34" t="n">
        <f aca="false" t="array" ref="J1188:J1188">MEDIAN(IF($I$4:$I$1803=I1188,$H$4:$H$1803))</f>
        <v>5727</v>
      </c>
      <c r="K1188" s="59" t="n">
        <f aca="false">H1188/J1188</f>
        <v>0.98603108084512</v>
      </c>
    </row>
    <row r="1189" customFormat="false" ht="15" hidden="false" customHeight="false" outlineLevel="0" collapsed="false">
      <c r="A1189" s="39" t="s">
        <v>912</v>
      </c>
      <c r="B1189" s="39" t="s">
        <v>880</v>
      </c>
      <c r="C1189" s="39" t="s">
        <v>934</v>
      </c>
      <c r="D1189" s="39" t="s">
        <v>917</v>
      </c>
      <c r="E1189" s="39"/>
      <c r="F1189" s="39" t="s">
        <v>915</v>
      </c>
      <c r="G1189" s="60"/>
      <c r="H1189" s="58" t="n">
        <v>5928</v>
      </c>
      <c r="I1189" s="39" t="str">
        <f aca="false">A1189&amp;"|"&amp;B1189&amp;"|"&amp;D1189&amp;"|"&amp;E1189&amp;F1189</f>
        <v>home|Oklahoma City|scenario 3 (dwelling $300,000, deductible 1%)|masonry</v>
      </c>
      <c r="J1189" s="34" t="n">
        <f aca="false" t="array" ref="J1189:J1189">MEDIAN(IF($I$4:$I$1803=I1189,$H$4:$H$1803))</f>
        <v>5959</v>
      </c>
      <c r="K1189" s="59" t="n">
        <f aca="false">H1189/J1189</f>
        <v>0.994797784863232</v>
      </c>
    </row>
    <row r="1190" customFormat="false" ht="15" hidden="false" customHeight="false" outlineLevel="0" collapsed="false">
      <c r="A1190" s="39" t="s">
        <v>912</v>
      </c>
      <c r="B1190" s="39" t="s">
        <v>880</v>
      </c>
      <c r="C1190" s="39" t="s">
        <v>934</v>
      </c>
      <c r="D1190" s="39" t="s">
        <v>918</v>
      </c>
      <c r="E1190" s="39"/>
      <c r="F1190" s="39" t="s">
        <v>133</v>
      </c>
      <c r="G1190" s="60"/>
      <c r="H1190" s="58" t="n">
        <v>6877</v>
      </c>
      <c r="I1190" s="39" t="str">
        <f aca="false">A1190&amp;"|"&amp;B1190&amp;"|"&amp;D1190&amp;"|"&amp;E1190&amp;F1190</f>
        <v>home|Oklahoma City|scenario 4 (dwelling $400,000, deductible 1%)|frame</v>
      </c>
      <c r="J1190" s="34" t="n">
        <f aca="false" t="array" ref="J1190:J1190">MEDIAN(IF($I$4:$I$1803=I1190,$H$4:$H$1803))</f>
        <v>6965.5</v>
      </c>
      <c r="K1190" s="59" t="n">
        <f aca="false">H1190/J1190</f>
        <v>0.987294523006245</v>
      </c>
    </row>
    <row r="1191" customFormat="false" ht="15" hidden="false" customHeight="false" outlineLevel="0" collapsed="false">
      <c r="A1191" s="39" t="s">
        <v>912</v>
      </c>
      <c r="B1191" s="39" t="s">
        <v>880</v>
      </c>
      <c r="C1191" s="39" t="s">
        <v>934</v>
      </c>
      <c r="D1191" s="39" t="s">
        <v>918</v>
      </c>
      <c r="E1191" s="39"/>
      <c r="F1191" s="39" t="s">
        <v>915</v>
      </c>
      <c r="G1191" s="60"/>
      <c r="H1191" s="58" t="n">
        <v>7242</v>
      </c>
      <c r="I1191" s="39" t="str">
        <f aca="false">A1191&amp;"|"&amp;B1191&amp;"|"&amp;D1191&amp;"|"&amp;E1191&amp;F1191</f>
        <v>home|Oklahoma City|scenario 4 (dwelling $400,000, deductible 1%)|masonry</v>
      </c>
      <c r="J1191" s="34" t="n">
        <f aca="false" t="array" ref="J1191:J1191">MEDIAN(IF($I$4:$I$1803=I1191,$H$4:$H$1803))</f>
        <v>7153</v>
      </c>
      <c r="K1191" s="59" t="n">
        <f aca="false">H1191/J1191</f>
        <v>1.01244233188872</v>
      </c>
    </row>
    <row r="1192" customFormat="false" ht="15" hidden="false" customHeight="false" outlineLevel="0" collapsed="false">
      <c r="A1192" s="39" t="s">
        <v>912</v>
      </c>
      <c r="B1192" s="39" t="s">
        <v>880</v>
      </c>
      <c r="C1192" s="39" t="s">
        <v>934</v>
      </c>
      <c r="D1192" s="39" t="s">
        <v>919</v>
      </c>
      <c r="E1192" s="39"/>
      <c r="F1192" s="39" t="s">
        <v>133</v>
      </c>
      <c r="G1192" s="60"/>
      <c r="H1192" s="58" t="n">
        <v>7871</v>
      </c>
      <c r="I1192" s="39" t="str">
        <f aca="false">A1192&amp;"|"&amp;B1192&amp;"|"&amp;D1192&amp;"|"&amp;E1192&amp;F1192</f>
        <v>home|Oklahoma City|scenario 5 (dwelling $500,000, deductible 1%)|frame</v>
      </c>
      <c r="J1192" s="34" t="n">
        <f aca="false" t="array" ref="J1192:J1192">MEDIAN(IF($I$4:$I$1803=I1192,$H$4:$H$1803))</f>
        <v>8254.5</v>
      </c>
      <c r="K1192" s="59" t="n">
        <f aca="false">H1192/J1192</f>
        <v>0.953540493064389</v>
      </c>
    </row>
    <row r="1193" customFormat="false" ht="15" hidden="false" customHeight="false" outlineLevel="0" collapsed="false">
      <c r="A1193" s="39" t="s">
        <v>912</v>
      </c>
      <c r="B1193" s="39" t="s">
        <v>880</v>
      </c>
      <c r="C1193" s="39" t="s">
        <v>934</v>
      </c>
      <c r="D1193" s="39" t="s">
        <v>919</v>
      </c>
      <c r="E1193" s="39"/>
      <c r="F1193" s="39" t="s">
        <v>915</v>
      </c>
      <c r="G1193" s="60"/>
      <c r="H1193" s="58" t="n">
        <v>8322</v>
      </c>
      <c r="I1193" s="39" t="str">
        <f aca="false">A1193&amp;"|"&amp;B1193&amp;"|"&amp;D1193&amp;"|"&amp;E1193&amp;F1193</f>
        <v>home|Oklahoma City|scenario 5 (dwelling $500,000, deductible 1%)|masonry</v>
      </c>
      <c r="J1193" s="34" t="n">
        <f aca="false" t="array" ref="J1193:J1193">MEDIAN(IF($I$4:$I$1803=I1193,$H$4:$H$1803))</f>
        <v>8121</v>
      </c>
      <c r="K1193" s="59" t="n">
        <f aca="false">H1193/J1193</f>
        <v>1.02475064647211</v>
      </c>
    </row>
    <row r="1194" customFormat="false" ht="15" hidden="false" customHeight="false" outlineLevel="0" collapsed="false">
      <c r="A1194" s="39" t="s">
        <v>912</v>
      </c>
      <c r="B1194" s="39" t="s">
        <v>880</v>
      </c>
      <c r="C1194" s="39" t="s">
        <v>907</v>
      </c>
      <c r="D1194" s="39" t="s">
        <v>914</v>
      </c>
      <c r="E1194" s="39"/>
      <c r="F1194" s="39" t="s">
        <v>133</v>
      </c>
      <c r="G1194" s="60"/>
      <c r="H1194" s="58" t="n">
        <v>3293</v>
      </c>
      <c r="I1194" s="39" t="str">
        <f aca="false">A1194&amp;"|"&amp;B1194&amp;"|"&amp;D1194&amp;"|"&amp;E1194&amp;F1194</f>
        <v>home|Oklahoma City|scenario 1 (dwelling $100,000, deductible 1%)|frame</v>
      </c>
      <c r="J1194" s="34" t="n">
        <f aca="false" t="array" ref="J1194:J1194">MEDIAN(IF($I$4:$I$1803=I1194,$H$4:$H$1803))</f>
        <v>2742</v>
      </c>
      <c r="K1194" s="59" t="n">
        <f aca="false">H1194/J1194</f>
        <v>1.20094821298322</v>
      </c>
    </row>
    <row r="1195" customFormat="false" ht="15" hidden="false" customHeight="false" outlineLevel="0" collapsed="false">
      <c r="A1195" s="39" t="s">
        <v>912</v>
      </c>
      <c r="B1195" s="39" t="s">
        <v>880</v>
      </c>
      <c r="C1195" s="39" t="s">
        <v>907</v>
      </c>
      <c r="D1195" s="39" t="s">
        <v>914</v>
      </c>
      <c r="E1195" s="39"/>
      <c r="F1195" s="39" t="s">
        <v>915</v>
      </c>
      <c r="G1195" s="60"/>
      <c r="H1195" s="58" t="n">
        <v>3424</v>
      </c>
      <c r="I1195" s="39" t="str">
        <f aca="false">A1195&amp;"|"&amp;B1195&amp;"|"&amp;D1195&amp;"|"&amp;E1195&amp;F1195</f>
        <v>home|Oklahoma City|scenario 1 (dwelling $100,000, deductible 1%)|masonry</v>
      </c>
      <c r="J1195" s="34" t="n">
        <f aca="false" t="array" ref="J1195:J1195">MEDIAN(IF($I$4:$I$1803=I1195,$H$4:$H$1803))</f>
        <v>2754</v>
      </c>
      <c r="K1195" s="59" t="n">
        <f aca="false">H1195/J1195</f>
        <v>1.24328249818446</v>
      </c>
    </row>
    <row r="1196" customFormat="false" ht="15" hidden="false" customHeight="false" outlineLevel="0" collapsed="false">
      <c r="A1196" s="39" t="s">
        <v>912</v>
      </c>
      <c r="B1196" s="39" t="s">
        <v>880</v>
      </c>
      <c r="C1196" s="39" t="s">
        <v>907</v>
      </c>
      <c r="D1196" s="39" t="s">
        <v>916</v>
      </c>
      <c r="E1196" s="39"/>
      <c r="F1196" s="39" t="s">
        <v>133</v>
      </c>
      <c r="G1196" s="60"/>
      <c r="H1196" s="58" t="n">
        <v>4909</v>
      </c>
      <c r="I1196" s="39" t="str">
        <f aca="false">A1196&amp;"|"&amp;B1196&amp;"|"&amp;D1196&amp;"|"&amp;E1196&amp;F1196</f>
        <v>home|Oklahoma City|scenario 2 (dwelling $200,000, deductible 1%)|frame</v>
      </c>
      <c r="J1196" s="34" t="n">
        <f aca="false" t="array" ref="J1196:J1196">MEDIAN(IF($I$4:$I$1803=I1196,$H$4:$H$1803))</f>
        <v>4325</v>
      </c>
      <c r="K1196" s="59" t="n">
        <f aca="false">H1196/J1196</f>
        <v>1.1350289017341</v>
      </c>
    </row>
    <row r="1197" customFormat="false" ht="15" hidden="false" customHeight="false" outlineLevel="0" collapsed="false">
      <c r="A1197" s="39" t="s">
        <v>912</v>
      </c>
      <c r="B1197" s="39" t="s">
        <v>880</v>
      </c>
      <c r="C1197" s="39" t="s">
        <v>907</v>
      </c>
      <c r="D1197" s="39" t="s">
        <v>916</v>
      </c>
      <c r="E1197" s="39"/>
      <c r="F1197" s="39" t="s">
        <v>915</v>
      </c>
      <c r="G1197" s="60"/>
      <c r="H1197" s="58" t="n">
        <v>5150</v>
      </c>
      <c r="I1197" s="39" t="str">
        <f aca="false">A1197&amp;"|"&amp;B1197&amp;"|"&amp;D1197&amp;"|"&amp;E1197&amp;F1197</f>
        <v>home|Oklahoma City|scenario 2 (dwelling $200,000, deductible 1%)|masonry</v>
      </c>
      <c r="J1197" s="34" t="n">
        <f aca="false" t="array" ref="J1197:J1197">MEDIAN(IF($I$4:$I$1803=I1197,$H$4:$H$1803))</f>
        <v>4381</v>
      </c>
      <c r="K1197" s="59" t="n">
        <f aca="false">H1197/J1197</f>
        <v>1.17553070075325</v>
      </c>
    </row>
    <row r="1198" customFormat="false" ht="15" hidden="false" customHeight="false" outlineLevel="0" collapsed="false">
      <c r="A1198" s="39" t="s">
        <v>912</v>
      </c>
      <c r="B1198" s="39" t="s">
        <v>880</v>
      </c>
      <c r="C1198" s="39" t="s">
        <v>907</v>
      </c>
      <c r="D1198" s="39" t="s">
        <v>917</v>
      </c>
      <c r="E1198" s="39"/>
      <c r="F1198" s="39" t="s">
        <v>133</v>
      </c>
      <c r="G1198" s="60"/>
      <c r="H1198" s="58" t="n">
        <v>6446</v>
      </c>
      <c r="I1198" s="39" t="str">
        <f aca="false">A1198&amp;"|"&amp;B1198&amp;"|"&amp;D1198&amp;"|"&amp;E1198&amp;F1198</f>
        <v>home|Oklahoma City|scenario 3 (dwelling $300,000, deductible 1%)|frame</v>
      </c>
      <c r="J1198" s="34" t="n">
        <f aca="false" t="array" ref="J1198:J1198">MEDIAN(IF($I$4:$I$1803=I1198,$H$4:$H$1803))</f>
        <v>5727</v>
      </c>
      <c r="K1198" s="59" t="n">
        <f aca="false">H1198/J1198</f>
        <v>1.12554566090449</v>
      </c>
    </row>
    <row r="1199" customFormat="false" ht="15" hidden="false" customHeight="false" outlineLevel="0" collapsed="false">
      <c r="A1199" s="39" t="s">
        <v>912</v>
      </c>
      <c r="B1199" s="39" t="s">
        <v>880</v>
      </c>
      <c r="C1199" s="39" t="s">
        <v>907</v>
      </c>
      <c r="D1199" s="39" t="s">
        <v>917</v>
      </c>
      <c r="E1199" s="39"/>
      <c r="F1199" s="39" t="s">
        <v>915</v>
      </c>
      <c r="G1199" s="60"/>
      <c r="H1199" s="58" t="n">
        <v>6796</v>
      </c>
      <c r="I1199" s="39" t="str">
        <f aca="false">A1199&amp;"|"&amp;B1199&amp;"|"&amp;D1199&amp;"|"&amp;E1199&amp;F1199</f>
        <v>home|Oklahoma City|scenario 3 (dwelling $300,000, deductible 1%)|masonry</v>
      </c>
      <c r="J1199" s="34" t="n">
        <f aca="false" t="array" ref="J1199:J1199">MEDIAN(IF($I$4:$I$1803=I1199,$H$4:$H$1803))</f>
        <v>5959</v>
      </c>
      <c r="K1199" s="59" t="n">
        <f aca="false">H1199/J1199</f>
        <v>1.14045980869273</v>
      </c>
    </row>
    <row r="1200" customFormat="false" ht="15" hidden="false" customHeight="false" outlineLevel="0" collapsed="false">
      <c r="A1200" s="39" t="s">
        <v>912</v>
      </c>
      <c r="B1200" s="39" t="s">
        <v>880</v>
      </c>
      <c r="C1200" s="39" t="s">
        <v>907</v>
      </c>
      <c r="D1200" s="39" t="s">
        <v>918</v>
      </c>
      <c r="E1200" s="39"/>
      <c r="F1200" s="39" t="s">
        <v>133</v>
      </c>
      <c r="G1200" s="60"/>
      <c r="H1200" s="58" t="n">
        <v>7867</v>
      </c>
      <c r="I1200" s="39" t="str">
        <f aca="false">A1200&amp;"|"&amp;B1200&amp;"|"&amp;D1200&amp;"|"&amp;E1200&amp;F1200</f>
        <v>home|Oklahoma City|scenario 4 (dwelling $400,000, deductible 1%)|frame</v>
      </c>
      <c r="J1200" s="34" t="n">
        <f aca="false" t="array" ref="J1200:J1200">MEDIAN(IF($I$4:$I$1803=I1200,$H$4:$H$1803))</f>
        <v>6965.5</v>
      </c>
      <c r="K1200" s="59" t="n">
        <f aca="false">H1200/J1200</f>
        <v>1.12942358768215</v>
      </c>
    </row>
    <row r="1201" customFormat="false" ht="15" hidden="false" customHeight="false" outlineLevel="0" collapsed="false">
      <c r="A1201" s="39" t="s">
        <v>912</v>
      </c>
      <c r="B1201" s="39" t="s">
        <v>880</v>
      </c>
      <c r="C1201" s="39" t="s">
        <v>907</v>
      </c>
      <c r="D1201" s="39" t="s">
        <v>918</v>
      </c>
      <c r="E1201" s="39"/>
      <c r="F1201" s="39" t="s">
        <v>915</v>
      </c>
      <c r="G1201" s="60"/>
      <c r="H1201" s="58" t="n">
        <v>8325</v>
      </c>
      <c r="I1201" s="39" t="str">
        <f aca="false">A1201&amp;"|"&amp;B1201&amp;"|"&amp;D1201&amp;"|"&amp;E1201&amp;F1201</f>
        <v>home|Oklahoma City|scenario 4 (dwelling $400,000, deductible 1%)|masonry</v>
      </c>
      <c r="J1201" s="34" t="n">
        <f aca="false" t="array" ref="J1201:J1201">MEDIAN(IF($I$4:$I$1803=I1201,$H$4:$H$1803))</f>
        <v>7153</v>
      </c>
      <c r="K1201" s="59" t="n">
        <f aca="false">H1201/J1201</f>
        <v>1.16384733678177</v>
      </c>
    </row>
    <row r="1202" customFormat="false" ht="15" hidden="false" customHeight="false" outlineLevel="0" collapsed="false">
      <c r="A1202" s="39" t="s">
        <v>912</v>
      </c>
      <c r="B1202" s="39" t="s">
        <v>880</v>
      </c>
      <c r="C1202" s="39" t="s">
        <v>907</v>
      </c>
      <c r="D1202" s="39" t="s">
        <v>919</v>
      </c>
      <c r="E1202" s="39"/>
      <c r="F1202" s="39" t="s">
        <v>133</v>
      </c>
      <c r="G1202" s="60"/>
      <c r="H1202" s="58" t="n">
        <v>9013</v>
      </c>
      <c r="I1202" s="39" t="str">
        <f aca="false">A1202&amp;"|"&amp;B1202&amp;"|"&amp;D1202&amp;"|"&amp;E1202&amp;F1202</f>
        <v>home|Oklahoma City|scenario 5 (dwelling $500,000, deductible 1%)|frame</v>
      </c>
      <c r="J1202" s="34" t="n">
        <f aca="false" t="array" ref="J1202:J1202">MEDIAN(IF($I$4:$I$1803=I1202,$H$4:$H$1803))</f>
        <v>8254.5</v>
      </c>
      <c r="K1202" s="59" t="n">
        <f aca="false">H1202/J1202</f>
        <v>1.09188927251802</v>
      </c>
    </row>
    <row r="1203" customFormat="false" ht="15" hidden="false" customHeight="false" outlineLevel="0" collapsed="false">
      <c r="A1203" s="39" t="s">
        <v>912</v>
      </c>
      <c r="B1203" s="39" t="s">
        <v>880</v>
      </c>
      <c r="C1203" s="39" t="s">
        <v>907</v>
      </c>
      <c r="D1203" s="39" t="s">
        <v>919</v>
      </c>
      <c r="E1203" s="39"/>
      <c r="F1203" s="39" t="s">
        <v>915</v>
      </c>
      <c r="G1203" s="60"/>
      <c r="H1203" s="58" t="n">
        <v>9579</v>
      </c>
      <c r="I1203" s="39" t="str">
        <f aca="false">A1203&amp;"|"&amp;B1203&amp;"|"&amp;D1203&amp;"|"&amp;E1203&amp;F1203</f>
        <v>home|Oklahoma City|scenario 5 (dwelling $500,000, deductible 1%)|masonry</v>
      </c>
      <c r="J1203" s="34" t="n">
        <f aca="false" t="array" ref="J1203:J1203">MEDIAN(IF($I$4:$I$1803=I1203,$H$4:$H$1803))</f>
        <v>8121</v>
      </c>
      <c r="K1203" s="59" t="n">
        <f aca="false">H1203/J1203</f>
        <v>1.17953454008127</v>
      </c>
    </row>
    <row r="1204" customFormat="false" ht="15" hidden="false" customHeight="false" outlineLevel="0" collapsed="false">
      <c r="A1204" s="39" t="s">
        <v>912</v>
      </c>
      <c r="B1204" s="39" t="s">
        <v>908</v>
      </c>
      <c r="C1204" s="39" t="s">
        <v>913</v>
      </c>
      <c r="D1204" s="39" t="s">
        <v>914</v>
      </c>
      <c r="E1204" s="39"/>
      <c r="F1204" s="39" t="s">
        <v>133</v>
      </c>
      <c r="G1204" s="60"/>
      <c r="H1204" s="58" t="n">
        <v>1987</v>
      </c>
      <c r="I1204" s="39" t="str">
        <f aca="false">A1204&amp;"|"&amp;B1204&amp;"|"&amp;D1204&amp;"|"&amp;E1204&amp;F1204</f>
        <v>home|Tulsa|scenario 1 (dwelling $100,000, deductible 1%)|frame</v>
      </c>
      <c r="J1204" s="34" t="n">
        <f aca="false" t="array" ref="J1204:J1204">MEDIAN(IF($I$4:$I$1803=I1204,$H$4:$H$1803))</f>
        <v>2417.5</v>
      </c>
      <c r="K1204" s="59" t="n">
        <f aca="false">H1204/J1204</f>
        <v>0.821923474663909</v>
      </c>
    </row>
    <row r="1205" customFormat="false" ht="15" hidden="false" customHeight="false" outlineLevel="0" collapsed="false">
      <c r="A1205" s="39" t="s">
        <v>912</v>
      </c>
      <c r="B1205" s="39" t="s">
        <v>908</v>
      </c>
      <c r="C1205" s="39" t="s">
        <v>913</v>
      </c>
      <c r="D1205" s="39" t="s">
        <v>914</v>
      </c>
      <c r="E1205" s="39"/>
      <c r="F1205" s="39" t="s">
        <v>915</v>
      </c>
      <c r="G1205" s="60"/>
      <c r="H1205" s="58" t="n">
        <v>1856</v>
      </c>
      <c r="I1205" s="39" t="str">
        <f aca="false">A1205&amp;"|"&amp;B1205&amp;"|"&amp;D1205&amp;"|"&amp;E1205&amp;F1205</f>
        <v>home|Tulsa|scenario 1 (dwelling $100,000, deductible 1%)|masonry</v>
      </c>
      <c r="J1205" s="34" t="n">
        <f aca="false" t="array" ref="J1205:J1205">MEDIAN(IF($I$4:$I$1803=I1205,$H$4:$H$1803))</f>
        <v>2335</v>
      </c>
      <c r="K1205" s="59" t="n">
        <f aca="false">H1205/J1205</f>
        <v>0.794860813704497</v>
      </c>
    </row>
    <row r="1206" customFormat="false" ht="15" hidden="false" customHeight="false" outlineLevel="0" collapsed="false">
      <c r="A1206" s="39" t="s">
        <v>912</v>
      </c>
      <c r="B1206" s="39" t="s">
        <v>908</v>
      </c>
      <c r="C1206" s="39" t="s">
        <v>913</v>
      </c>
      <c r="D1206" s="39" t="s">
        <v>916</v>
      </c>
      <c r="E1206" s="39"/>
      <c r="F1206" s="39" t="s">
        <v>133</v>
      </c>
      <c r="G1206" s="60"/>
      <c r="H1206" s="58" t="n">
        <v>3875</v>
      </c>
      <c r="I1206" s="39" t="str">
        <f aca="false">A1206&amp;"|"&amp;B1206&amp;"|"&amp;D1206&amp;"|"&amp;E1206&amp;F1206</f>
        <v>home|Tulsa|scenario 2 (dwelling $200,000, deductible 1%)|frame</v>
      </c>
      <c r="J1206" s="34" t="n">
        <f aca="false" t="array" ref="J1206:J1206">MEDIAN(IF($I$4:$I$1803=I1206,$H$4:$H$1803))</f>
        <v>3472.5</v>
      </c>
      <c r="K1206" s="59" t="n">
        <f aca="false">H1206/J1206</f>
        <v>1.11591072714183</v>
      </c>
    </row>
    <row r="1207" customFormat="false" ht="15" hidden="false" customHeight="false" outlineLevel="0" collapsed="false">
      <c r="A1207" s="39" t="s">
        <v>912</v>
      </c>
      <c r="B1207" s="39" t="s">
        <v>908</v>
      </c>
      <c r="C1207" s="39" t="s">
        <v>913</v>
      </c>
      <c r="D1207" s="39" t="s">
        <v>916</v>
      </c>
      <c r="E1207" s="39"/>
      <c r="F1207" s="39" t="s">
        <v>915</v>
      </c>
      <c r="G1207" s="60"/>
      <c r="H1207" s="58" t="n">
        <v>3593</v>
      </c>
      <c r="I1207" s="39" t="str">
        <f aca="false">A1207&amp;"|"&amp;B1207&amp;"|"&amp;D1207&amp;"|"&amp;E1207&amp;F1207</f>
        <v>home|Tulsa|scenario 2 (dwelling $200,000, deductible 1%)|masonry</v>
      </c>
      <c r="J1207" s="34" t="n">
        <f aca="false" t="array" ref="J1207:J1207">MEDIAN(IF($I$4:$I$1803=I1207,$H$4:$H$1803))</f>
        <v>3490.5</v>
      </c>
      <c r="K1207" s="59" t="n">
        <f aca="false">H1207/J1207</f>
        <v>1.02936542042687</v>
      </c>
    </row>
    <row r="1208" customFormat="false" ht="15" hidden="false" customHeight="false" outlineLevel="0" collapsed="false">
      <c r="A1208" s="39" t="s">
        <v>912</v>
      </c>
      <c r="B1208" s="39" t="s">
        <v>908</v>
      </c>
      <c r="C1208" s="39" t="s">
        <v>913</v>
      </c>
      <c r="D1208" s="39" t="s">
        <v>917</v>
      </c>
      <c r="E1208" s="39"/>
      <c r="F1208" s="39" t="s">
        <v>133</v>
      </c>
      <c r="G1208" s="60"/>
      <c r="H1208" s="58" t="n">
        <v>5983</v>
      </c>
      <c r="I1208" s="39" t="str">
        <f aca="false">A1208&amp;"|"&amp;B1208&amp;"|"&amp;D1208&amp;"|"&amp;E1208&amp;F1208</f>
        <v>home|Tulsa|scenario 3 (dwelling $300,000, deductible 1%)|frame</v>
      </c>
      <c r="J1208" s="34" t="n">
        <f aca="false" t="array" ref="J1208:J1208">MEDIAN(IF($I$4:$I$1803=I1208,$H$4:$H$1803))</f>
        <v>4490.5</v>
      </c>
      <c r="K1208" s="59" t="n">
        <f aca="false">H1208/J1208</f>
        <v>1.33236833314776</v>
      </c>
    </row>
    <row r="1209" customFormat="false" ht="15" hidden="false" customHeight="false" outlineLevel="0" collapsed="false">
      <c r="A1209" s="39" t="s">
        <v>912</v>
      </c>
      <c r="B1209" s="39" t="s">
        <v>908</v>
      </c>
      <c r="C1209" s="39" t="s">
        <v>913</v>
      </c>
      <c r="D1209" s="39" t="s">
        <v>917</v>
      </c>
      <c r="E1209" s="39"/>
      <c r="F1209" s="39" t="s">
        <v>915</v>
      </c>
      <c r="G1209" s="60"/>
      <c r="H1209" s="58" t="n">
        <v>5587</v>
      </c>
      <c r="I1209" s="39" t="str">
        <f aca="false">A1209&amp;"|"&amp;B1209&amp;"|"&amp;D1209&amp;"|"&amp;E1209&amp;F1209</f>
        <v>home|Tulsa|scenario 3 (dwelling $300,000, deductible 1%)|masonry</v>
      </c>
      <c r="J1209" s="34" t="n">
        <f aca="false" t="array" ref="J1209:J1209">MEDIAN(IF($I$4:$I$1803=I1209,$H$4:$H$1803))</f>
        <v>4538</v>
      </c>
      <c r="K1209" s="59" t="n">
        <f aca="false">H1209/J1209</f>
        <v>1.23115910092552</v>
      </c>
    </row>
    <row r="1210" customFormat="false" ht="15" hidden="false" customHeight="false" outlineLevel="0" collapsed="false">
      <c r="A1210" s="39" t="s">
        <v>912</v>
      </c>
      <c r="B1210" s="39" t="s">
        <v>908</v>
      </c>
      <c r="C1210" s="39" t="s">
        <v>913</v>
      </c>
      <c r="D1210" s="39" t="s">
        <v>918</v>
      </c>
      <c r="E1210" s="39"/>
      <c r="F1210" s="39" t="s">
        <v>133</v>
      </c>
      <c r="G1210" s="60"/>
      <c r="H1210" s="58" t="n">
        <v>8091</v>
      </c>
      <c r="I1210" s="39" t="str">
        <f aca="false">A1210&amp;"|"&amp;B1210&amp;"|"&amp;D1210&amp;"|"&amp;E1210&amp;F1210</f>
        <v>home|Tulsa|scenario 4 (dwelling $400,000, deductible 1%)|frame</v>
      </c>
      <c r="J1210" s="34" t="n">
        <f aca="false" t="array" ref="J1210:J1210">MEDIAN(IF($I$4:$I$1803=I1210,$H$4:$H$1803))</f>
        <v>5784</v>
      </c>
      <c r="K1210" s="59" t="n">
        <f aca="false">H1210/J1210</f>
        <v>1.39885892116183</v>
      </c>
    </row>
    <row r="1211" customFormat="false" ht="15" hidden="false" customHeight="false" outlineLevel="0" collapsed="false">
      <c r="A1211" s="39" t="s">
        <v>912</v>
      </c>
      <c r="B1211" s="39" t="s">
        <v>908</v>
      </c>
      <c r="C1211" s="39" t="s">
        <v>913</v>
      </c>
      <c r="D1211" s="39" t="s">
        <v>918</v>
      </c>
      <c r="E1211" s="39"/>
      <c r="F1211" s="39" t="s">
        <v>915</v>
      </c>
      <c r="G1211" s="60"/>
      <c r="H1211" s="58" t="n">
        <v>7584</v>
      </c>
      <c r="I1211" s="39" t="str">
        <f aca="false">A1211&amp;"|"&amp;B1211&amp;"|"&amp;D1211&amp;"|"&amp;E1211&amp;F1211</f>
        <v>home|Tulsa|scenario 4 (dwelling $400,000, deductible 1%)|masonry</v>
      </c>
      <c r="J1211" s="34" t="n">
        <f aca="false" t="array" ref="J1211:J1211">MEDIAN(IF($I$4:$I$1803=I1211,$H$4:$H$1803))</f>
        <v>5535.5</v>
      </c>
      <c r="K1211" s="59" t="n">
        <f aca="false">H1211/J1211</f>
        <v>1.37006593803631</v>
      </c>
    </row>
    <row r="1212" customFormat="false" ht="15" hidden="false" customHeight="false" outlineLevel="0" collapsed="false">
      <c r="A1212" s="39" t="s">
        <v>912</v>
      </c>
      <c r="B1212" s="39" t="s">
        <v>908</v>
      </c>
      <c r="C1212" s="39" t="s">
        <v>913</v>
      </c>
      <c r="D1212" s="39" t="s">
        <v>919</v>
      </c>
      <c r="E1212" s="39"/>
      <c r="F1212" s="39" t="s">
        <v>133</v>
      </c>
      <c r="G1212" s="60"/>
      <c r="H1212" s="58" t="n">
        <v>10198</v>
      </c>
      <c r="I1212" s="39" t="str">
        <f aca="false">A1212&amp;"|"&amp;B1212&amp;"|"&amp;D1212&amp;"|"&amp;E1212&amp;F1212</f>
        <v>home|Tulsa|scenario 5 (dwelling $500,000, deductible 1%)|frame</v>
      </c>
      <c r="J1212" s="34" t="n">
        <f aca="false" t="array" ref="J1212:J1212">MEDIAN(IF($I$4:$I$1803=I1212,$H$4:$H$1803))</f>
        <v>7057</v>
      </c>
      <c r="K1212" s="59" t="n">
        <f aca="false">H1212/J1212</f>
        <v>1.44508998157857</v>
      </c>
    </row>
    <row r="1213" customFormat="false" ht="15" hidden="false" customHeight="false" outlineLevel="0" collapsed="false">
      <c r="A1213" s="39" t="s">
        <v>912</v>
      </c>
      <c r="B1213" s="39" t="s">
        <v>908</v>
      </c>
      <c r="C1213" s="39" t="s">
        <v>913</v>
      </c>
      <c r="D1213" s="39" t="s">
        <v>919</v>
      </c>
      <c r="E1213" s="39"/>
      <c r="F1213" s="39" t="s">
        <v>915</v>
      </c>
      <c r="G1213" s="60"/>
      <c r="H1213" s="58" t="n">
        <v>9578</v>
      </c>
      <c r="I1213" s="39" t="str">
        <f aca="false">A1213&amp;"|"&amp;B1213&amp;"|"&amp;D1213&amp;"|"&amp;E1213&amp;F1213</f>
        <v>home|Tulsa|scenario 5 (dwelling $500,000, deductible 1%)|masonry</v>
      </c>
      <c r="J1213" s="34" t="n">
        <f aca="false" t="array" ref="J1213:J1213">MEDIAN(IF($I$4:$I$1803=I1213,$H$4:$H$1803))</f>
        <v>6356</v>
      </c>
      <c r="K1213" s="59" t="n">
        <f aca="false">H1213/J1213</f>
        <v>1.50692259282568</v>
      </c>
    </row>
    <row r="1214" customFormat="false" ht="15" hidden="false" customHeight="false" outlineLevel="0" collapsed="false">
      <c r="A1214" s="39" t="s">
        <v>912</v>
      </c>
      <c r="B1214" s="39" t="s">
        <v>908</v>
      </c>
      <c r="C1214" s="39" t="s">
        <v>920</v>
      </c>
      <c r="D1214" s="39" t="s">
        <v>914</v>
      </c>
      <c r="E1214" s="39"/>
      <c r="F1214" s="39" t="s">
        <v>133</v>
      </c>
      <c r="G1214" s="60"/>
      <c r="H1214" s="58" t="n">
        <v>1068</v>
      </c>
      <c r="I1214" s="39" t="str">
        <f aca="false">A1214&amp;"|"&amp;B1214&amp;"|"&amp;D1214&amp;"|"&amp;E1214&amp;F1214</f>
        <v>home|Tulsa|scenario 1 (dwelling $100,000, deductible 1%)|frame</v>
      </c>
      <c r="J1214" s="34" t="n">
        <f aca="false" t="array" ref="J1214:J1214">MEDIAN(IF($I$4:$I$1803=I1214,$H$4:$H$1803))</f>
        <v>2417.5</v>
      </c>
      <c r="K1214" s="59" t="n">
        <f aca="false">H1214/J1214</f>
        <v>0.441778697001034</v>
      </c>
    </row>
    <row r="1215" customFormat="false" ht="15" hidden="false" customHeight="false" outlineLevel="0" collapsed="false">
      <c r="A1215" s="39" t="s">
        <v>912</v>
      </c>
      <c r="B1215" s="39" t="s">
        <v>908</v>
      </c>
      <c r="C1215" s="39" t="s">
        <v>920</v>
      </c>
      <c r="D1215" s="39" t="s">
        <v>914</v>
      </c>
      <c r="E1215" s="39"/>
      <c r="F1215" s="39" t="s">
        <v>915</v>
      </c>
      <c r="G1215" s="60"/>
      <c r="H1215" s="58" t="n">
        <v>1059</v>
      </c>
      <c r="I1215" s="39" t="str">
        <f aca="false">A1215&amp;"|"&amp;B1215&amp;"|"&amp;D1215&amp;"|"&amp;E1215&amp;F1215</f>
        <v>home|Tulsa|scenario 1 (dwelling $100,000, deductible 1%)|masonry</v>
      </c>
      <c r="J1215" s="34" t="n">
        <f aca="false" t="array" ref="J1215:J1215">MEDIAN(IF($I$4:$I$1803=I1215,$H$4:$H$1803))</f>
        <v>2335</v>
      </c>
      <c r="K1215" s="59" t="n">
        <f aca="false">H1215/J1215</f>
        <v>0.453533190578158</v>
      </c>
    </row>
    <row r="1216" customFormat="false" ht="15" hidden="false" customHeight="false" outlineLevel="0" collapsed="false">
      <c r="A1216" s="39" t="s">
        <v>912</v>
      </c>
      <c r="B1216" s="39" t="s">
        <v>908</v>
      </c>
      <c r="C1216" s="39" t="s">
        <v>920</v>
      </c>
      <c r="D1216" s="39" t="s">
        <v>916</v>
      </c>
      <c r="E1216" s="39"/>
      <c r="F1216" s="39" t="s">
        <v>133</v>
      </c>
      <c r="G1216" s="60"/>
      <c r="H1216" s="58" t="n">
        <v>1236</v>
      </c>
      <c r="I1216" s="39" t="str">
        <f aca="false">A1216&amp;"|"&amp;B1216&amp;"|"&amp;D1216&amp;"|"&amp;E1216&amp;F1216</f>
        <v>home|Tulsa|scenario 2 (dwelling $200,000, deductible 1%)|frame</v>
      </c>
      <c r="J1216" s="34" t="n">
        <f aca="false" t="array" ref="J1216:J1216">MEDIAN(IF($I$4:$I$1803=I1216,$H$4:$H$1803))</f>
        <v>3472.5</v>
      </c>
      <c r="K1216" s="59" t="n">
        <f aca="false">H1216/J1216</f>
        <v>0.355939524838013</v>
      </c>
    </row>
    <row r="1217" customFormat="false" ht="15" hidden="false" customHeight="false" outlineLevel="0" collapsed="false">
      <c r="A1217" s="39" t="s">
        <v>912</v>
      </c>
      <c r="B1217" s="39" t="s">
        <v>908</v>
      </c>
      <c r="C1217" s="39" t="s">
        <v>920</v>
      </c>
      <c r="D1217" s="39" t="s">
        <v>916</v>
      </c>
      <c r="E1217" s="39"/>
      <c r="F1217" s="39" t="s">
        <v>915</v>
      </c>
      <c r="G1217" s="60"/>
      <c r="H1217" s="58" t="n">
        <v>1223</v>
      </c>
      <c r="I1217" s="39" t="str">
        <f aca="false">A1217&amp;"|"&amp;B1217&amp;"|"&amp;D1217&amp;"|"&amp;E1217&amp;F1217</f>
        <v>home|Tulsa|scenario 2 (dwelling $200,000, deductible 1%)|masonry</v>
      </c>
      <c r="J1217" s="34" t="n">
        <f aca="false" t="array" ref="J1217:J1217">MEDIAN(IF($I$4:$I$1803=I1217,$H$4:$H$1803))</f>
        <v>3490.5</v>
      </c>
      <c r="K1217" s="59" t="n">
        <f aca="false">H1217/J1217</f>
        <v>0.35037960177625</v>
      </c>
    </row>
    <row r="1218" customFormat="false" ht="15" hidden="false" customHeight="false" outlineLevel="0" collapsed="false">
      <c r="A1218" s="39" t="s">
        <v>912</v>
      </c>
      <c r="B1218" s="39" t="s">
        <v>908</v>
      </c>
      <c r="C1218" s="39" t="s">
        <v>920</v>
      </c>
      <c r="D1218" s="39" t="s">
        <v>917</v>
      </c>
      <c r="E1218" s="39"/>
      <c r="F1218" s="39" t="s">
        <v>133</v>
      </c>
      <c r="G1218" s="60"/>
      <c r="H1218" s="58" t="n">
        <v>1374</v>
      </c>
      <c r="I1218" s="39" t="str">
        <f aca="false">A1218&amp;"|"&amp;B1218&amp;"|"&amp;D1218&amp;"|"&amp;E1218&amp;F1218</f>
        <v>home|Tulsa|scenario 3 (dwelling $300,000, deductible 1%)|frame</v>
      </c>
      <c r="J1218" s="34" t="n">
        <f aca="false" t="array" ref="J1218:J1218">MEDIAN(IF($I$4:$I$1803=I1218,$H$4:$H$1803))</f>
        <v>4490.5</v>
      </c>
      <c r="K1218" s="59" t="n">
        <f aca="false">H1218/J1218</f>
        <v>0.305979289611402</v>
      </c>
    </row>
    <row r="1219" customFormat="false" ht="15" hidden="false" customHeight="false" outlineLevel="0" collapsed="false">
      <c r="A1219" s="39" t="s">
        <v>912</v>
      </c>
      <c r="B1219" s="39" t="s">
        <v>908</v>
      </c>
      <c r="C1219" s="39" t="s">
        <v>920</v>
      </c>
      <c r="D1219" s="39" t="s">
        <v>917</v>
      </c>
      <c r="E1219" s="39"/>
      <c r="F1219" s="39" t="s">
        <v>915</v>
      </c>
      <c r="G1219" s="60"/>
      <c r="H1219" s="58" t="n">
        <v>1358</v>
      </c>
      <c r="I1219" s="39" t="str">
        <f aca="false">A1219&amp;"|"&amp;B1219&amp;"|"&amp;D1219&amp;"|"&amp;E1219&amp;F1219</f>
        <v>home|Tulsa|scenario 3 (dwelling $300,000, deductible 1%)|masonry</v>
      </c>
      <c r="J1219" s="34" t="n">
        <f aca="false" t="array" ref="J1219:J1219">MEDIAN(IF($I$4:$I$1803=I1219,$H$4:$H$1803))</f>
        <v>4538</v>
      </c>
      <c r="K1219" s="59" t="n">
        <f aca="false">H1219/J1219</f>
        <v>0.299250771264874</v>
      </c>
    </row>
    <row r="1220" customFormat="false" ht="15" hidden="false" customHeight="false" outlineLevel="0" collapsed="false">
      <c r="A1220" s="39" t="s">
        <v>912</v>
      </c>
      <c r="B1220" s="39" t="s">
        <v>908</v>
      </c>
      <c r="C1220" s="39" t="s">
        <v>920</v>
      </c>
      <c r="D1220" s="39" t="s">
        <v>918</v>
      </c>
      <c r="E1220" s="39"/>
      <c r="F1220" s="39" t="s">
        <v>133</v>
      </c>
      <c r="G1220" s="60"/>
      <c r="H1220" s="58" t="n">
        <v>1466</v>
      </c>
      <c r="I1220" s="39" t="str">
        <f aca="false">A1220&amp;"|"&amp;B1220&amp;"|"&amp;D1220&amp;"|"&amp;E1220&amp;F1220</f>
        <v>home|Tulsa|scenario 4 (dwelling $400,000, deductible 1%)|frame</v>
      </c>
      <c r="J1220" s="34" t="n">
        <f aca="false" t="array" ref="J1220:J1220">MEDIAN(IF($I$4:$I$1803=I1220,$H$4:$H$1803))</f>
        <v>5784</v>
      </c>
      <c r="K1220" s="59" t="n">
        <f aca="false">H1220/J1220</f>
        <v>0.253457814661134</v>
      </c>
    </row>
    <row r="1221" customFormat="false" ht="15" hidden="false" customHeight="false" outlineLevel="0" collapsed="false">
      <c r="A1221" s="39" t="s">
        <v>912</v>
      </c>
      <c r="B1221" s="39" t="s">
        <v>908</v>
      </c>
      <c r="C1221" s="39" t="s">
        <v>920</v>
      </c>
      <c r="D1221" s="39" t="s">
        <v>918</v>
      </c>
      <c r="E1221" s="39"/>
      <c r="F1221" s="39" t="s">
        <v>915</v>
      </c>
      <c r="G1221" s="60"/>
      <c r="H1221" s="58" t="n">
        <v>1448</v>
      </c>
      <c r="I1221" s="39" t="str">
        <f aca="false">A1221&amp;"|"&amp;B1221&amp;"|"&amp;D1221&amp;"|"&amp;E1221&amp;F1221</f>
        <v>home|Tulsa|scenario 4 (dwelling $400,000, deductible 1%)|masonry</v>
      </c>
      <c r="J1221" s="34" t="n">
        <f aca="false" t="array" ref="J1221:J1221">MEDIAN(IF($I$4:$I$1803=I1221,$H$4:$H$1803))</f>
        <v>5535.5</v>
      </c>
      <c r="K1221" s="59" t="n">
        <f aca="false">H1221/J1221</f>
        <v>0.261584319393009</v>
      </c>
    </row>
    <row r="1222" customFormat="false" ht="15" hidden="false" customHeight="false" outlineLevel="0" collapsed="false">
      <c r="A1222" s="39" t="s">
        <v>912</v>
      </c>
      <c r="B1222" s="39" t="s">
        <v>908</v>
      </c>
      <c r="C1222" s="39" t="s">
        <v>920</v>
      </c>
      <c r="D1222" s="39" t="s">
        <v>919</v>
      </c>
      <c r="E1222" s="39"/>
      <c r="F1222" s="39" t="s">
        <v>133</v>
      </c>
      <c r="G1222" s="60"/>
      <c r="H1222" s="58" t="n">
        <v>1613</v>
      </c>
      <c r="I1222" s="39" t="str">
        <f aca="false">A1222&amp;"|"&amp;B1222&amp;"|"&amp;D1222&amp;"|"&amp;E1222&amp;F1222</f>
        <v>home|Tulsa|scenario 5 (dwelling $500,000, deductible 1%)|frame</v>
      </c>
      <c r="J1222" s="34" t="n">
        <f aca="false" t="array" ref="J1222:J1222">MEDIAN(IF($I$4:$I$1803=I1222,$H$4:$H$1803))</f>
        <v>7057</v>
      </c>
      <c r="K1222" s="59" t="n">
        <f aca="false">H1222/J1222</f>
        <v>0.228567379906476</v>
      </c>
    </row>
    <row r="1223" customFormat="false" ht="15" hidden="false" customHeight="false" outlineLevel="0" collapsed="false">
      <c r="A1223" s="39" t="s">
        <v>912</v>
      </c>
      <c r="B1223" s="39" t="s">
        <v>908</v>
      </c>
      <c r="C1223" s="39" t="s">
        <v>920</v>
      </c>
      <c r="D1223" s="39" t="s">
        <v>919</v>
      </c>
      <c r="E1223" s="39"/>
      <c r="F1223" s="39" t="s">
        <v>915</v>
      </c>
      <c r="G1223" s="60"/>
      <c r="H1223" s="58" t="n">
        <v>1594</v>
      </c>
      <c r="I1223" s="39" t="str">
        <f aca="false">A1223&amp;"|"&amp;B1223&amp;"|"&amp;D1223&amp;"|"&amp;E1223&amp;F1223</f>
        <v>home|Tulsa|scenario 5 (dwelling $500,000, deductible 1%)|masonry</v>
      </c>
      <c r="J1223" s="34" t="n">
        <f aca="false" t="array" ref="J1223:J1223">MEDIAN(IF($I$4:$I$1803=I1223,$H$4:$H$1803))</f>
        <v>6356</v>
      </c>
      <c r="K1223" s="59" t="n">
        <f aca="false">H1223/J1223</f>
        <v>0.250786658275645</v>
      </c>
    </row>
    <row r="1224" customFormat="false" ht="15" hidden="false" customHeight="false" outlineLevel="0" collapsed="false">
      <c r="A1224" s="39" t="s">
        <v>912</v>
      </c>
      <c r="B1224" s="39" t="s">
        <v>908</v>
      </c>
      <c r="C1224" s="39" t="s">
        <v>921</v>
      </c>
      <c r="D1224" s="39" t="s">
        <v>914</v>
      </c>
      <c r="E1224" s="39"/>
      <c r="F1224" s="39" t="s">
        <v>133</v>
      </c>
      <c r="G1224" s="60"/>
      <c r="H1224" s="58" t="n">
        <v>4379</v>
      </c>
      <c r="I1224" s="39" t="str">
        <f aca="false">A1224&amp;"|"&amp;B1224&amp;"|"&amp;D1224&amp;"|"&amp;E1224&amp;F1224</f>
        <v>home|Tulsa|scenario 1 (dwelling $100,000, deductible 1%)|frame</v>
      </c>
      <c r="J1224" s="34" t="n">
        <f aca="false" t="array" ref="J1224:J1224">MEDIAN(IF($I$4:$I$1803=I1224,$H$4:$H$1803))</f>
        <v>2417.5</v>
      </c>
      <c r="K1224" s="59" t="n">
        <f aca="false">H1224/J1224</f>
        <v>1.81137538779731</v>
      </c>
    </row>
    <row r="1225" customFormat="false" ht="15" hidden="false" customHeight="false" outlineLevel="0" collapsed="false">
      <c r="A1225" s="39" t="s">
        <v>912</v>
      </c>
      <c r="B1225" s="39" t="s">
        <v>908</v>
      </c>
      <c r="C1225" s="39" t="s">
        <v>921</v>
      </c>
      <c r="D1225" s="39" t="s">
        <v>914</v>
      </c>
      <c r="E1225" s="39"/>
      <c r="F1225" s="39" t="s">
        <v>915</v>
      </c>
      <c r="G1225" s="60"/>
      <c r="H1225" s="58" t="n">
        <v>4291</v>
      </c>
      <c r="I1225" s="39" t="str">
        <f aca="false">A1225&amp;"|"&amp;B1225&amp;"|"&amp;D1225&amp;"|"&amp;E1225&amp;F1225</f>
        <v>home|Tulsa|scenario 1 (dwelling $100,000, deductible 1%)|masonry</v>
      </c>
      <c r="J1225" s="34" t="n">
        <f aca="false" t="array" ref="J1225:J1225">MEDIAN(IF($I$4:$I$1803=I1225,$H$4:$H$1803))</f>
        <v>2335</v>
      </c>
      <c r="K1225" s="59" t="n">
        <f aca="false">H1225/J1225</f>
        <v>1.83768736616702</v>
      </c>
    </row>
    <row r="1226" customFormat="false" ht="15" hidden="false" customHeight="false" outlineLevel="0" collapsed="false">
      <c r="A1226" s="39" t="s">
        <v>912</v>
      </c>
      <c r="B1226" s="39" t="s">
        <v>908</v>
      </c>
      <c r="C1226" s="39" t="s">
        <v>921</v>
      </c>
      <c r="D1226" s="39" t="s">
        <v>916</v>
      </c>
      <c r="E1226" s="39"/>
      <c r="F1226" s="39" t="s">
        <v>133</v>
      </c>
      <c r="G1226" s="60"/>
      <c r="H1226" s="58" t="n">
        <v>6262</v>
      </c>
      <c r="I1226" s="39" t="str">
        <f aca="false">A1226&amp;"|"&amp;B1226&amp;"|"&amp;D1226&amp;"|"&amp;E1226&amp;F1226</f>
        <v>home|Tulsa|scenario 2 (dwelling $200,000, deductible 1%)|frame</v>
      </c>
      <c r="J1226" s="34" t="n">
        <f aca="false" t="array" ref="J1226:J1226">MEDIAN(IF($I$4:$I$1803=I1226,$H$4:$H$1803))</f>
        <v>3472.5</v>
      </c>
      <c r="K1226" s="59" t="n">
        <f aca="false">H1226/J1226</f>
        <v>1.8033117350612</v>
      </c>
    </row>
    <row r="1227" customFormat="false" ht="15" hidden="false" customHeight="false" outlineLevel="0" collapsed="false">
      <c r="A1227" s="39" t="s">
        <v>912</v>
      </c>
      <c r="B1227" s="39" t="s">
        <v>908</v>
      </c>
      <c r="C1227" s="39" t="s">
        <v>921</v>
      </c>
      <c r="D1227" s="39" t="s">
        <v>916</v>
      </c>
      <c r="E1227" s="39"/>
      <c r="F1227" s="39" t="s">
        <v>915</v>
      </c>
      <c r="G1227" s="60"/>
      <c r="H1227" s="58" t="n">
        <v>6138</v>
      </c>
      <c r="I1227" s="39" t="str">
        <f aca="false">A1227&amp;"|"&amp;B1227&amp;"|"&amp;D1227&amp;"|"&amp;E1227&amp;F1227</f>
        <v>home|Tulsa|scenario 2 (dwelling $200,000, deductible 1%)|masonry</v>
      </c>
      <c r="J1227" s="34" t="n">
        <f aca="false" t="array" ref="J1227:J1227">MEDIAN(IF($I$4:$I$1803=I1227,$H$4:$H$1803))</f>
        <v>3490.5</v>
      </c>
      <c r="K1227" s="59" t="n">
        <f aca="false">H1227/J1227</f>
        <v>1.75848732273313</v>
      </c>
    </row>
    <row r="1228" customFormat="false" ht="15" hidden="false" customHeight="false" outlineLevel="0" collapsed="false">
      <c r="A1228" s="39" t="s">
        <v>912</v>
      </c>
      <c r="B1228" s="39" t="s">
        <v>908</v>
      </c>
      <c r="C1228" s="39" t="s">
        <v>921</v>
      </c>
      <c r="D1228" s="39" t="s">
        <v>917</v>
      </c>
      <c r="E1228" s="39"/>
      <c r="F1228" s="39" t="s">
        <v>133</v>
      </c>
      <c r="G1228" s="60"/>
      <c r="H1228" s="58" t="n">
        <v>7358</v>
      </c>
      <c r="I1228" s="39" t="str">
        <f aca="false">A1228&amp;"|"&amp;B1228&amp;"|"&amp;D1228&amp;"|"&amp;E1228&amp;F1228</f>
        <v>home|Tulsa|scenario 3 (dwelling $300,000, deductible 1%)|frame</v>
      </c>
      <c r="J1228" s="34" t="n">
        <f aca="false" t="array" ref="J1228:J1228">MEDIAN(IF($I$4:$I$1803=I1228,$H$4:$H$1803))</f>
        <v>4490.5</v>
      </c>
      <c r="K1228" s="59" t="n">
        <f aca="false">H1228/J1228</f>
        <v>1.63857031510968</v>
      </c>
    </row>
    <row r="1229" customFormat="false" ht="15" hidden="false" customHeight="false" outlineLevel="0" collapsed="false">
      <c r="A1229" s="39" t="s">
        <v>912</v>
      </c>
      <c r="B1229" s="39" t="s">
        <v>908</v>
      </c>
      <c r="C1229" s="39" t="s">
        <v>921</v>
      </c>
      <c r="D1229" s="39" t="s">
        <v>917</v>
      </c>
      <c r="E1229" s="39"/>
      <c r="F1229" s="39" t="s">
        <v>915</v>
      </c>
      <c r="G1229" s="60"/>
      <c r="H1229" s="58" t="n">
        <v>7212</v>
      </c>
      <c r="I1229" s="39" t="str">
        <f aca="false">A1229&amp;"|"&amp;B1229&amp;"|"&amp;D1229&amp;"|"&amp;E1229&amp;F1229</f>
        <v>home|Tulsa|scenario 3 (dwelling $300,000, deductible 1%)|masonry</v>
      </c>
      <c r="J1229" s="34" t="n">
        <f aca="false" t="array" ref="J1229:J1229">MEDIAN(IF($I$4:$I$1803=I1229,$H$4:$H$1803))</f>
        <v>4538</v>
      </c>
      <c r="K1229" s="59" t="n">
        <f aca="false">H1229/J1229</f>
        <v>1.58924636403702</v>
      </c>
    </row>
    <row r="1230" customFormat="false" ht="15" hidden="false" customHeight="false" outlineLevel="0" collapsed="false">
      <c r="A1230" s="39" t="s">
        <v>912</v>
      </c>
      <c r="B1230" s="39" t="s">
        <v>908</v>
      </c>
      <c r="C1230" s="39" t="s">
        <v>921</v>
      </c>
      <c r="D1230" s="39" t="s">
        <v>918</v>
      </c>
      <c r="E1230" s="39"/>
      <c r="F1230" s="39" t="s">
        <v>133</v>
      </c>
      <c r="G1230" s="60"/>
      <c r="H1230" s="58" t="n">
        <v>8684</v>
      </c>
      <c r="I1230" s="39" t="str">
        <f aca="false">A1230&amp;"|"&amp;B1230&amp;"|"&amp;D1230&amp;"|"&amp;E1230&amp;F1230</f>
        <v>home|Tulsa|scenario 4 (dwelling $400,000, deductible 1%)|frame</v>
      </c>
      <c r="J1230" s="34" t="n">
        <f aca="false" t="array" ref="J1230:J1230">MEDIAN(IF($I$4:$I$1803=I1230,$H$4:$H$1803))</f>
        <v>5784</v>
      </c>
      <c r="K1230" s="59" t="n">
        <f aca="false">H1230/J1230</f>
        <v>1.50138312586445</v>
      </c>
    </row>
    <row r="1231" customFormat="false" ht="15" hidden="false" customHeight="false" outlineLevel="0" collapsed="false">
      <c r="A1231" s="39" t="s">
        <v>912</v>
      </c>
      <c r="B1231" s="39" t="s">
        <v>908</v>
      </c>
      <c r="C1231" s="39" t="s">
        <v>921</v>
      </c>
      <c r="D1231" s="39" t="s">
        <v>918</v>
      </c>
      <c r="E1231" s="39"/>
      <c r="F1231" s="39" t="s">
        <v>915</v>
      </c>
      <c r="G1231" s="60"/>
      <c r="H1231" s="58" t="n">
        <v>8510</v>
      </c>
      <c r="I1231" s="39" t="str">
        <f aca="false">A1231&amp;"|"&amp;B1231&amp;"|"&amp;D1231&amp;"|"&amp;E1231&amp;F1231</f>
        <v>home|Tulsa|scenario 4 (dwelling $400,000, deductible 1%)|masonry</v>
      </c>
      <c r="J1231" s="34" t="n">
        <f aca="false" t="array" ref="J1231:J1231">MEDIAN(IF($I$4:$I$1803=I1231,$H$4:$H$1803))</f>
        <v>5535.5</v>
      </c>
      <c r="K1231" s="59" t="n">
        <f aca="false">H1231/J1231</f>
        <v>1.53734983289676</v>
      </c>
    </row>
    <row r="1232" customFormat="false" ht="15" hidden="false" customHeight="false" outlineLevel="0" collapsed="false">
      <c r="A1232" s="39" t="s">
        <v>912</v>
      </c>
      <c r="B1232" s="39" t="s">
        <v>908</v>
      </c>
      <c r="C1232" s="39" t="s">
        <v>921</v>
      </c>
      <c r="D1232" s="39" t="s">
        <v>919</v>
      </c>
      <c r="E1232" s="39"/>
      <c r="F1232" s="39" t="s">
        <v>133</v>
      </c>
      <c r="G1232" s="60"/>
      <c r="H1232" s="58" t="n">
        <v>9961</v>
      </c>
      <c r="I1232" s="39" t="str">
        <f aca="false">A1232&amp;"|"&amp;B1232&amp;"|"&amp;D1232&amp;"|"&amp;E1232&amp;F1232</f>
        <v>home|Tulsa|scenario 5 (dwelling $500,000, deductible 1%)|frame</v>
      </c>
      <c r="J1232" s="34" t="n">
        <f aca="false" t="array" ref="J1232:J1232">MEDIAN(IF($I$4:$I$1803=I1232,$H$4:$H$1803))</f>
        <v>7057</v>
      </c>
      <c r="K1232" s="59" t="n">
        <f aca="false">H1232/J1232</f>
        <v>1.41150630579566</v>
      </c>
    </row>
    <row r="1233" customFormat="false" ht="15" hidden="false" customHeight="false" outlineLevel="0" collapsed="false">
      <c r="A1233" s="39" t="s">
        <v>912</v>
      </c>
      <c r="B1233" s="39" t="s">
        <v>908</v>
      </c>
      <c r="C1233" s="39" t="s">
        <v>921</v>
      </c>
      <c r="D1233" s="39" t="s">
        <v>919</v>
      </c>
      <c r="E1233" s="39"/>
      <c r="F1233" s="39" t="s">
        <v>915</v>
      </c>
      <c r="G1233" s="60"/>
      <c r="H1233" s="58" t="n">
        <v>9761</v>
      </c>
      <c r="I1233" s="39" t="str">
        <f aca="false">A1233&amp;"|"&amp;B1233&amp;"|"&amp;D1233&amp;"|"&amp;E1233&amp;F1233</f>
        <v>home|Tulsa|scenario 5 (dwelling $500,000, deductible 1%)|masonry</v>
      </c>
      <c r="J1233" s="34" t="n">
        <f aca="false" t="array" ref="J1233:J1233">MEDIAN(IF($I$4:$I$1803=I1233,$H$4:$H$1803))</f>
        <v>6356</v>
      </c>
      <c r="K1233" s="59" t="n">
        <f aca="false">H1233/J1233</f>
        <v>1.53571428571429</v>
      </c>
    </row>
    <row r="1234" customFormat="false" ht="15" hidden="false" customHeight="false" outlineLevel="0" collapsed="false">
      <c r="A1234" s="39" t="s">
        <v>912</v>
      </c>
      <c r="B1234" s="39" t="s">
        <v>908</v>
      </c>
      <c r="C1234" s="39" t="s">
        <v>889</v>
      </c>
      <c r="D1234" s="39" t="s">
        <v>914</v>
      </c>
      <c r="E1234" s="39"/>
      <c r="F1234" s="39" t="s">
        <v>133</v>
      </c>
      <c r="G1234" s="60"/>
      <c r="H1234" s="58" t="n">
        <v>1934</v>
      </c>
      <c r="I1234" s="39" t="str">
        <f aca="false">A1234&amp;"|"&amp;B1234&amp;"|"&amp;D1234&amp;"|"&amp;E1234&amp;F1234</f>
        <v>home|Tulsa|scenario 1 (dwelling $100,000, deductible 1%)|frame</v>
      </c>
      <c r="J1234" s="34" t="n">
        <f aca="false" t="array" ref="J1234:J1234">MEDIAN(IF($I$4:$I$1803=I1234,$H$4:$H$1803))</f>
        <v>2417.5</v>
      </c>
      <c r="K1234" s="59" t="n">
        <f aca="false">H1234/J1234</f>
        <v>0.8</v>
      </c>
    </row>
    <row r="1235" customFormat="false" ht="15" hidden="false" customHeight="false" outlineLevel="0" collapsed="false">
      <c r="A1235" s="39" t="s">
        <v>912</v>
      </c>
      <c r="B1235" s="39" t="s">
        <v>908</v>
      </c>
      <c r="C1235" s="39" t="s">
        <v>889</v>
      </c>
      <c r="D1235" s="39" t="s">
        <v>914</v>
      </c>
      <c r="E1235" s="39"/>
      <c r="F1235" s="39" t="s">
        <v>915</v>
      </c>
      <c r="G1235" s="60"/>
      <c r="H1235" s="58" t="n">
        <v>1753</v>
      </c>
      <c r="I1235" s="39" t="str">
        <f aca="false">A1235&amp;"|"&amp;B1235&amp;"|"&amp;D1235&amp;"|"&amp;E1235&amp;F1235</f>
        <v>home|Tulsa|scenario 1 (dwelling $100,000, deductible 1%)|masonry</v>
      </c>
      <c r="J1235" s="34" t="n">
        <f aca="false" t="array" ref="J1235:J1235">MEDIAN(IF($I$4:$I$1803=I1235,$H$4:$H$1803))</f>
        <v>2335</v>
      </c>
      <c r="K1235" s="59" t="n">
        <f aca="false">H1235/J1235</f>
        <v>0.750749464668094</v>
      </c>
    </row>
    <row r="1236" customFormat="false" ht="15" hidden="false" customHeight="false" outlineLevel="0" collapsed="false">
      <c r="A1236" s="39" t="s">
        <v>912</v>
      </c>
      <c r="B1236" s="39" t="s">
        <v>908</v>
      </c>
      <c r="C1236" s="39" t="s">
        <v>889</v>
      </c>
      <c r="D1236" s="39" t="s">
        <v>916</v>
      </c>
      <c r="E1236" s="39"/>
      <c r="F1236" s="39" t="s">
        <v>133</v>
      </c>
      <c r="G1236" s="60"/>
      <c r="H1236" s="58" t="n">
        <v>2935</v>
      </c>
      <c r="I1236" s="39" t="str">
        <f aca="false">A1236&amp;"|"&amp;B1236&amp;"|"&amp;D1236&amp;"|"&amp;E1236&amp;F1236</f>
        <v>home|Tulsa|scenario 2 (dwelling $200,000, deductible 1%)|frame</v>
      </c>
      <c r="J1236" s="34" t="n">
        <f aca="false" t="array" ref="J1236:J1236">MEDIAN(IF($I$4:$I$1803=I1236,$H$4:$H$1803))</f>
        <v>3472.5</v>
      </c>
      <c r="K1236" s="59" t="n">
        <f aca="false">H1236/J1236</f>
        <v>0.845212383009359</v>
      </c>
    </row>
    <row r="1237" customFormat="false" ht="15" hidden="false" customHeight="false" outlineLevel="0" collapsed="false">
      <c r="A1237" s="39" t="s">
        <v>912</v>
      </c>
      <c r="B1237" s="39" t="s">
        <v>908</v>
      </c>
      <c r="C1237" s="39" t="s">
        <v>889</v>
      </c>
      <c r="D1237" s="39" t="s">
        <v>916</v>
      </c>
      <c r="E1237" s="39"/>
      <c r="F1237" s="39" t="s">
        <v>915</v>
      </c>
      <c r="G1237" s="60"/>
      <c r="H1237" s="58" t="n">
        <v>2662</v>
      </c>
      <c r="I1237" s="39" t="str">
        <f aca="false">A1237&amp;"|"&amp;B1237&amp;"|"&amp;D1237&amp;"|"&amp;E1237&amp;F1237</f>
        <v>home|Tulsa|scenario 2 (dwelling $200,000, deductible 1%)|masonry</v>
      </c>
      <c r="J1237" s="34" t="n">
        <f aca="false" t="array" ref="J1237:J1237">MEDIAN(IF($I$4:$I$1803=I1237,$H$4:$H$1803))</f>
        <v>3490.5</v>
      </c>
      <c r="K1237" s="59" t="n">
        <f aca="false">H1237/J1237</f>
        <v>0.762641455378886</v>
      </c>
    </row>
    <row r="1238" customFormat="false" ht="15" hidden="false" customHeight="false" outlineLevel="0" collapsed="false">
      <c r="A1238" s="39" t="s">
        <v>912</v>
      </c>
      <c r="B1238" s="39" t="s">
        <v>908</v>
      </c>
      <c r="C1238" s="39" t="s">
        <v>889</v>
      </c>
      <c r="D1238" s="39" t="s">
        <v>917</v>
      </c>
      <c r="E1238" s="39"/>
      <c r="F1238" s="39" t="s">
        <v>133</v>
      </c>
      <c r="G1238" s="60"/>
      <c r="H1238" s="58" t="n">
        <v>3935</v>
      </c>
      <c r="I1238" s="39" t="str">
        <f aca="false">A1238&amp;"|"&amp;B1238&amp;"|"&amp;D1238&amp;"|"&amp;E1238&amp;F1238</f>
        <v>home|Tulsa|scenario 3 (dwelling $300,000, deductible 1%)|frame</v>
      </c>
      <c r="J1238" s="34" t="n">
        <f aca="false" t="array" ref="J1238:J1238">MEDIAN(IF($I$4:$I$1803=I1238,$H$4:$H$1803))</f>
        <v>4490.5</v>
      </c>
      <c r="K1238" s="59" t="n">
        <f aca="false">H1238/J1238</f>
        <v>0.876294399287385</v>
      </c>
    </row>
    <row r="1239" customFormat="false" ht="15" hidden="false" customHeight="false" outlineLevel="0" collapsed="false">
      <c r="A1239" s="39" t="s">
        <v>912</v>
      </c>
      <c r="B1239" s="39" t="s">
        <v>908</v>
      </c>
      <c r="C1239" s="39" t="s">
        <v>889</v>
      </c>
      <c r="D1239" s="39" t="s">
        <v>917</v>
      </c>
      <c r="E1239" s="39"/>
      <c r="F1239" s="39" t="s">
        <v>915</v>
      </c>
      <c r="G1239" s="60"/>
      <c r="H1239" s="58" t="n">
        <v>3571</v>
      </c>
      <c r="I1239" s="39" t="str">
        <f aca="false">A1239&amp;"|"&amp;B1239&amp;"|"&amp;D1239&amp;"|"&amp;E1239&amp;F1239</f>
        <v>home|Tulsa|scenario 3 (dwelling $300,000, deductible 1%)|masonry</v>
      </c>
      <c r="J1239" s="34" t="n">
        <f aca="false" t="array" ref="J1239:J1239">MEDIAN(IF($I$4:$I$1803=I1239,$H$4:$H$1803))</f>
        <v>4538</v>
      </c>
      <c r="K1239" s="59" t="n">
        <f aca="false">H1239/J1239</f>
        <v>0.78691053327457</v>
      </c>
    </row>
    <row r="1240" customFormat="false" ht="15" hidden="false" customHeight="false" outlineLevel="0" collapsed="false">
      <c r="A1240" s="39" t="s">
        <v>912</v>
      </c>
      <c r="B1240" s="39" t="s">
        <v>908</v>
      </c>
      <c r="C1240" s="39" t="s">
        <v>889</v>
      </c>
      <c r="D1240" s="39" t="s">
        <v>918</v>
      </c>
      <c r="E1240" s="39"/>
      <c r="F1240" s="39" t="s">
        <v>133</v>
      </c>
      <c r="G1240" s="60"/>
      <c r="H1240" s="58" t="n">
        <v>5497</v>
      </c>
      <c r="I1240" s="39" t="str">
        <f aca="false">A1240&amp;"|"&amp;B1240&amp;"|"&amp;D1240&amp;"|"&amp;E1240&amp;F1240</f>
        <v>home|Tulsa|scenario 4 (dwelling $400,000, deductible 1%)|frame</v>
      </c>
      <c r="J1240" s="34" t="n">
        <f aca="false" t="array" ref="J1240:J1240">MEDIAN(IF($I$4:$I$1803=I1240,$H$4:$H$1803))</f>
        <v>5784</v>
      </c>
      <c r="K1240" s="59" t="n">
        <f aca="false">H1240/J1240</f>
        <v>0.950380359612725</v>
      </c>
    </row>
    <row r="1241" customFormat="false" ht="15" hidden="false" customHeight="false" outlineLevel="0" collapsed="false">
      <c r="A1241" s="39" t="s">
        <v>912</v>
      </c>
      <c r="B1241" s="39" t="s">
        <v>908</v>
      </c>
      <c r="C1241" s="39" t="s">
        <v>889</v>
      </c>
      <c r="D1241" s="39" t="s">
        <v>918</v>
      </c>
      <c r="E1241" s="39"/>
      <c r="F1241" s="39" t="s">
        <v>915</v>
      </c>
      <c r="G1241" s="60"/>
      <c r="H1241" s="58" t="n">
        <v>4987</v>
      </c>
      <c r="I1241" s="39" t="str">
        <f aca="false">A1241&amp;"|"&amp;B1241&amp;"|"&amp;D1241&amp;"|"&amp;E1241&amp;F1241</f>
        <v>home|Tulsa|scenario 4 (dwelling $400,000, deductible 1%)|masonry</v>
      </c>
      <c r="J1241" s="34" t="n">
        <f aca="false" t="array" ref="J1241:J1241">MEDIAN(IF($I$4:$I$1803=I1241,$H$4:$H$1803))</f>
        <v>5535.5</v>
      </c>
      <c r="K1241" s="59" t="n">
        <f aca="false">H1241/J1241</f>
        <v>0.900912293379099</v>
      </c>
    </row>
    <row r="1242" customFormat="false" ht="15" hidden="false" customHeight="false" outlineLevel="0" collapsed="false">
      <c r="A1242" s="39" t="s">
        <v>912</v>
      </c>
      <c r="B1242" s="39" t="s">
        <v>908</v>
      </c>
      <c r="C1242" s="39" t="s">
        <v>889</v>
      </c>
      <c r="D1242" s="39" t="s">
        <v>919</v>
      </c>
      <c r="E1242" s="39"/>
      <c r="F1242" s="39" t="s">
        <v>133</v>
      </c>
      <c r="G1242" s="60"/>
      <c r="H1242" s="58" t="n">
        <v>6942</v>
      </c>
      <c r="I1242" s="39" t="str">
        <f aca="false">A1242&amp;"|"&amp;B1242&amp;"|"&amp;D1242&amp;"|"&amp;E1242&amp;F1242</f>
        <v>home|Tulsa|scenario 5 (dwelling $500,000, deductible 1%)|frame</v>
      </c>
      <c r="J1242" s="34" t="n">
        <f aca="false" t="array" ref="J1242:J1242">MEDIAN(IF($I$4:$I$1803=I1242,$H$4:$H$1803))</f>
        <v>7057</v>
      </c>
      <c r="K1242" s="59" t="n">
        <f aca="false">H1242/J1242</f>
        <v>0.983704123565254</v>
      </c>
    </row>
    <row r="1243" customFormat="false" ht="15" hidden="false" customHeight="false" outlineLevel="0" collapsed="false">
      <c r="A1243" s="39" t="s">
        <v>912</v>
      </c>
      <c r="B1243" s="39" t="s">
        <v>908</v>
      </c>
      <c r="C1243" s="39" t="s">
        <v>889</v>
      </c>
      <c r="D1243" s="39" t="s">
        <v>919</v>
      </c>
      <c r="E1243" s="39"/>
      <c r="F1243" s="39" t="s">
        <v>915</v>
      </c>
      <c r="G1243" s="60"/>
      <c r="H1243" s="58" t="n">
        <v>6297</v>
      </c>
      <c r="I1243" s="39" t="str">
        <f aca="false">A1243&amp;"|"&amp;B1243&amp;"|"&amp;D1243&amp;"|"&amp;E1243&amp;F1243</f>
        <v>home|Tulsa|scenario 5 (dwelling $500,000, deductible 1%)|masonry</v>
      </c>
      <c r="J1243" s="34" t="n">
        <f aca="false" t="array" ref="J1243:J1243">MEDIAN(IF($I$4:$I$1803=I1243,$H$4:$H$1803))</f>
        <v>6356</v>
      </c>
      <c r="K1243" s="59" t="n">
        <f aca="false">H1243/J1243</f>
        <v>0.990717432347388</v>
      </c>
    </row>
    <row r="1244" customFormat="false" ht="15" hidden="false" customHeight="false" outlineLevel="0" collapsed="false">
      <c r="A1244" s="39" t="s">
        <v>912</v>
      </c>
      <c r="B1244" s="39" t="s">
        <v>908</v>
      </c>
      <c r="C1244" s="39" t="s">
        <v>922</v>
      </c>
      <c r="D1244" s="39" t="s">
        <v>914</v>
      </c>
      <c r="E1244" s="39"/>
      <c r="F1244" s="39" t="s">
        <v>133</v>
      </c>
      <c r="G1244" s="60"/>
      <c r="H1244" s="58" t="n">
        <v>1864</v>
      </c>
      <c r="I1244" s="39" t="str">
        <f aca="false">A1244&amp;"|"&amp;B1244&amp;"|"&amp;D1244&amp;"|"&amp;E1244&amp;F1244</f>
        <v>home|Tulsa|scenario 1 (dwelling $100,000, deductible 1%)|frame</v>
      </c>
      <c r="J1244" s="34" t="n">
        <f aca="false" t="array" ref="J1244:J1244">MEDIAN(IF($I$4:$I$1803=I1244,$H$4:$H$1803))</f>
        <v>2417.5</v>
      </c>
      <c r="K1244" s="59" t="n">
        <f aca="false">H1244/J1244</f>
        <v>0.771044467425026</v>
      </c>
    </row>
    <row r="1245" customFormat="false" ht="15" hidden="false" customHeight="false" outlineLevel="0" collapsed="false">
      <c r="A1245" s="39" t="s">
        <v>912</v>
      </c>
      <c r="B1245" s="39" t="s">
        <v>908</v>
      </c>
      <c r="C1245" s="39" t="s">
        <v>922</v>
      </c>
      <c r="D1245" s="39" t="s">
        <v>914</v>
      </c>
      <c r="E1245" s="39"/>
      <c r="F1245" s="39" t="s">
        <v>915</v>
      </c>
      <c r="G1245" s="60"/>
      <c r="H1245" s="58" t="n">
        <v>1783</v>
      </c>
      <c r="I1245" s="39" t="str">
        <f aca="false">A1245&amp;"|"&amp;B1245&amp;"|"&amp;D1245&amp;"|"&amp;E1245&amp;F1245</f>
        <v>home|Tulsa|scenario 1 (dwelling $100,000, deductible 1%)|masonry</v>
      </c>
      <c r="J1245" s="34" t="n">
        <f aca="false" t="array" ref="J1245:J1245">MEDIAN(IF($I$4:$I$1803=I1245,$H$4:$H$1803))</f>
        <v>2335</v>
      </c>
      <c r="K1245" s="59" t="n">
        <f aca="false">H1245/J1245</f>
        <v>0.763597430406852</v>
      </c>
    </row>
    <row r="1246" customFormat="false" ht="15" hidden="false" customHeight="false" outlineLevel="0" collapsed="false">
      <c r="A1246" s="39" t="s">
        <v>912</v>
      </c>
      <c r="B1246" s="39" t="s">
        <v>908</v>
      </c>
      <c r="C1246" s="39" t="s">
        <v>922</v>
      </c>
      <c r="D1246" s="39" t="s">
        <v>916</v>
      </c>
      <c r="E1246" s="39"/>
      <c r="F1246" s="39" t="s">
        <v>133</v>
      </c>
      <c r="G1246" s="60"/>
      <c r="H1246" s="58" t="n">
        <v>2967</v>
      </c>
      <c r="I1246" s="39" t="str">
        <f aca="false">A1246&amp;"|"&amp;B1246&amp;"|"&amp;D1246&amp;"|"&amp;E1246&amp;F1246</f>
        <v>home|Tulsa|scenario 2 (dwelling $200,000, deductible 1%)|frame</v>
      </c>
      <c r="J1246" s="34" t="n">
        <f aca="false" t="array" ref="J1246:J1246">MEDIAN(IF($I$4:$I$1803=I1246,$H$4:$H$1803))</f>
        <v>3472.5</v>
      </c>
      <c r="K1246" s="59" t="n">
        <f aca="false">H1246/J1246</f>
        <v>0.854427645788337</v>
      </c>
    </row>
    <row r="1247" customFormat="false" ht="15" hidden="false" customHeight="false" outlineLevel="0" collapsed="false">
      <c r="A1247" s="39" t="s">
        <v>912</v>
      </c>
      <c r="B1247" s="39" t="s">
        <v>908</v>
      </c>
      <c r="C1247" s="39" t="s">
        <v>922</v>
      </c>
      <c r="D1247" s="39" t="s">
        <v>916</v>
      </c>
      <c r="E1247" s="39"/>
      <c r="F1247" s="39" t="s">
        <v>915</v>
      </c>
      <c r="G1247" s="60"/>
      <c r="H1247" s="58" t="n">
        <v>2837</v>
      </c>
      <c r="I1247" s="39" t="str">
        <f aca="false">A1247&amp;"|"&amp;B1247&amp;"|"&amp;D1247&amp;"|"&amp;E1247&amp;F1247</f>
        <v>home|Tulsa|scenario 2 (dwelling $200,000, deductible 1%)|masonry</v>
      </c>
      <c r="J1247" s="34" t="n">
        <f aca="false" t="array" ref="J1247:J1247">MEDIAN(IF($I$4:$I$1803=I1247,$H$4:$H$1803))</f>
        <v>3490.5</v>
      </c>
      <c r="K1247" s="59" t="n">
        <f aca="false">H1247/J1247</f>
        <v>0.812777539034522</v>
      </c>
    </row>
    <row r="1248" customFormat="false" ht="15" hidden="false" customHeight="false" outlineLevel="0" collapsed="false">
      <c r="A1248" s="39" t="s">
        <v>912</v>
      </c>
      <c r="B1248" s="39" t="s">
        <v>908</v>
      </c>
      <c r="C1248" s="39" t="s">
        <v>922</v>
      </c>
      <c r="D1248" s="39" t="s">
        <v>917</v>
      </c>
      <c r="E1248" s="39"/>
      <c r="F1248" s="39" t="s">
        <v>133</v>
      </c>
      <c r="G1248" s="60"/>
      <c r="H1248" s="58" t="n">
        <v>3951</v>
      </c>
      <c r="I1248" s="39" t="str">
        <f aca="false">A1248&amp;"|"&amp;B1248&amp;"|"&amp;D1248&amp;"|"&amp;E1248&amp;F1248</f>
        <v>home|Tulsa|scenario 3 (dwelling $300,000, deductible 1%)|frame</v>
      </c>
      <c r="J1248" s="34" t="n">
        <f aca="false" t="array" ref="J1248:J1248">MEDIAN(IF($I$4:$I$1803=I1248,$H$4:$H$1803))</f>
        <v>4490.5</v>
      </c>
      <c r="K1248" s="59" t="n">
        <f aca="false">H1248/J1248</f>
        <v>0.879857476895669</v>
      </c>
    </row>
    <row r="1249" customFormat="false" ht="15" hidden="false" customHeight="false" outlineLevel="0" collapsed="false">
      <c r="A1249" s="39" t="s">
        <v>912</v>
      </c>
      <c r="B1249" s="39" t="s">
        <v>908</v>
      </c>
      <c r="C1249" s="39" t="s">
        <v>922</v>
      </c>
      <c r="D1249" s="39" t="s">
        <v>917</v>
      </c>
      <c r="E1249" s="39"/>
      <c r="F1249" s="39" t="s">
        <v>915</v>
      </c>
      <c r="G1249" s="60"/>
      <c r="H1249" s="58" t="n">
        <v>3779</v>
      </c>
      <c r="I1249" s="39" t="str">
        <f aca="false">A1249&amp;"|"&amp;B1249&amp;"|"&amp;D1249&amp;"|"&amp;E1249&amp;F1249</f>
        <v>home|Tulsa|scenario 3 (dwelling $300,000, deductible 1%)|masonry</v>
      </c>
      <c r="J1249" s="34" t="n">
        <f aca="false" t="array" ref="J1249:J1249">MEDIAN(IF($I$4:$I$1803=I1249,$H$4:$H$1803))</f>
        <v>4538</v>
      </c>
      <c r="K1249" s="59" t="n">
        <f aca="false">H1249/J1249</f>
        <v>0.832745702952843</v>
      </c>
    </row>
    <row r="1250" customFormat="false" ht="15" hidden="false" customHeight="false" outlineLevel="0" collapsed="false">
      <c r="A1250" s="39" t="s">
        <v>912</v>
      </c>
      <c r="B1250" s="39" t="s">
        <v>908</v>
      </c>
      <c r="C1250" s="39" t="s">
        <v>922</v>
      </c>
      <c r="D1250" s="39" t="s">
        <v>918</v>
      </c>
      <c r="E1250" s="39"/>
      <c r="F1250" s="39" t="s">
        <v>133</v>
      </c>
      <c r="G1250" s="60"/>
      <c r="H1250" s="58" t="n">
        <v>4827</v>
      </c>
      <c r="I1250" s="39" t="str">
        <f aca="false">A1250&amp;"|"&amp;B1250&amp;"|"&amp;D1250&amp;"|"&amp;E1250&amp;F1250</f>
        <v>home|Tulsa|scenario 4 (dwelling $400,000, deductible 1%)|frame</v>
      </c>
      <c r="J1250" s="34" t="n">
        <f aca="false" t="array" ref="J1250:J1250">MEDIAN(IF($I$4:$I$1803=I1250,$H$4:$H$1803))</f>
        <v>5784</v>
      </c>
      <c r="K1250" s="59" t="n">
        <f aca="false">H1250/J1250</f>
        <v>0.83454356846473</v>
      </c>
    </row>
    <row r="1251" customFormat="false" ht="15" hidden="false" customHeight="false" outlineLevel="0" collapsed="false">
      <c r="A1251" s="39" t="s">
        <v>912</v>
      </c>
      <c r="B1251" s="39" t="s">
        <v>908</v>
      </c>
      <c r="C1251" s="39" t="s">
        <v>922</v>
      </c>
      <c r="D1251" s="39" t="s">
        <v>918</v>
      </c>
      <c r="E1251" s="39"/>
      <c r="F1251" s="39" t="s">
        <v>915</v>
      </c>
      <c r="G1251" s="60"/>
      <c r="H1251" s="58" t="n">
        <v>4619</v>
      </c>
      <c r="I1251" s="39" t="str">
        <f aca="false">A1251&amp;"|"&amp;B1251&amp;"|"&amp;D1251&amp;"|"&amp;E1251&amp;F1251</f>
        <v>home|Tulsa|scenario 4 (dwelling $400,000, deductible 1%)|masonry</v>
      </c>
      <c r="J1251" s="34" t="n">
        <f aca="false" t="array" ref="J1251:J1251">MEDIAN(IF($I$4:$I$1803=I1251,$H$4:$H$1803))</f>
        <v>5535.5</v>
      </c>
      <c r="K1251" s="59" t="n">
        <f aca="false">H1251/J1251</f>
        <v>0.834432300605185</v>
      </c>
    </row>
    <row r="1252" customFormat="false" ht="15" hidden="false" customHeight="false" outlineLevel="0" collapsed="false">
      <c r="A1252" s="39" t="s">
        <v>912</v>
      </c>
      <c r="B1252" s="39" t="s">
        <v>908</v>
      </c>
      <c r="C1252" s="39" t="s">
        <v>922</v>
      </c>
      <c r="D1252" s="39" t="s">
        <v>919</v>
      </c>
      <c r="E1252" s="39"/>
      <c r="F1252" s="39" t="s">
        <v>133</v>
      </c>
      <c r="G1252" s="60"/>
      <c r="H1252" s="58" t="n">
        <v>5280</v>
      </c>
      <c r="I1252" s="39" t="str">
        <f aca="false">A1252&amp;"|"&amp;B1252&amp;"|"&amp;D1252&amp;"|"&amp;E1252&amp;F1252</f>
        <v>home|Tulsa|scenario 5 (dwelling $500,000, deductible 1%)|frame</v>
      </c>
      <c r="J1252" s="34" t="n">
        <f aca="false" t="array" ref="J1252:J1252">MEDIAN(IF($I$4:$I$1803=I1252,$H$4:$H$1803))</f>
        <v>7057</v>
      </c>
      <c r="K1252" s="59" t="n">
        <f aca="false">H1252/J1252</f>
        <v>0.748193283264844</v>
      </c>
    </row>
    <row r="1253" customFormat="false" ht="15" hidden="false" customHeight="false" outlineLevel="0" collapsed="false">
      <c r="A1253" s="39" t="s">
        <v>912</v>
      </c>
      <c r="B1253" s="39" t="s">
        <v>908</v>
      </c>
      <c r="C1253" s="39" t="s">
        <v>922</v>
      </c>
      <c r="D1253" s="39" t="s">
        <v>919</v>
      </c>
      <c r="E1253" s="39"/>
      <c r="F1253" s="39" t="s">
        <v>915</v>
      </c>
      <c r="G1253" s="60"/>
      <c r="H1253" s="58" t="n">
        <v>5062</v>
      </c>
      <c r="I1253" s="39" t="str">
        <f aca="false">A1253&amp;"|"&amp;B1253&amp;"|"&amp;D1253&amp;"|"&amp;E1253&amp;F1253</f>
        <v>home|Tulsa|scenario 5 (dwelling $500,000, deductible 1%)|masonry</v>
      </c>
      <c r="J1253" s="34" t="n">
        <f aca="false" t="array" ref="J1253:J1253">MEDIAN(IF($I$4:$I$1803=I1253,$H$4:$H$1803))</f>
        <v>6356</v>
      </c>
      <c r="K1253" s="59" t="n">
        <f aca="false">H1253/J1253</f>
        <v>0.796412838263059</v>
      </c>
    </row>
    <row r="1254" customFormat="false" ht="15" hidden="false" customHeight="false" outlineLevel="0" collapsed="false">
      <c r="A1254" s="39" t="s">
        <v>912</v>
      </c>
      <c r="B1254" s="39" t="s">
        <v>908</v>
      </c>
      <c r="C1254" s="39" t="s">
        <v>923</v>
      </c>
      <c r="D1254" s="39" t="s">
        <v>914</v>
      </c>
      <c r="E1254" s="39"/>
      <c r="F1254" s="39" t="s">
        <v>133</v>
      </c>
      <c r="G1254" s="60"/>
      <c r="H1254" s="58" t="n">
        <v>2176</v>
      </c>
      <c r="I1254" s="39" t="str">
        <f aca="false">A1254&amp;"|"&amp;B1254&amp;"|"&amp;D1254&amp;"|"&amp;E1254&amp;F1254</f>
        <v>home|Tulsa|scenario 1 (dwelling $100,000, deductible 1%)|frame</v>
      </c>
      <c r="J1254" s="34" t="n">
        <f aca="false" t="array" ref="J1254:J1254">MEDIAN(IF($I$4:$I$1803=I1254,$H$4:$H$1803))</f>
        <v>2417.5</v>
      </c>
      <c r="K1254" s="59" t="n">
        <f aca="false">H1254/J1254</f>
        <v>0.900103412616339</v>
      </c>
    </row>
    <row r="1255" customFormat="false" ht="15" hidden="false" customHeight="false" outlineLevel="0" collapsed="false">
      <c r="A1255" s="39" t="s">
        <v>912</v>
      </c>
      <c r="B1255" s="39" t="s">
        <v>908</v>
      </c>
      <c r="C1255" s="39" t="s">
        <v>923</v>
      </c>
      <c r="D1255" s="39" t="s">
        <v>914</v>
      </c>
      <c r="E1255" s="39"/>
      <c r="F1255" s="39" t="s">
        <v>915</v>
      </c>
      <c r="G1255" s="60"/>
      <c r="H1255" s="58" t="n">
        <v>2167</v>
      </c>
      <c r="I1255" s="39" t="str">
        <f aca="false">A1255&amp;"|"&amp;B1255&amp;"|"&amp;D1255&amp;"|"&amp;E1255&amp;F1255</f>
        <v>home|Tulsa|scenario 1 (dwelling $100,000, deductible 1%)|masonry</v>
      </c>
      <c r="J1255" s="34" t="n">
        <f aca="false" t="array" ref="J1255:J1255">MEDIAN(IF($I$4:$I$1803=I1255,$H$4:$H$1803))</f>
        <v>2335</v>
      </c>
      <c r="K1255" s="59" t="n">
        <f aca="false">H1255/J1255</f>
        <v>0.928051391862955</v>
      </c>
    </row>
    <row r="1256" customFormat="false" ht="15" hidden="false" customHeight="false" outlineLevel="0" collapsed="false">
      <c r="A1256" s="39" t="s">
        <v>912</v>
      </c>
      <c r="B1256" s="39" t="s">
        <v>908</v>
      </c>
      <c r="C1256" s="39" t="s">
        <v>923</v>
      </c>
      <c r="D1256" s="39" t="s">
        <v>916</v>
      </c>
      <c r="E1256" s="39"/>
      <c r="F1256" s="39" t="s">
        <v>133</v>
      </c>
      <c r="G1256" s="60"/>
      <c r="H1256" s="58" t="n">
        <v>2431</v>
      </c>
      <c r="I1256" s="39" t="str">
        <f aca="false">A1256&amp;"|"&amp;B1256&amp;"|"&amp;D1256&amp;"|"&amp;E1256&amp;F1256</f>
        <v>home|Tulsa|scenario 2 (dwelling $200,000, deductible 1%)|frame</v>
      </c>
      <c r="J1256" s="34" t="n">
        <f aca="false" t="array" ref="J1256:J1256">MEDIAN(IF($I$4:$I$1803=I1256,$H$4:$H$1803))</f>
        <v>3472.5</v>
      </c>
      <c r="K1256" s="59" t="n">
        <f aca="false">H1256/J1256</f>
        <v>0.700071994240461</v>
      </c>
    </row>
    <row r="1257" customFormat="false" ht="15" hidden="false" customHeight="false" outlineLevel="0" collapsed="false">
      <c r="A1257" s="39" t="s">
        <v>912</v>
      </c>
      <c r="B1257" s="39" t="s">
        <v>908</v>
      </c>
      <c r="C1257" s="39" t="s">
        <v>923</v>
      </c>
      <c r="D1257" s="39" t="s">
        <v>916</v>
      </c>
      <c r="E1257" s="39"/>
      <c r="F1257" s="39" t="s">
        <v>915</v>
      </c>
      <c r="G1257" s="60"/>
      <c r="H1257" s="58" t="n">
        <v>2417</v>
      </c>
      <c r="I1257" s="39" t="str">
        <f aca="false">A1257&amp;"|"&amp;B1257&amp;"|"&amp;D1257&amp;"|"&amp;E1257&amp;F1257</f>
        <v>home|Tulsa|scenario 2 (dwelling $200,000, deductible 1%)|masonry</v>
      </c>
      <c r="J1257" s="34" t="n">
        <f aca="false" t="array" ref="J1257:J1257">MEDIAN(IF($I$4:$I$1803=I1257,$H$4:$H$1803))</f>
        <v>3490.5</v>
      </c>
      <c r="K1257" s="59" t="n">
        <f aca="false">H1257/J1257</f>
        <v>0.692450938260994</v>
      </c>
    </row>
    <row r="1258" customFormat="false" ht="15" hidden="false" customHeight="false" outlineLevel="0" collapsed="false">
      <c r="A1258" s="39" t="s">
        <v>912</v>
      </c>
      <c r="B1258" s="39" t="s">
        <v>908</v>
      </c>
      <c r="C1258" s="39" t="s">
        <v>923</v>
      </c>
      <c r="D1258" s="39" t="s">
        <v>917</v>
      </c>
      <c r="E1258" s="39"/>
      <c r="F1258" s="39" t="s">
        <v>133</v>
      </c>
      <c r="G1258" s="60"/>
      <c r="H1258" s="58" t="n">
        <v>2695</v>
      </c>
      <c r="I1258" s="39" t="str">
        <f aca="false">A1258&amp;"|"&amp;B1258&amp;"|"&amp;D1258&amp;"|"&amp;E1258&amp;F1258</f>
        <v>home|Tulsa|scenario 3 (dwelling $300,000, deductible 1%)|frame</v>
      </c>
      <c r="J1258" s="34" t="n">
        <f aca="false" t="array" ref="J1258:J1258">MEDIAN(IF($I$4:$I$1803=I1258,$H$4:$H$1803))</f>
        <v>4490.5</v>
      </c>
      <c r="K1258" s="59" t="n">
        <f aca="false">H1258/J1258</f>
        <v>0.600155884645362</v>
      </c>
    </row>
    <row r="1259" customFormat="false" ht="15" hidden="false" customHeight="false" outlineLevel="0" collapsed="false">
      <c r="A1259" s="39" t="s">
        <v>912</v>
      </c>
      <c r="B1259" s="39" t="s">
        <v>908</v>
      </c>
      <c r="C1259" s="39" t="s">
        <v>923</v>
      </c>
      <c r="D1259" s="39" t="s">
        <v>917</v>
      </c>
      <c r="E1259" s="39"/>
      <c r="F1259" s="39" t="s">
        <v>915</v>
      </c>
      <c r="G1259" s="60"/>
      <c r="H1259" s="58" t="n">
        <v>2675</v>
      </c>
      <c r="I1259" s="39" t="str">
        <f aca="false">A1259&amp;"|"&amp;B1259&amp;"|"&amp;D1259&amp;"|"&amp;E1259&amp;F1259</f>
        <v>home|Tulsa|scenario 3 (dwelling $300,000, deductible 1%)|masonry</v>
      </c>
      <c r="J1259" s="34" t="n">
        <f aca="false" t="array" ref="J1259:J1259">MEDIAN(IF($I$4:$I$1803=I1259,$H$4:$H$1803))</f>
        <v>4538</v>
      </c>
      <c r="K1259" s="59" t="n">
        <f aca="false">H1259/J1259</f>
        <v>0.589466725429705</v>
      </c>
    </row>
    <row r="1260" customFormat="false" ht="15" hidden="false" customHeight="false" outlineLevel="0" collapsed="false">
      <c r="A1260" s="39" t="s">
        <v>912</v>
      </c>
      <c r="B1260" s="39" t="s">
        <v>908</v>
      </c>
      <c r="C1260" s="39" t="s">
        <v>923</v>
      </c>
      <c r="D1260" s="39" t="s">
        <v>918</v>
      </c>
      <c r="E1260" s="39"/>
      <c r="F1260" s="39" t="s">
        <v>133</v>
      </c>
      <c r="G1260" s="60"/>
      <c r="H1260" s="58" t="n">
        <v>2961</v>
      </c>
      <c r="I1260" s="39" t="str">
        <f aca="false">A1260&amp;"|"&amp;B1260&amp;"|"&amp;D1260&amp;"|"&amp;E1260&amp;F1260</f>
        <v>home|Tulsa|scenario 4 (dwelling $400,000, deductible 1%)|frame</v>
      </c>
      <c r="J1260" s="34" t="n">
        <f aca="false" t="array" ref="J1260:J1260">MEDIAN(IF($I$4:$I$1803=I1260,$H$4:$H$1803))</f>
        <v>5784</v>
      </c>
      <c r="K1260" s="59" t="n">
        <f aca="false">H1260/J1260</f>
        <v>0.511929460580913</v>
      </c>
    </row>
    <row r="1261" customFormat="false" ht="15" hidden="false" customHeight="false" outlineLevel="0" collapsed="false">
      <c r="A1261" s="39" t="s">
        <v>912</v>
      </c>
      <c r="B1261" s="39" t="s">
        <v>908</v>
      </c>
      <c r="C1261" s="39" t="s">
        <v>923</v>
      </c>
      <c r="D1261" s="39" t="s">
        <v>918</v>
      </c>
      <c r="E1261" s="39"/>
      <c r="F1261" s="39" t="s">
        <v>915</v>
      </c>
      <c r="G1261" s="60"/>
      <c r="H1261" s="58" t="n">
        <v>2934</v>
      </c>
      <c r="I1261" s="39" t="str">
        <f aca="false">A1261&amp;"|"&amp;B1261&amp;"|"&amp;D1261&amp;"|"&amp;E1261&amp;F1261</f>
        <v>home|Tulsa|scenario 4 (dwelling $400,000, deductible 1%)|masonry</v>
      </c>
      <c r="J1261" s="34" t="n">
        <f aca="false" t="array" ref="J1261:J1261">MEDIAN(IF($I$4:$I$1803=I1261,$H$4:$H$1803))</f>
        <v>5535.5</v>
      </c>
      <c r="K1261" s="59" t="n">
        <f aca="false">H1261/J1261</f>
        <v>0.530033420648541</v>
      </c>
    </row>
    <row r="1262" customFormat="false" ht="15" hidden="false" customHeight="false" outlineLevel="0" collapsed="false">
      <c r="A1262" s="39" t="s">
        <v>912</v>
      </c>
      <c r="B1262" s="39" t="s">
        <v>908</v>
      </c>
      <c r="C1262" s="39" t="s">
        <v>923</v>
      </c>
      <c r="D1262" s="39" t="s">
        <v>919</v>
      </c>
      <c r="E1262" s="39"/>
      <c r="F1262" s="39" t="s">
        <v>133</v>
      </c>
      <c r="G1262" s="60"/>
      <c r="H1262" s="58" t="n">
        <v>3023</v>
      </c>
      <c r="I1262" s="39" t="str">
        <f aca="false">A1262&amp;"|"&amp;B1262&amp;"|"&amp;D1262&amp;"|"&amp;E1262&amp;F1262</f>
        <v>home|Tulsa|scenario 5 (dwelling $500,000, deductible 1%)|frame</v>
      </c>
      <c r="J1262" s="34" t="n">
        <f aca="false" t="array" ref="J1262:J1262">MEDIAN(IF($I$4:$I$1803=I1262,$H$4:$H$1803))</f>
        <v>7057</v>
      </c>
      <c r="K1262" s="59" t="n">
        <f aca="false">H1262/J1262</f>
        <v>0.428368995323792</v>
      </c>
    </row>
    <row r="1263" customFormat="false" ht="15" hidden="false" customHeight="false" outlineLevel="0" collapsed="false">
      <c r="A1263" s="39" t="s">
        <v>912</v>
      </c>
      <c r="B1263" s="39" t="s">
        <v>908</v>
      </c>
      <c r="C1263" s="39" t="s">
        <v>923</v>
      </c>
      <c r="D1263" s="39" t="s">
        <v>919</v>
      </c>
      <c r="E1263" s="39"/>
      <c r="F1263" s="39" t="s">
        <v>915</v>
      </c>
      <c r="G1263" s="60"/>
      <c r="H1263" s="58" t="n">
        <v>2991</v>
      </c>
      <c r="I1263" s="39" t="str">
        <f aca="false">A1263&amp;"|"&amp;B1263&amp;"|"&amp;D1263&amp;"|"&amp;E1263&amp;F1263</f>
        <v>home|Tulsa|scenario 5 (dwelling $500,000, deductible 1%)|masonry</v>
      </c>
      <c r="J1263" s="34" t="n">
        <f aca="false" t="array" ref="J1263:J1263">MEDIAN(IF($I$4:$I$1803=I1263,$H$4:$H$1803))</f>
        <v>6356</v>
      </c>
      <c r="K1263" s="59" t="n">
        <f aca="false">H1263/J1263</f>
        <v>0.470578980490875</v>
      </c>
    </row>
    <row r="1264" customFormat="false" ht="15" hidden="false" customHeight="false" outlineLevel="0" collapsed="false">
      <c r="A1264" s="39" t="s">
        <v>912</v>
      </c>
      <c r="B1264" s="39" t="s">
        <v>908</v>
      </c>
      <c r="C1264" s="39" t="s">
        <v>924</v>
      </c>
      <c r="D1264" s="39" t="s">
        <v>914</v>
      </c>
      <c r="E1264" s="39"/>
      <c r="F1264" s="39" t="s">
        <v>133</v>
      </c>
      <c r="G1264" s="60"/>
      <c r="H1264" s="58" t="n">
        <v>1413</v>
      </c>
      <c r="I1264" s="39" t="str">
        <f aca="false">A1264&amp;"|"&amp;B1264&amp;"|"&amp;D1264&amp;"|"&amp;E1264&amp;F1264</f>
        <v>home|Tulsa|scenario 1 (dwelling $100,000, deductible 1%)|frame</v>
      </c>
      <c r="J1264" s="34" t="n">
        <f aca="false" t="array" ref="J1264:J1264">MEDIAN(IF($I$4:$I$1803=I1264,$H$4:$H$1803))</f>
        <v>2417.5</v>
      </c>
      <c r="K1264" s="59" t="n">
        <f aca="false">H1264/J1264</f>
        <v>0.584488107549121</v>
      </c>
    </row>
    <row r="1265" customFormat="false" ht="15" hidden="false" customHeight="false" outlineLevel="0" collapsed="false">
      <c r="A1265" s="39" t="s">
        <v>912</v>
      </c>
      <c r="B1265" s="39" t="s">
        <v>908</v>
      </c>
      <c r="C1265" s="39" t="s">
        <v>924</v>
      </c>
      <c r="D1265" s="39" t="s">
        <v>914</v>
      </c>
      <c r="E1265" s="39"/>
      <c r="F1265" s="39" t="s">
        <v>915</v>
      </c>
      <c r="G1265" s="60"/>
      <c r="H1265" s="58" t="n">
        <v>1413</v>
      </c>
      <c r="I1265" s="39" t="str">
        <f aca="false">A1265&amp;"|"&amp;B1265&amp;"|"&amp;D1265&amp;"|"&amp;E1265&amp;F1265</f>
        <v>home|Tulsa|scenario 1 (dwelling $100,000, deductible 1%)|masonry</v>
      </c>
      <c r="J1265" s="34" t="n">
        <f aca="false" t="array" ref="J1265:J1265">MEDIAN(IF($I$4:$I$1803=I1265,$H$4:$H$1803))</f>
        <v>2335</v>
      </c>
      <c r="K1265" s="59" t="n">
        <f aca="false">H1265/J1265</f>
        <v>0.605139186295503</v>
      </c>
    </row>
    <row r="1266" customFormat="false" ht="15" hidden="false" customHeight="false" outlineLevel="0" collapsed="false">
      <c r="A1266" s="39" t="s">
        <v>912</v>
      </c>
      <c r="B1266" s="39" t="s">
        <v>908</v>
      </c>
      <c r="C1266" s="39" t="s">
        <v>924</v>
      </c>
      <c r="D1266" s="39" t="s">
        <v>916</v>
      </c>
      <c r="E1266" s="39"/>
      <c r="F1266" s="39" t="s">
        <v>133</v>
      </c>
      <c r="G1266" s="60"/>
      <c r="H1266" s="58" t="n">
        <v>2209</v>
      </c>
      <c r="I1266" s="39" t="str">
        <f aca="false">A1266&amp;"|"&amp;B1266&amp;"|"&amp;D1266&amp;"|"&amp;E1266&amp;F1266</f>
        <v>home|Tulsa|scenario 2 (dwelling $200,000, deductible 1%)|frame</v>
      </c>
      <c r="J1266" s="34" t="n">
        <f aca="false" t="array" ref="J1266:J1266">MEDIAN(IF($I$4:$I$1803=I1266,$H$4:$H$1803))</f>
        <v>3472.5</v>
      </c>
      <c r="K1266" s="59" t="n">
        <f aca="false">H1266/J1266</f>
        <v>0.636141108711303</v>
      </c>
    </row>
    <row r="1267" customFormat="false" ht="15" hidden="false" customHeight="false" outlineLevel="0" collapsed="false">
      <c r="A1267" s="39" t="s">
        <v>912</v>
      </c>
      <c r="B1267" s="39" t="s">
        <v>908</v>
      </c>
      <c r="C1267" s="39" t="s">
        <v>924</v>
      </c>
      <c r="D1267" s="39" t="s">
        <v>916</v>
      </c>
      <c r="E1267" s="39"/>
      <c r="F1267" s="39" t="s">
        <v>915</v>
      </c>
      <c r="G1267" s="60"/>
      <c r="H1267" s="58" t="n">
        <v>2205</v>
      </c>
      <c r="I1267" s="39" t="str">
        <f aca="false">A1267&amp;"|"&amp;B1267&amp;"|"&amp;D1267&amp;"|"&amp;E1267&amp;F1267</f>
        <v>home|Tulsa|scenario 2 (dwelling $200,000, deductible 1%)|masonry</v>
      </c>
      <c r="J1267" s="34" t="n">
        <f aca="false" t="array" ref="J1267:J1267">MEDIAN(IF($I$4:$I$1803=I1267,$H$4:$H$1803))</f>
        <v>3490.5</v>
      </c>
      <c r="K1267" s="59" t="n">
        <f aca="false">H1267/J1267</f>
        <v>0.631714654061023</v>
      </c>
    </row>
    <row r="1268" customFormat="false" ht="15" hidden="false" customHeight="false" outlineLevel="0" collapsed="false">
      <c r="A1268" s="39" t="s">
        <v>912</v>
      </c>
      <c r="B1268" s="39" t="s">
        <v>908</v>
      </c>
      <c r="C1268" s="39" t="s">
        <v>924</v>
      </c>
      <c r="D1268" s="39" t="s">
        <v>917</v>
      </c>
      <c r="E1268" s="39"/>
      <c r="F1268" s="39" t="s">
        <v>133</v>
      </c>
      <c r="G1268" s="60"/>
      <c r="H1268" s="58" t="n">
        <v>3017</v>
      </c>
      <c r="I1268" s="39" t="str">
        <f aca="false">A1268&amp;"|"&amp;B1268&amp;"|"&amp;D1268&amp;"|"&amp;E1268&amp;F1268</f>
        <v>home|Tulsa|scenario 3 (dwelling $300,000, deductible 1%)|frame</v>
      </c>
      <c r="J1268" s="34" t="n">
        <f aca="false" t="array" ref="J1268:J1268">MEDIAN(IF($I$4:$I$1803=I1268,$H$4:$H$1803))</f>
        <v>4490.5</v>
      </c>
      <c r="K1268" s="59" t="n">
        <f aca="false">H1268/J1268</f>
        <v>0.671862821512081</v>
      </c>
    </row>
    <row r="1269" customFormat="false" ht="15" hidden="false" customHeight="false" outlineLevel="0" collapsed="false">
      <c r="A1269" s="39" t="s">
        <v>912</v>
      </c>
      <c r="B1269" s="39" t="s">
        <v>908</v>
      </c>
      <c r="C1269" s="39" t="s">
        <v>924</v>
      </c>
      <c r="D1269" s="39" t="s">
        <v>917</v>
      </c>
      <c r="E1269" s="39"/>
      <c r="F1269" s="39" t="s">
        <v>915</v>
      </c>
      <c r="G1269" s="60"/>
      <c r="H1269" s="58" t="n">
        <v>3011</v>
      </c>
      <c r="I1269" s="39" t="str">
        <f aca="false">A1269&amp;"|"&amp;B1269&amp;"|"&amp;D1269&amp;"|"&amp;E1269&amp;F1269</f>
        <v>home|Tulsa|scenario 3 (dwelling $300,000, deductible 1%)|masonry</v>
      </c>
      <c r="J1269" s="34" t="n">
        <f aca="false" t="array" ref="J1269:J1269">MEDIAN(IF($I$4:$I$1803=I1269,$H$4:$H$1803))</f>
        <v>4538</v>
      </c>
      <c r="K1269" s="59" t="n">
        <f aca="false">H1269/J1269</f>
        <v>0.663508153371529</v>
      </c>
    </row>
    <row r="1270" customFormat="false" ht="15" hidden="false" customHeight="false" outlineLevel="0" collapsed="false">
      <c r="A1270" s="39" t="s">
        <v>912</v>
      </c>
      <c r="B1270" s="39" t="s">
        <v>908</v>
      </c>
      <c r="C1270" s="39" t="s">
        <v>924</v>
      </c>
      <c r="D1270" s="39" t="s">
        <v>918</v>
      </c>
      <c r="E1270" s="39"/>
      <c r="F1270" s="39" t="s">
        <v>133</v>
      </c>
      <c r="G1270" s="60"/>
      <c r="H1270" s="58" t="n">
        <v>3803</v>
      </c>
      <c r="I1270" s="39" t="str">
        <f aca="false">A1270&amp;"|"&amp;B1270&amp;"|"&amp;D1270&amp;"|"&amp;E1270&amp;F1270</f>
        <v>home|Tulsa|scenario 4 (dwelling $400,000, deductible 1%)|frame</v>
      </c>
      <c r="J1270" s="34" t="n">
        <f aca="false" t="array" ref="J1270:J1270">MEDIAN(IF($I$4:$I$1803=I1270,$H$4:$H$1803))</f>
        <v>5784</v>
      </c>
      <c r="K1270" s="59" t="n">
        <f aca="false">H1270/J1270</f>
        <v>0.657503457814661</v>
      </c>
    </row>
    <row r="1271" customFormat="false" ht="15" hidden="false" customHeight="false" outlineLevel="0" collapsed="false">
      <c r="A1271" s="39" t="s">
        <v>912</v>
      </c>
      <c r="B1271" s="39" t="s">
        <v>908</v>
      </c>
      <c r="C1271" s="39" t="s">
        <v>924</v>
      </c>
      <c r="D1271" s="39" t="s">
        <v>918</v>
      </c>
      <c r="E1271" s="39"/>
      <c r="F1271" s="39" t="s">
        <v>915</v>
      </c>
      <c r="G1271" s="60"/>
      <c r="H1271" s="58" t="n">
        <v>3795</v>
      </c>
      <c r="I1271" s="39" t="str">
        <f aca="false">A1271&amp;"|"&amp;B1271&amp;"|"&amp;D1271&amp;"|"&amp;E1271&amp;F1271</f>
        <v>home|Tulsa|scenario 4 (dwelling $400,000, deductible 1%)|masonry</v>
      </c>
      <c r="J1271" s="34" t="n">
        <f aca="false" t="array" ref="J1271:J1271">MEDIAN(IF($I$4:$I$1803=I1271,$H$4:$H$1803))</f>
        <v>5535.5</v>
      </c>
      <c r="K1271" s="59" t="n">
        <f aca="false">H1271/J1271</f>
        <v>0.685574925480986</v>
      </c>
    </row>
    <row r="1272" customFormat="false" ht="15" hidden="false" customHeight="false" outlineLevel="0" collapsed="false">
      <c r="A1272" s="39" t="s">
        <v>912</v>
      </c>
      <c r="B1272" s="39" t="s">
        <v>908</v>
      </c>
      <c r="C1272" s="39" t="s">
        <v>924</v>
      </c>
      <c r="D1272" s="39" t="s">
        <v>919</v>
      </c>
      <c r="E1272" s="39"/>
      <c r="F1272" s="39" t="s">
        <v>133</v>
      </c>
      <c r="G1272" s="60"/>
      <c r="H1272" s="58" t="n">
        <v>4580</v>
      </c>
      <c r="I1272" s="39" t="str">
        <f aca="false">A1272&amp;"|"&amp;B1272&amp;"|"&amp;D1272&amp;"|"&amp;E1272&amp;F1272</f>
        <v>home|Tulsa|scenario 5 (dwelling $500,000, deductible 1%)|frame</v>
      </c>
      <c r="J1272" s="34" t="n">
        <f aca="false" t="array" ref="J1272:J1272">MEDIAN(IF($I$4:$I$1803=I1272,$H$4:$H$1803))</f>
        <v>7057</v>
      </c>
      <c r="K1272" s="59" t="n">
        <f aca="false">H1272/J1272</f>
        <v>0.649000991922913</v>
      </c>
    </row>
    <row r="1273" customFormat="false" ht="15" hidden="false" customHeight="false" outlineLevel="0" collapsed="false">
      <c r="A1273" s="39" t="s">
        <v>912</v>
      </c>
      <c r="B1273" s="39" t="s">
        <v>908</v>
      </c>
      <c r="C1273" s="39" t="s">
        <v>924</v>
      </c>
      <c r="D1273" s="39" t="s">
        <v>919</v>
      </c>
      <c r="E1273" s="39"/>
      <c r="F1273" s="39" t="s">
        <v>915</v>
      </c>
      <c r="G1273" s="60"/>
      <c r="H1273" s="58" t="n">
        <v>4570</v>
      </c>
      <c r="I1273" s="39" t="str">
        <f aca="false">A1273&amp;"|"&amp;B1273&amp;"|"&amp;D1273&amp;"|"&amp;E1273&amp;F1273</f>
        <v>home|Tulsa|scenario 5 (dwelling $500,000, deductible 1%)|masonry</v>
      </c>
      <c r="J1273" s="34" t="n">
        <f aca="false" t="array" ref="J1273:J1273">MEDIAN(IF($I$4:$I$1803=I1273,$H$4:$H$1803))</f>
        <v>6356</v>
      </c>
      <c r="K1273" s="59" t="n">
        <f aca="false">H1273/J1273</f>
        <v>0.719005663939585</v>
      </c>
    </row>
    <row r="1274" customFormat="false" ht="15" hidden="false" customHeight="false" outlineLevel="0" collapsed="false">
      <c r="A1274" s="39" t="s">
        <v>912</v>
      </c>
      <c r="B1274" s="39" t="s">
        <v>908</v>
      </c>
      <c r="C1274" s="39" t="s">
        <v>925</v>
      </c>
      <c r="D1274" s="39" t="s">
        <v>914</v>
      </c>
      <c r="E1274" s="39"/>
      <c r="F1274" s="39" t="s">
        <v>133</v>
      </c>
      <c r="G1274" s="60"/>
      <c r="H1274" s="58" t="n">
        <v>2659</v>
      </c>
      <c r="I1274" s="39" t="str">
        <f aca="false">A1274&amp;"|"&amp;B1274&amp;"|"&amp;D1274&amp;"|"&amp;E1274&amp;F1274</f>
        <v>home|Tulsa|scenario 1 (dwelling $100,000, deductible 1%)|frame</v>
      </c>
      <c r="J1274" s="34" t="n">
        <f aca="false" t="array" ref="J1274:J1274">MEDIAN(IF($I$4:$I$1803=I1274,$H$4:$H$1803))</f>
        <v>2417.5</v>
      </c>
      <c r="K1274" s="59" t="n">
        <f aca="false">H1274/J1274</f>
        <v>1.09989658738366</v>
      </c>
    </row>
    <row r="1275" customFormat="false" ht="15" hidden="false" customHeight="false" outlineLevel="0" collapsed="false">
      <c r="A1275" s="39" t="s">
        <v>912</v>
      </c>
      <c r="B1275" s="39" t="s">
        <v>908</v>
      </c>
      <c r="C1275" s="39" t="s">
        <v>925</v>
      </c>
      <c r="D1275" s="39" t="s">
        <v>914</v>
      </c>
      <c r="E1275" s="39"/>
      <c r="F1275" s="39" t="s">
        <v>915</v>
      </c>
      <c r="G1275" s="60"/>
      <c r="H1275" s="58" t="n">
        <v>2587</v>
      </c>
      <c r="I1275" s="39" t="str">
        <f aca="false">A1275&amp;"|"&amp;B1275&amp;"|"&amp;D1275&amp;"|"&amp;E1275&amp;F1275</f>
        <v>home|Tulsa|scenario 1 (dwelling $100,000, deductible 1%)|masonry</v>
      </c>
      <c r="J1275" s="34" t="n">
        <f aca="false" t="array" ref="J1275:J1275">MEDIAN(IF($I$4:$I$1803=I1275,$H$4:$H$1803))</f>
        <v>2335</v>
      </c>
      <c r="K1275" s="59" t="n">
        <f aca="false">H1275/J1275</f>
        <v>1.10792291220557</v>
      </c>
    </row>
    <row r="1276" customFormat="false" ht="15" hidden="false" customHeight="false" outlineLevel="0" collapsed="false">
      <c r="A1276" s="39" t="s">
        <v>912</v>
      </c>
      <c r="B1276" s="39" t="s">
        <v>908</v>
      </c>
      <c r="C1276" s="39" t="s">
        <v>925</v>
      </c>
      <c r="D1276" s="39" t="s">
        <v>916</v>
      </c>
      <c r="E1276" s="39"/>
      <c r="F1276" s="39" t="s">
        <v>133</v>
      </c>
      <c r="G1276" s="60"/>
      <c r="H1276" s="58" t="n">
        <v>3634</v>
      </c>
      <c r="I1276" s="39" t="str">
        <f aca="false">A1276&amp;"|"&amp;B1276&amp;"|"&amp;D1276&amp;"|"&amp;E1276&amp;F1276</f>
        <v>home|Tulsa|scenario 2 (dwelling $200,000, deductible 1%)|frame</v>
      </c>
      <c r="J1276" s="34" t="n">
        <f aca="false" t="array" ref="J1276:J1276">MEDIAN(IF($I$4:$I$1803=I1276,$H$4:$H$1803))</f>
        <v>3472.5</v>
      </c>
      <c r="K1276" s="59" t="n">
        <f aca="false">H1276/J1276</f>
        <v>1.04650827933765</v>
      </c>
    </row>
    <row r="1277" customFormat="false" ht="15" hidden="false" customHeight="false" outlineLevel="0" collapsed="false">
      <c r="A1277" s="39" t="s">
        <v>912</v>
      </c>
      <c r="B1277" s="39" t="s">
        <v>908</v>
      </c>
      <c r="C1277" s="39" t="s">
        <v>925</v>
      </c>
      <c r="D1277" s="39" t="s">
        <v>916</v>
      </c>
      <c r="E1277" s="39"/>
      <c r="F1277" s="39" t="s">
        <v>915</v>
      </c>
      <c r="G1277" s="60"/>
      <c r="H1277" s="58" t="n">
        <v>3524</v>
      </c>
      <c r="I1277" s="39" t="str">
        <f aca="false">A1277&amp;"|"&amp;B1277&amp;"|"&amp;D1277&amp;"|"&amp;E1277&amp;F1277</f>
        <v>home|Tulsa|scenario 2 (dwelling $200,000, deductible 1%)|masonry</v>
      </c>
      <c r="J1277" s="34" t="n">
        <f aca="false" t="array" ref="J1277:J1277">MEDIAN(IF($I$4:$I$1803=I1277,$H$4:$H$1803))</f>
        <v>3490.5</v>
      </c>
      <c r="K1277" s="59" t="n">
        <f aca="false">H1277/J1277</f>
        <v>1.00959747887122</v>
      </c>
    </row>
    <row r="1278" customFormat="false" ht="15" hidden="false" customHeight="false" outlineLevel="0" collapsed="false">
      <c r="A1278" s="39" t="s">
        <v>912</v>
      </c>
      <c r="B1278" s="39" t="s">
        <v>908</v>
      </c>
      <c r="C1278" s="39" t="s">
        <v>925</v>
      </c>
      <c r="D1278" s="39" t="s">
        <v>917</v>
      </c>
      <c r="E1278" s="39"/>
      <c r="F1278" s="39" t="s">
        <v>133</v>
      </c>
      <c r="G1278" s="60"/>
      <c r="H1278" s="58" t="n">
        <v>4299</v>
      </c>
      <c r="I1278" s="39" t="str">
        <f aca="false">A1278&amp;"|"&amp;B1278&amp;"|"&amp;D1278&amp;"|"&amp;E1278&amp;F1278</f>
        <v>home|Tulsa|scenario 3 (dwelling $300,000, deductible 1%)|frame</v>
      </c>
      <c r="J1278" s="34" t="n">
        <f aca="false" t="array" ref="J1278:J1278">MEDIAN(IF($I$4:$I$1803=I1278,$H$4:$H$1803))</f>
        <v>4490.5</v>
      </c>
      <c r="K1278" s="59" t="n">
        <f aca="false">H1278/J1278</f>
        <v>0.957354414875849</v>
      </c>
    </row>
    <row r="1279" customFormat="false" ht="15" hidden="false" customHeight="false" outlineLevel="0" collapsed="false">
      <c r="A1279" s="39" t="s">
        <v>912</v>
      </c>
      <c r="B1279" s="39" t="s">
        <v>908</v>
      </c>
      <c r="C1279" s="39" t="s">
        <v>925</v>
      </c>
      <c r="D1279" s="39" t="s">
        <v>917</v>
      </c>
      <c r="E1279" s="39"/>
      <c r="F1279" s="39" t="s">
        <v>915</v>
      </c>
      <c r="G1279" s="60"/>
      <c r="H1279" s="58" t="n">
        <v>4157</v>
      </c>
      <c r="I1279" s="39" t="str">
        <f aca="false">A1279&amp;"|"&amp;B1279&amp;"|"&amp;D1279&amp;"|"&amp;E1279&amp;F1279</f>
        <v>home|Tulsa|scenario 3 (dwelling $300,000, deductible 1%)|masonry</v>
      </c>
      <c r="J1279" s="34" t="n">
        <f aca="false" t="array" ref="J1279:J1279">MEDIAN(IF($I$4:$I$1803=I1279,$H$4:$H$1803))</f>
        <v>4538</v>
      </c>
      <c r="K1279" s="59" t="n">
        <f aca="false">H1279/J1279</f>
        <v>0.916042309387395</v>
      </c>
    </row>
    <row r="1280" customFormat="false" ht="15" hidden="false" customHeight="false" outlineLevel="0" collapsed="false">
      <c r="A1280" s="39" t="s">
        <v>912</v>
      </c>
      <c r="B1280" s="39" t="s">
        <v>908</v>
      </c>
      <c r="C1280" s="39" t="s">
        <v>925</v>
      </c>
      <c r="D1280" s="39" t="s">
        <v>918</v>
      </c>
      <c r="E1280" s="39"/>
      <c r="F1280" s="39" t="s">
        <v>133</v>
      </c>
      <c r="G1280" s="60"/>
      <c r="H1280" s="58" t="n">
        <v>4847</v>
      </c>
      <c r="I1280" s="39" t="str">
        <f aca="false">A1280&amp;"|"&amp;B1280&amp;"|"&amp;D1280&amp;"|"&amp;E1280&amp;F1280</f>
        <v>home|Tulsa|scenario 4 (dwelling $400,000, deductible 1%)|frame</v>
      </c>
      <c r="J1280" s="34" t="n">
        <f aca="false" t="array" ref="J1280:J1280">MEDIAN(IF($I$4:$I$1803=I1280,$H$4:$H$1803))</f>
        <v>5784</v>
      </c>
      <c r="K1280" s="59" t="n">
        <f aca="false">H1280/J1280</f>
        <v>0.838001383125865</v>
      </c>
    </row>
    <row r="1281" customFormat="false" ht="15" hidden="false" customHeight="false" outlineLevel="0" collapsed="false">
      <c r="A1281" s="39" t="s">
        <v>912</v>
      </c>
      <c r="B1281" s="39" t="s">
        <v>908</v>
      </c>
      <c r="C1281" s="39" t="s">
        <v>925</v>
      </c>
      <c r="D1281" s="39" t="s">
        <v>918</v>
      </c>
      <c r="E1281" s="39"/>
      <c r="F1281" s="39" t="s">
        <v>915</v>
      </c>
      <c r="G1281" s="60"/>
      <c r="H1281" s="58" t="n">
        <v>4680</v>
      </c>
      <c r="I1281" s="39" t="str">
        <f aca="false">A1281&amp;"|"&amp;B1281&amp;"|"&amp;D1281&amp;"|"&amp;E1281&amp;F1281</f>
        <v>home|Tulsa|scenario 4 (dwelling $400,000, deductible 1%)|masonry</v>
      </c>
      <c r="J1281" s="34" t="n">
        <f aca="false" t="array" ref="J1281:J1281">MEDIAN(IF($I$4:$I$1803=I1281,$H$4:$H$1803))</f>
        <v>5535.5</v>
      </c>
      <c r="K1281" s="59" t="n">
        <f aca="false">H1281/J1281</f>
        <v>0.845452082016078</v>
      </c>
    </row>
    <row r="1282" customFormat="false" ht="15" hidden="false" customHeight="false" outlineLevel="0" collapsed="false">
      <c r="A1282" s="39" t="s">
        <v>912</v>
      </c>
      <c r="B1282" s="39" t="s">
        <v>908</v>
      </c>
      <c r="C1282" s="39" t="s">
        <v>925</v>
      </c>
      <c r="D1282" s="39" t="s">
        <v>919</v>
      </c>
      <c r="E1282" s="39"/>
      <c r="F1282" s="39" t="s">
        <v>133</v>
      </c>
      <c r="G1282" s="60"/>
      <c r="H1282" s="58" t="n">
        <v>5255</v>
      </c>
      <c r="I1282" s="39" t="str">
        <f aca="false">A1282&amp;"|"&amp;B1282&amp;"|"&amp;D1282&amp;"|"&amp;E1282&amp;F1282</f>
        <v>home|Tulsa|scenario 5 (dwelling $500,000, deductible 1%)|frame</v>
      </c>
      <c r="J1282" s="34" t="n">
        <f aca="false" t="array" ref="J1282:J1282">MEDIAN(IF($I$4:$I$1803=I1282,$H$4:$H$1803))</f>
        <v>7057</v>
      </c>
      <c r="K1282" s="59" t="n">
        <f aca="false">H1282/J1282</f>
        <v>0.744650701431203</v>
      </c>
    </row>
    <row r="1283" customFormat="false" ht="15" hidden="false" customHeight="false" outlineLevel="0" collapsed="false">
      <c r="A1283" s="39" t="s">
        <v>912</v>
      </c>
      <c r="B1283" s="39" t="s">
        <v>908</v>
      </c>
      <c r="C1283" s="39" t="s">
        <v>925</v>
      </c>
      <c r="D1283" s="39" t="s">
        <v>919</v>
      </c>
      <c r="E1283" s="39"/>
      <c r="F1283" s="39" t="s">
        <v>915</v>
      </c>
      <c r="G1283" s="60"/>
      <c r="H1283" s="58" t="n">
        <v>5055</v>
      </c>
      <c r="I1283" s="39" t="str">
        <f aca="false">A1283&amp;"|"&amp;B1283&amp;"|"&amp;D1283&amp;"|"&amp;E1283&amp;F1283</f>
        <v>home|Tulsa|scenario 5 (dwelling $500,000, deductible 1%)|masonry</v>
      </c>
      <c r="J1283" s="34" t="n">
        <f aca="false" t="array" ref="J1283:J1283">MEDIAN(IF($I$4:$I$1803=I1283,$H$4:$H$1803))</f>
        <v>6356</v>
      </c>
      <c r="K1283" s="59" t="n">
        <f aca="false">H1283/J1283</f>
        <v>0.795311516677156</v>
      </c>
    </row>
    <row r="1284" customFormat="false" ht="15" hidden="false" customHeight="false" outlineLevel="0" collapsed="false">
      <c r="A1284" s="39" t="s">
        <v>912</v>
      </c>
      <c r="B1284" s="39" t="s">
        <v>908</v>
      </c>
      <c r="C1284" s="39" t="s">
        <v>926</v>
      </c>
      <c r="D1284" s="39" t="s">
        <v>914</v>
      </c>
      <c r="E1284" s="39"/>
      <c r="F1284" s="39" t="s">
        <v>133</v>
      </c>
      <c r="G1284" s="60"/>
      <c r="H1284" s="58" t="n">
        <v>2696</v>
      </c>
      <c r="I1284" s="39" t="str">
        <f aca="false">A1284&amp;"|"&amp;B1284&amp;"|"&amp;D1284&amp;"|"&amp;E1284&amp;F1284</f>
        <v>home|Tulsa|scenario 1 (dwelling $100,000, deductible 1%)|frame</v>
      </c>
      <c r="J1284" s="34" t="n">
        <f aca="false" t="array" ref="J1284:J1284">MEDIAN(IF($I$4:$I$1803=I1284,$H$4:$H$1803))</f>
        <v>2417.5</v>
      </c>
      <c r="K1284" s="59" t="n">
        <f aca="false">H1284/J1284</f>
        <v>1.11520165460186</v>
      </c>
    </row>
    <row r="1285" customFormat="false" ht="15" hidden="false" customHeight="false" outlineLevel="0" collapsed="false">
      <c r="A1285" s="39" t="s">
        <v>912</v>
      </c>
      <c r="B1285" s="39" t="s">
        <v>908</v>
      </c>
      <c r="C1285" s="39" t="s">
        <v>926</v>
      </c>
      <c r="D1285" s="39" t="s">
        <v>914</v>
      </c>
      <c r="E1285" s="39"/>
      <c r="F1285" s="39" t="s">
        <v>915</v>
      </c>
      <c r="G1285" s="60"/>
      <c r="H1285" s="58" t="n">
        <v>2813</v>
      </c>
      <c r="I1285" s="39" t="str">
        <f aca="false">A1285&amp;"|"&amp;B1285&amp;"|"&amp;D1285&amp;"|"&amp;E1285&amp;F1285</f>
        <v>home|Tulsa|scenario 1 (dwelling $100,000, deductible 1%)|masonry</v>
      </c>
      <c r="J1285" s="34" t="n">
        <f aca="false" t="array" ref="J1285:J1285">MEDIAN(IF($I$4:$I$1803=I1285,$H$4:$H$1803))</f>
        <v>2335</v>
      </c>
      <c r="K1285" s="59" t="n">
        <f aca="false">H1285/J1285</f>
        <v>1.20471092077088</v>
      </c>
    </row>
    <row r="1286" customFormat="false" ht="15" hidden="false" customHeight="false" outlineLevel="0" collapsed="false">
      <c r="A1286" s="39" t="s">
        <v>912</v>
      </c>
      <c r="B1286" s="39" t="s">
        <v>908</v>
      </c>
      <c r="C1286" s="39" t="s">
        <v>926</v>
      </c>
      <c r="D1286" s="39" t="s">
        <v>916</v>
      </c>
      <c r="E1286" s="39"/>
      <c r="F1286" s="39" t="s">
        <v>133</v>
      </c>
      <c r="G1286" s="60"/>
      <c r="H1286" s="58" t="n">
        <v>3311</v>
      </c>
      <c r="I1286" s="39" t="str">
        <f aca="false">A1286&amp;"|"&amp;B1286&amp;"|"&amp;D1286&amp;"|"&amp;E1286&amp;F1286</f>
        <v>home|Tulsa|scenario 2 (dwelling $200,000, deductible 1%)|frame</v>
      </c>
      <c r="J1286" s="34" t="n">
        <f aca="false" t="array" ref="J1286:J1286">MEDIAN(IF($I$4:$I$1803=I1286,$H$4:$H$1803))</f>
        <v>3472.5</v>
      </c>
      <c r="K1286" s="59" t="n">
        <f aca="false">H1286/J1286</f>
        <v>0.953491720662347</v>
      </c>
    </row>
    <row r="1287" customFormat="false" ht="15" hidden="false" customHeight="false" outlineLevel="0" collapsed="false">
      <c r="A1287" s="39" t="s">
        <v>912</v>
      </c>
      <c r="B1287" s="39" t="s">
        <v>908</v>
      </c>
      <c r="C1287" s="39" t="s">
        <v>926</v>
      </c>
      <c r="D1287" s="39" t="s">
        <v>916</v>
      </c>
      <c r="E1287" s="39"/>
      <c r="F1287" s="39" t="s">
        <v>915</v>
      </c>
      <c r="G1287" s="60"/>
      <c r="H1287" s="58" t="n">
        <v>3457</v>
      </c>
      <c r="I1287" s="39" t="str">
        <f aca="false">A1287&amp;"|"&amp;B1287&amp;"|"&amp;D1287&amp;"|"&amp;E1287&amp;F1287</f>
        <v>home|Tulsa|scenario 2 (dwelling $200,000, deductible 1%)|masonry</v>
      </c>
      <c r="J1287" s="34" t="n">
        <f aca="false" t="array" ref="J1287:J1287">MEDIAN(IF($I$4:$I$1803=I1287,$H$4:$H$1803))</f>
        <v>3490.5</v>
      </c>
      <c r="K1287" s="59" t="n">
        <f aca="false">H1287/J1287</f>
        <v>0.990402521128778</v>
      </c>
    </row>
    <row r="1288" customFormat="false" ht="15" hidden="false" customHeight="false" outlineLevel="0" collapsed="false">
      <c r="A1288" s="39" t="s">
        <v>912</v>
      </c>
      <c r="B1288" s="39" t="s">
        <v>908</v>
      </c>
      <c r="C1288" s="39" t="s">
        <v>926</v>
      </c>
      <c r="D1288" s="39" t="s">
        <v>917</v>
      </c>
      <c r="E1288" s="39"/>
      <c r="F1288" s="39" t="s">
        <v>133</v>
      </c>
      <c r="G1288" s="60"/>
      <c r="H1288" s="58" t="n">
        <v>4361</v>
      </c>
      <c r="I1288" s="39" t="str">
        <f aca="false">A1288&amp;"|"&amp;B1288&amp;"|"&amp;D1288&amp;"|"&amp;E1288&amp;F1288</f>
        <v>home|Tulsa|scenario 3 (dwelling $300,000, deductible 1%)|frame</v>
      </c>
      <c r="J1288" s="34" t="n">
        <f aca="false" t="array" ref="J1288:J1288">MEDIAN(IF($I$4:$I$1803=I1288,$H$4:$H$1803))</f>
        <v>4490.5</v>
      </c>
      <c r="K1288" s="59" t="n">
        <f aca="false">H1288/J1288</f>
        <v>0.97116134060795</v>
      </c>
    </row>
    <row r="1289" customFormat="false" ht="15" hidden="false" customHeight="false" outlineLevel="0" collapsed="false">
      <c r="A1289" s="39" t="s">
        <v>912</v>
      </c>
      <c r="B1289" s="39" t="s">
        <v>908</v>
      </c>
      <c r="C1289" s="39" t="s">
        <v>926</v>
      </c>
      <c r="D1289" s="39" t="s">
        <v>917</v>
      </c>
      <c r="E1289" s="39"/>
      <c r="F1289" s="39" t="s">
        <v>915</v>
      </c>
      <c r="G1289" s="60"/>
      <c r="H1289" s="58" t="n">
        <v>4545</v>
      </c>
      <c r="I1289" s="39" t="str">
        <f aca="false">A1289&amp;"|"&amp;B1289&amp;"|"&amp;D1289&amp;"|"&amp;E1289&amp;F1289</f>
        <v>home|Tulsa|scenario 3 (dwelling $300,000, deductible 1%)|masonry</v>
      </c>
      <c r="J1289" s="34" t="n">
        <f aca="false" t="array" ref="J1289:J1289">MEDIAN(IF($I$4:$I$1803=I1289,$H$4:$H$1803))</f>
        <v>4538</v>
      </c>
      <c r="K1289" s="59" t="n">
        <f aca="false">H1289/J1289</f>
        <v>1.00154252974879</v>
      </c>
    </row>
    <row r="1290" customFormat="false" ht="15" hidden="false" customHeight="false" outlineLevel="0" collapsed="false">
      <c r="A1290" s="39" t="s">
        <v>912</v>
      </c>
      <c r="B1290" s="39" t="s">
        <v>908</v>
      </c>
      <c r="C1290" s="39" t="s">
        <v>926</v>
      </c>
      <c r="D1290" s="39" t="s">
        <v>918</v>
      </c>
      <c r="E1290" s="39"/>
      <c r="F1290" s="39" t="s">
        <v>133</v>
      </c>
      <c r="G1290" s="60"/>
      <c r="H1290" s="58" t="n">
        <v>5124</v>
      </c>
      <c r="I1290" s="39" t="str">
        <f aca="false">A1290&amp;"|"&amp;B1290&amp;"|"&amp;D1290&amp;"|"&amp;E1290&amp;F1290</f>
        <v>home|Tulsa|scenario 4 (dwelling $400,000, deductible 1%)|frame</v>
      </c>
      <c r="J1290" s="34" t="n">
        <f aca="false" t="array" ref="J1290:J1290">MEDIAN(IF($I$4:$I$1803=I1290,$H$4:$H$1803))</f>
        <v>5784</v>
      </c>
      <c r="K1290" s="59" t="n">
        <f aca="false">H1290/J1290</f>
        <v>0.885892116182573</v>
      </c>
    </row>
    <row r="1291" customFormat="false" ht="15" hidden="false" customHeight="false" outlineLevel="0" collapsed="false">
      <c r="A1291" s="39" t="s">
        <v>912</v>
      </c>
      <c r="B1291" s="39" t="s">
        <v>908</v>
      </c>
      <c r="C1291" s="39" t="s">
        <v>926</v>
      </c>
      <c r="D1291" s="39" t="s">
        <v>918</v>
      </c>
      <c r="E1291" s="39"/>
      <c r="F1291" s="39" t="s">
        <v>915</v>
      </c>
      <c r="G1291" s="60"/>
      <c r="H1291" s="58" t="n">
        <v>5345</v>
      </c>
      <c r="I1291" s="39" t="str">
        <f aca="false">A1291&amp;"|"&amp;B1291&amp;"|"&amp;D1291&amp;"|"&amp;E1291&amp;F1291</f>
        <v>home|Tulsa|scenario 4 (dwelling $400,000, deductible 1%)|masonry</v>
      </c>
      <c r="J1291" s="34" t="n">
        <f aca="false" t="array" ref="J1291:J1291">MEDIAN(IF($I$4:$I$1803=I1291,$H$4:$H$1803))</f>
        <v>5535.5</v>
      </c>
      <c r="K1291" s="59" t="n">
        <f aca="false">H1291/J1291</f>
        <v>0.965585764610243</v>
      </c>
    </row>
    <row r="1292" customFormat="false" ht="15" hidden="false" customHeight="false" outlineLevel="0" collapsed="false">
      <c r="A1292" s="39" t="s">
        <v>912</v>
      </c>
      <c r="B1292" s="39" t="s">
        <v>908</v>
      </c>
      <c r="C1292" s="39" t="s">
        <v>926</v>
      </c>
      <c r="D1292" s="39" t="s">
        <v>919</v>
      </c>
      <c r="E1292" s="39"/>
      <c r="F1292" s="39" t="s">
        <v>133</v>
      </c>
      <c r="G1292" s="60"/>
      <c r="H1292" s="58" t="n">
        <v>5813</v>
      </c>
      <c r="I1292" s="39" t="str">
        <f aca="false">A1292&amp;"|"&amp;B1292&amp;"|"&amp;D1292&amp;"|"&amp;E1292&amp;F1292</f>
        <v>home|Tulsa|scenario 5 (dwelling $500,000, deductible 1%)|frame</v>
      </c>
      <c r="J1292" s="34" t="n">
        <f aca="false" t="array" ref="J1292:J1292">MEDIAN(IF($I$4:$I$1803=I1292,$H$4:$H$1803))</f>
        <v>7057</v>
      </c>
      <c r="K1292" s="59" t="n">
        <f aca="false">H1292/J1292</f>
        <v>0.823721127958056</v>
      </c>
    </row>
    <row r="1293" customFormat="false" ht="15" hidden="false" customHeight="false" outlineLevel="0" collapsed="false">
      <c r="A1293" s="39" t="s">
        <v>912</v>
      </c>
      <c r="B1293" s="39" t="s">
        <v>908</v>
      </c>
      <c r="C1293" s="39" t="s">
        <v>926</v>
      </c>
      <c r="D1293" s="39" t="s">
        <v>919</v>
      </c>
      <c r="E1293" s="39"/>
      <c r="F1293" s="39" t="s">
        <v>915</v>
      </c>
      <c r="G1293" s="60"/>
      <c r="H1293" s="58" t="n">
        <v>6073</v>
      </c>
      <c r="I1293" s="39" t="str">
        <f aca="false">A1293&amp;"|"&amp;B1293&amp;"|"&amp;D1293&amp;"|"&amp;E1293&amp;F1293</f>
        <v>home|Tulsa|scenario 5 (dwelling $500,000, deductible 1%)|masonry</v>
      </c>
      <c r="J1293" s="34" t="n">
        <f aca="false" t="array" ref="J1293:J1293">MEDIAN(IF($I$4:$I$1803=I1293,$H$4:$H$1803))</f>
        <v>6356</v>
      </c>
      <c r="K1293" s="59" t="n">
        <f aca="false">H1293/J1293</f>
        <v>0.95547514159849</v>
      </c>
    </row>
    <row r="1294" customFormat="false" ht="15" hidden="false" customHeight="false" outlineLevel="0" collapsed="false">
      <c r="A1294" s="39" t="s">
        <v>912</v>
      </c>
      <c r="B1294" s="39" t="s">
        <v>908</v>
      </c>
      <c r="C1294" s="39" t="s">
        <v>927</v>
      </c>
      <c r="D1294" s="39" t="s">
        <v>914</v>
      </c>
      <c r="E1294" s="39"/>
      <c r="F1294" s="39" t="s">
        <v>133</v>
      </c>
      <c r="G1294" s="60"/>
      <c r="H1294" s="58" t="n">
        <v>1334</v>
      </c>
      <c r="I1294" s="39" t="str">
        <f aca="false">A1294&amp;"|"&amp;B1294&amp;"|"&amp;D1294&amp;"|"&amp;E1294&amp;F1294</f>
        <v>home|Tulsa|scenario 1 (dwelling $100,000, deductible 1%)|frame</v>
      </c>
      <c r="J1294" s="34" t="n">
        <f aca="false" t="array" ref="J1294:J1294">MEDIAN(IF($I$4:$I$1803=I1294,$H$4:$H$1803))</f>
        <v>2417.5</v>
      </c>
      <c r="K1294" s="59" t="n">
        <f aca="false">H1294/J1294</f>
        <v>0.551809720785936</v>
      </c>
    </row>
    <row r="1295" customFormat="false" ht="15" hidden="false" customHeight="false" outlineLevel="0" collapsed="false">
      <c r="A1295" s="39" t="s">
        <v>912</v>
      </c>
      <c r="B1295" s="39" t="s">
        <v>908</v>
      </c>
      <c r="C1295" s="39" t="s">
        <v>927</v>
      </c>
      <c r="D1295" s="39" t="s">
        <v>914</v>
      </c>
      <c r="E1295" s="39"/>
      <c r="F1295" s="39" t="s">
        <v>915</v>
      </c>
      <c r="G1295" s="60"/>
      <c r="H1295" s="58" t="n">
        <v>1309</v>
      </c>
      <c r="I1295" s="39" t="str">
        <f aca="false">A1295&amp;"|"&amp;B1295&amp;"|"&amp;D1295&amp;"|"&amp;E1295&amp;F1295</f>
        <v>home|Tulsa|scenario 1 (dwelling $100,000, deductible 1%)|masonry</v>
      </c>
      <c r="J1295" s="34" t="n">
        <f aca="false" t="array" ref="J1295:J1295">MEDIAN(IF($I$4:$I$1803=I1295,$H$4:$H$1803))</f>
        <v>2335</v>
      </c>
      <c r="K1295" s="59" t="n">
        <f aca="false">H1295/J1295</f>
        <v>0.560599571734475</v>
      </c>
    </row>
    <row r="1296" customFormat="false" ht="15" hidden="false" customHeight="false" outlineLevel="0" collapsed="false">
      <c r="A1296" s="39" t="s">
        <v>912</v>
      </c>
      <c r="B1296" s="39" t="s">
        <v>908</v>
      </c>
      <c r="C1296" s="39" t="s">
        <v>927</v>
      </c>
      <c r="D1296" s="39" t="s">
        <v>916</v>
      </c>
      <c r="E1296" s="39"/>
      <c r="F1296" s="39" t="s">
        <v>133</v>
      </c>
      <c r="G1296" s="60"/>
      <c r="H1296" s="58" t="n">
        <v>1669</v>
      </c>
      <c r="I1296" s="39" t="str">
        <f aca="false">A1296&amp;"|"&amp;B1296&amp;"|"&amp;D1296&amp;"|"&amp;E1296&amp;F1296</f>
        <v>home|Tulsa|scenario 2 (dwelling $200,000, deductible 1%)|frame</v>
      </c>
      <c r="J1296" s="34" t="n">
        <f aca="false" t="array" ref="J1296:J1296">MEDIAN(IF($I$4:$I$1803=I1296,$H$4:$H$1803))</f>
        <v>3472.5</v>
      </c>
      <c r="K1296" s="59" t="n">
        <f aca="false">H1296/J1296</f>
        <v>0.480633549316055</v>
      </c>
    </row>
    <row r="1297" customFormat="false" ht="15" hidden="false" customHeight="false" outlineLevel="0" collapsed="false">
      <c r="A1297" s="39" t="s">
        <v>912</v>
      </c>
      <c r="B1297" s="39" t="s">
        <v>908</v>
      </c>
      <c r="C1297" s="39" t="s">
        <v>927</v>
      </c>
      <c r="D1297" s="39" t="s">
        <v>916</v>
      </c>
      <c r="E1297" s="39"/>
      <c r="F1297" s="39" t="s">
        <v>915</v>
      </c>
      <c r="G1297" s="60"/>
      <c r="H1297" s="58" t="n">
        <v>1634</v>
      </c>
      <c r="I1297" s="39" t="str">
        <f aca="false">A1297&amp;"|"&amp;B1297&amp;"|"&amp;D1297&amp;"|"&amp;E1297&amp;F1297</f>
        <v>home|Tulsa|scenario 2 (dwelling $200,000, deductible 1%)|masonry</v>
      </c>
      <c r="J1297" s="34" t="n">
        <f aca="false" t="array" ref="J1297:J1297">MEDIAN(IF($I$4:$I$1803=I1297,$H$4:$H$1803))</f>
        <v>3490.5</v>
      </c>
      <c r="K1297" s="59" t="n">
        <f aca="false">H1297/J1297</f>
        <v>0.468127775390345</v>
      </c>
    </row>
    <row r="1298" customFormat="false" ht="15" hidden="false" customHeight="false" outlineLevel="0" collapsed="false">
      <c r="A1298" s="39" t="s">
        <v>912</v>
      </c>
      <c r="B1298" s="39" t="s">
        <v>908</v>
      </c>
      <c r="C1298" s="39" t="s">
        <v>927</v>
      </c>
      <c r="D1298" s="39" t="s">
        <v>917</v>
      </c>
      <c r="E1298" s="39"/>
      <c r="F1298" s="39" t="s">
        <v>133</v>
      </c>
      <c r="G1298" s="60"/>
      <c r="H1298" s="58" t="n">
        <v>2148</v>
      </c>
      <c r="I1298" s="39" t="str">
        <f aca="false">A1298&amp;"|"&amp;B1298&amp;"|"&amp;D1298&amp;"|"&amp;E1298&amp;F1298</f>
        <v>home|Tulsa|scenario 3 (dwelling $300,000, deductible 1%)|frame</v>
      </c>
      <c r="J1298" s="34" t="n">
        <f aca="false" t="array" ref="J1298:J1298">MEDIAN(IF($I$4:$I$1803=I1298,$H$4:$H$1803))</f>
        <v>4490.5</v>
      </c>
      <c r="K1298" s="59" t="n">
        <f aca="false">H1298/J1298</f>
        <v>0.478343168912148</v>
      </c>
    </row>
    <row r="1299" customFormat="false" ht="15" hidden="false" customHeight="false" outlineLevel="0" collapsed="false">
      <c r="A1299" s="39" t="s">
        <v>912</v>
      </c>
      <c r="B1299" s="39" t="s">
        <v>908</v>
      </c>
      <c r="C1299" s="39" t="s">
        <v>927</v>
      </c>
      <c r="D1299" s="39" t="s">
        <v>917</v>
      </c>
      <c r="E1299" s="39"/>
      <c r="F1299" s="39" t="s">
        <v>915</v>
      </c>
      <c r="G1299" s="60"/>
      <c r="H1299" s="58" t="n">
        <v>2103</v>
      </c>
      <c r="I1299" s="39" t="str">
        <f aca="false">A1299&amp;"|"&amp;B1299&amp;"|"&amp;D1299&amp;"|"&amp;E1299&amp;F1299</f>
        <v>home|Tulsa|scenario 3 (dwelling $300,000, deductible 1%)|masonry</v>
      </c>
      <c r="J1299" s="34" t="n">
        <f aca="false" t="array" ref="J1299:J1299">MEDIAN(IF($I$4:$I$1803=I1299,$H$4:$H$1803))</f>
        <v>4538</v>
      </c>
      <c r="K1299" s="59" t="n">
        <f aca="false">H1299/J1299</f>
        <v>0.463420008814456</v>
      </c>
    </row>
    <row r="1300" customFormat="false" ht="15" hidden="false" customHeight="false" outlineLevel="0" collapsed="false">
      <c r="A1300" s="39" t="s">
        <v>912</v>
      </c>
      <c r="B1300" s="39" t="s">
        <v>908</v>
      </c>
      <c r="C1300" s="39" t="s">
        <v>927</v>
      </c>
      <c r="D1300" s="39" t="s">
        <v>918</v>
      </c>
      <c r="E1300" s="39"/>
      <c r="F1300" s="39" t="s">
        <v>133</v>
      </c>
      <c r="G1300" s="60"/>
      <c r="H1300" s="58" t="n">
        <v>2546</v>
      </c>
      <c r="I1300" s="39" t="str">
        <f aca="false">A1300&amp;"|"&amp;B1300&amp;"|"&amp;D1300&amp;"|"&amp;E1300&amp;F1300</f>
        <v>home|Tulsa|scenario 4 (dwelling $400,000, deductible 1%)|frame</v>
      </c>
      <c r="J1300" s="34" t="n">
        <f aca="false" t="array" ref="J1300:J1300">MEDIAN(IF($I$4:$I$1803=I1300,$H$4:$H$1803))</f>
        <v>5784</v>
      </c>
      <c r="K1300" s="59" t="n">
        <f aca="false">H1300/J1300</f>
        <v>0.440179806362379</v>
      </c>
    </row>
    <row r="1301" customFormat="false" ht="15" hidden="false" customHeight="false" outlineLevel="0" collapsed="false">
      <c r="A1301" s="39" t="s">
        <v>912</v>
      </c>
      <c r="B1301" s="39" t="s">
        <v>908</v>
      </c>
      <c r="C1301" s="39" t="s">
        <v>927</v>
      </c>
      <c r="D1301" s="39" t="s">
        <v>918</v>
      </c>
      <c r="E1301" s="39"/>
      <c r="F1301" s="39" t="s">
        <v>915</v>
      </c>
      <c r="G1301" s="60"/>
      <c r="H1301" s="58" t="n">
        <v>2490</v>
      </c>
      <c r="I1301" s="39" t="str">
        <f aca="false">A1301&amp;"|"&amp;B1301&amp;"|"&amp;D1301&amp;"|"&amp;E1301&amp;F1301</f>
        <v>home|Tulsa|scenario 4 (dwelling $400,000, deductible 1%)|masonry</v>
      </c>
      <c r="J1301" s="34" t="n">
        <f aca="false" t="array" ref="J1301:J1301">MEDIAN(IF($I$4:$I$1803=I1301,$H$4:$H$1803))</f>
        <v>5535.5</v>
      </c>
      <c r="K1301" s="59" t="n">
        <f aca="false">H1301/J1301</f>
        <v>0.44982386414958</v>
      </c>
    </row>
    <row r="1302" customFormat="false" ht="15" hidden="false" customHeight="false" outlineLevel="0" collapsed="false">
      <c r="A1302" s="39" t="s">
        <v>912</v>
      </c>
      <c r="B1302" s="39" t="s">
        <v>908</v>
      </c>
      <c r="C1302" s="39" t="s">
        <v>927</v>
      </c>
      <c r="D1302" s="39" t="s">
        <v>919</v>
      </c>
      <c r="E1302" s="39"/>
      <c r="F1302" s="39" t="s">
        <v>133</v>
      </c>
      <c r="G1302" s="60"/>
      <c r="H1302" s="58" t="n">
        <v>3025</v>
      </c>
      <c r="I1302" s="39" t="str">
        <f aca="false">A1302&amp;"|"&amp;B1302&amp;"|"&amp;D1302&amp;"|"&amp;E1302&amp;F1302</f>
        <v>home|Tulsa|scenario 5 (dwelling $500,000, deductible 1%)|frame</v>
      </c>
      <c r="J1302" s="34" t="n">
        <f aca="false" t="array" ref="J1302:J1302">MEDIAN(IF($I$4:$I$1803=I1302,$H$4:$H$1803))</f>
        <v>7057</v>
      </c>
      <c r="K1302" s="59" t="n">
        <f aca="false">H1302/J1302</f>
        <v>0.428652401870483</v>
      </c>
    </row>
    <row r="1303" customFormat="false" ht="15" hidden="false" customHeight="false" outlineLevel="0" collapsed="false">
      <c r="A1303" s="39" t="s">
        <v>912</v>
      </c>
      <c r="B1303" s="39" t="s">
        <v>908</v>
      </c>
      <c r="C1303" s="39" t="s">
        <v>927</v>
      </c>
      <c r="D1303" s="39" t="s">
        <v>919</v>
      </c>
      <c r="E1303" s="39"/>
      <c r="F1303" s="39" t="s">
        <v>915</v>
      </c>
      <c r="G1303" s="60"/>
      <c r="H1303" s="58" t="n">
        <v>2951</v>
      </c>
      <c r="I1303" s="39" t="str">
        <f aca="false">A1303&amp;"|"&amp;B1303&amp;"|"&amp;D1303&amp;"|"&amp;E1303&amp;F1303</f>
        <v>home|Tulsa|scenario 5 (dwelling $500,000, deductible 1%)|masonry</v>
      </c>
      <c r="J1303" s="34" t="n">
        <f aca="false" t="array" ref="J1303:J1303">MEDIAN(IF($I$4:$I$1803=I1303,$H$4:$H$1803))</f>
        <v>6356</v>
      </c>
      <c r="K1303" s="59" t="n">
        <f aca="false">H1303/J1303</f>
        <v>0.464285714285714</v>
      </c>
    </row>
    <row r="1304" customFormat="false" ht="15" hidden="false" customHeight="false" outlineLevel="0" collapsed="false">
      <c r="A1304" s="39" t="s">
        <v>912</v>
      </c>
      <c r="B1304" s="39" t="s">
        <v>908</v>
      </c>
      <c r="C1304" s="39" t="s">
        <v>928</v>
      </c>
      <c r="D1304" s="39" t="s">
        <v>914</v>
      </c>
      <c r="E1304" s="39"/>
      <c r="F1304" s="39" t="s">
        <v>133</v>
      </c>
      <c r="G1304" s="60"/>
      <c r="H1304" s="58" t="n">
        <v>973</v>
      </c>
      <c r="I1304" s="39" t="str">
        <f aca="false">A1304&amp;"|"&amp;B1304&amp;"|"&amp;D1304&amp;"|"&amp;E1304&amp;F1304</f>
        <v>home|Tulsa|scenario 1 (dwelling $100,000, deductible 1%)|frame</v>
      </c>
      <c r="J1304" s="34" t="n">
        <f aca="false" t="array" ref="J1304:J1304">MEDIAN(IF($I$4:$I$1803=I1304,$H$4:$H$1803))</f>
        <v>2417.5</v>
      </c>
      <c r="K1304" s="59" t="n">
        <f aca="false">H1304/J1304</f>
        <v>0.402481902792141</v>
      </c>
    </row>
    <row r="1305" customFormat="false" ht="15" hidden="false" customHeight="false" outlineLevel="0" collapsed="false">
      <c r="A1305" s="39" t="s">
        <v>912</v>
      </c>
      <c r="B1305" s="39" t="s">
        <v>908</v>
      </c>
      <c r="C1305" s="39" t="s">
        <v>928</v>
      </c>
      <c r="D1305" s="39" t="s">
        <v>914</v>
      </c>
      <c r="E1305" s="39"/>
      <c r="F1305" s="39" t="s">
        <v>915</v>
      </c>
      <c r="G1305" s="60"/>
      <c r="H1305" s="58" t="n">
        <v>1015</v>
      </c>
      <c r="I1305" s="39" t="str">
        <f aca="false">A1305&amp;"|"&amp;B1305&amp;"|"&amp;D1305&amp;"|"&amp;E1305&amp;F1305</f>
        <v>home|Tulsa|scenario 1 (dwelling $100,000, deductible 1%)|masonry</v>
      </c>
      <c r="J1305" s="34" t="n">
        <f aca="false" t="array" ref="J1305:J1305">MEDIAN(IF($I$4:$I$1803=I1305,$H$4:$H$1803))</f>
        <v>2335</v>
      </c>
      <c r="K1305" s="59" t="n">
        <f aca="false">H1305/J1305</f>
        <v>0.434689507494647</v>
      </c>
    </row>
    <row r="1306" customFormat="false" ht="15" hidden="false" customHeight="false" outlineLevel="0" collapsed="false">
      <c r="A1306" s="39" t="s">
        <v>912</v>
      </c>
      <c r="B1306" s="39" t="s">
        <v>908</v>
      </c>
      <c r="C1306" s="39" t="s">
        <v>928</v>
      </c>
      <c r="D1306" s="39" t="s">
        <v>916</v>
      </c>
      <c r="E1306" s="39"/>
      <c r="F1306" s="39" t="s">
        <v>133</v>
      </c>
      <c r="G1306" s="60"/>
      <c r="H1306" s="58" t="n">
        <v>1507</v>
      </c>
      <c r="I1306" s="39" t="str">
        <f aca="false">A1306&amp;"|"&amp;B1306&amp;"|"&amp;D1306&amp;"|"&amp;E1306&amp;F1306</f>
        <v>home|Tulsa|scenario 2 (dwelling $200,000, deductible 1%)|frame</v>
      </c>
      <c r="J1306" s="34" t="n">
        <f aca="false" t="array" ref="J1306:J1306">MEDIAN(IF($I$4:$I$1803=I1306,$H$4:$H$1803))</f>
        <v>3472.5</v>
      </c>
      <c r="K1306" s="59" t="n">
        <f aca="false">H1306/J1306</f>
        <v>0.43398128149748</v>
      </c>
    </row>
    <row r="1307" customFormat="false" ht="15" hidden="false" customHeight="false" outlineLevel="0" collapsed="false">
      <c r="A1307" s="39" t="s">
        <v>912</v>
      </c>
      <c r="B1307" s="39" t="s">
        <v>908</v>
      </c>
      <c r="C1307" s="39" t="s">
        <v>928</v>
      </c>
      <c r="D1307" s="39" t="s">
        <v>916</v>
      </c>
      <c r="E1307" s="39"/>
      <c r="F1307" s="39" t="s">
        <v>915</v>
      </c>
      <c r="G1307" s="60"/>
      <c r="H1307" s="58" t="n">
        <v>1590</v>
      </c>
      <c r="I1307" s="39" t="str">
        <f aca="false">A1307&amp;"|"&amp;B1307&amp;"|"&amp;D1307&amp;"|"&amp;E1307&amp;F1307</f>
        <v>home|Tulsa|scenario 2 (dwelling $200,000, deductible 1%)|masonry</v>
      </c>
      <c r="J1307" s="34" t="n">
        <f aca="false" t="array" ref="J1307:J1307">MEDIAN(IF($I$4:$I$1803=I1307,$H$4:$H$1803))</f>
        <v>3490.5</v>
      </c>
      <c r="K1307" s="59" t="n">
        <f aca="false">H1307/J1307</f>
        <v>0.455522131499785</v>
      </c>
    </row>
    <row r="1308" customFormat="false" ht="15" hidden="false" customHeight="false" outlineLevel="0" collapsed="false">
      <c r="A1308" s="39" t="s">
        <v>912</v>
      </c>
      <c r="B1308" s="39" t="s">
        <v>908</v>
      </c>
      <c r="C1308" s="39" t="s">
        <v>928</v>
      </c>
      <c r="D1308" s="39" t="s">
        <v>917</v>
      </c>
      <c r="E1308" s="39"/>
      <c r="F1308" s="39" t="s">
        <v>133</v>
      </c>
      <c r="G1308" s="60"/>
      <c r="H1308" s="58" t="n">
        <v>2039</v>
      </c>
      <c r="I1308" s="39" t="str">
        <f aca="false">A1308&amp;"|"&amp;B1308&amp;"|"&amp;D1308&amp;"|"&amp;E1308&amp;F1308</f>
        <v>home|Tulsa|scenario 3 (dwelling $300,000, deductible 1%)|frame</v>
      </c>
      <c r="J1308" s="34" t="n">
        <f aca="false" t="array" ref="J1308:J1308">MEDIAN(IF($I$4:$I$1803=I1308,$H$4:$H$1803))</f>
        <v>4490.5</v>
      </c>
      <c r="K1308" s="59" t="n">
        <f aca="false">H1308/J1308</f>
        <v>0.454069702705712</v>
      </c>
    </row>
    <row r="1309" customFormat="false" ht="15" hidden="false" customHeight="false" outlineLevel="0" collapsed="false">
      <c r="A1309" s="39" t="s">
        <v>912</v>
      </c>
      <c r="B1309" s="39" t="s">
        <v>908</v>
      </c>
      <c r="C1309" s="39" t="s">
        <v>928</v>
      </c>
      <c r="D1309" s="39" t="s">
        <v>917</v>
      </c>
      <c r="E1309" s="39"/>
      <c r="F1309" s="39" t="s">
        <v>915</v>
      </c>
      <c r="G1309" s="60"/>
      <c r="H1309" s="58" t="n">
        <v>2164</v>
      </c>
      <c r="I1309" s="39" t="str">
        <f aca="false">A1309&amp;"|"&amp;B1309&amp;"|"&amp;D1309&amp;"|"&amp;E1309&amp;F1309</f>
        <v>home|Tulsa|scenario 3 (dwelling $300,000, deductible 1%)|masonry</v>
      </c>
      <c r="J1309" s="34" t="n">
        <f aca="false" t="array" ref="J1309:J1309">MEDIAN(IF($I$4:$I$1803=I1309,$H$4:$H$1803))</f>
        <v>4538</v>
      </c>
      <c r="K1309" s="59" t="n">
        <f aca="false">H1309/J1309</f>
        <v>0.47686205376818</v>
      </c>
    </row>
    <row r="1310" customFormat="false" ht="15" hidden="false" customHeight="false" outlineLevel="0" collapsed="false">
      <c r="A1310" s="39" t="s">
        <v>912</v>
      </c>
      <c r="B1310" s="39" t="s">
        <v>908</v>
      </c>
      <c r="C1310" s="39" t="s">
        <v>928</v>
      </c>
      <c r="D1310" s="39" t="s">
        <v>918</v>
      </c>
      <c r="E1310" s="39"/>
      <c r="F1310" s="39" t="s">
        <v>133</v>
      </c>
      <c r="G1310" s="60"/>
      <c r="H1310" s="58" t="n">
        <v>2575</v>
      </c>
      <c r="I1310" s="39" t="str">
        <f aca="false">A1310&amp;"|"&amp;B1310&amp;"|"&amp;D1310&amp;"|"&amp;E1310&amp;F1310</f>
        <v>home|Tulsa|scenario 4 (dwelling $400,000, deductible 1%)|frame</v>
      </c>
      <c r="J1310" s="34" t="n">
        <f aca="false" t="array" ref="J1310:J1310">MEDIAN(IF($I$4:$I$1803=I1310,$H$4:$H$1803))</f>
        <v>5784</v>
      </c>
      <c r="K1310" s="59" t="n">
        <f aca="false">H1310/J1310</f>
        <v>0.445193637621024</v>
      </c>
    </row>
    <row r="1311" customFormat="false" ht="15" hidden="false" customHeight="false" outlineLevel="0" collapsed="false">
      <c r="A1311" s="39" t="s">
        <v>912</v>
      </c>
      <c r="B1311" s="39" t="s">
        <v>908</v>
      </c>
      <c r="C1311" s="39" t="s">
        <v>928</v>
      </c>
      <c r="D1311" s="39" t="s">
        <v>918</v>
      </c>
      <c r="E1311" s="39"/>
      <c r="F1311" s="39" t="s">
        <v>915</v>
      </c>
      <c r="G1311" s="60"/>
      <c r="H1311" s="58" t="n">
        <v>2740</v>
      </c>
      <c r="I1311" s="39" t="str">
        <f aca="false">A1311&amp;"|"&amp;B1311&amp;"|"&amp;D1311&amp;"|"&amp;E1311&amp;F1311</f>
        <v>home|Tulsa|scenario 4 (dwelling $400,000, deductible 1%)|masonry</v>
      </c>
      <c r="J1311" s="34" t="n">
        <f aca="false" t="array" ref="J1311:J1311">MEDIAN(IF($I$4:$I$1803=I1311,$H$4:$H$1803))</f>
        <v>5535.5</v>
      </c>
      <c r="K1311" s="59" t="n">
        <f aca="false">H1311/J1311</f>
        <v>0.494986902718815</v>
      </c>
    </row>
    <row r="1312" customFormat="false" ht="15" hidden="false" customHeight="false" outlineLevel="0" collapsed="false">
      <c r="A1312" s="39" t="s">
        <v>912</v>
      </c>
      <c r="B1312" s="39" t="s">
        <v>908</v>
      </c>
      <c r="C1312" s="39" t="s">
        <v>928</v>
      </c>
      <c r="D1312" s="39" t="s">
        <v>919</v>
      </c>
      <c r="E1312" s="39"/>
      <c r="F1312" s="39" t="s">
        <v>133</v>
      </c>
      <c r="G1312" s="60"/>
      <c r="H1312" s="58" t="n">
        <v>3107</v>
      </c>
      <c r="I1312" s="39" t="str">
        <f aca="false">A1312&amp;"|"&amp;B1312&amp;"|"&amp;D1312&amp;"|"&amp;E1312&amp;F1312</f>
        <v>home|Tulsa|scenario 5 (dwelling $500,000, deductible 1%)|frame</v>
      </c>
      <c r="J1312" s="34" t="n">
        <f aca="false" t="array" ref="J1312:J1312">MEDIAN(IF($I$4:$I$1803=I1312,$H$4:$H$1803))</f>
        <v>7057</v>
      </c>
      <c r="K1312" s="59" t="n">
        <f aca="false">H1312/J1312</f>
        <v>0.440272070284824</v>
      </c>
    </row>
    <row r="1313" customFormat="false" ht="15" hidden="false" customHeight="false" outlineLevel="0" collapsed="false">
      <c r="A1313" s="39" t="s">
        <v>912</v>
      </c>
      <c r="B1313" s="39" t="s">
        <v>908</v>
      </c>
      <c r="C1313" s="39" t="s">
        <v>928</v>
      </c>
      <c r="D1313" s="39" t="s">
        <v>919</v>
      </c>
      <c r="E1313" s="39"/>
      <c r="F1313" s="39" t="s">
        <v>915</v>
      </c>
      <c r="G1313" s="60"/>
      <c r="H1313" s="58" t="n">
        <v>3313</v>
      </c>
      <c r="I1313" s="39" t="str">
        <f aca="false">A1313&amp;"|"&amp;B1313&amp;"|"&amp;D1313&amp;"|"&amp;E1313&amp;F1313</f>
        <v>home|Tulsa|scenario 5 (dwelling $500,000, deductible 1%)|masonry</v>
      </c>
      <c r="J1313" s="34" t="n">
        <f aca="false" t="array" ref="J1313:J1313">MEDIAN(IF($I$4:$I$1803=I1313,$H$4:$H$1803))</f>
        <v>6356</v>
      </c>
      <c r="K1313" s="59" t="n">
        <f aca="false">H1313/J1313</f>
        <v>0.521239773442417</v>
      </c>
    </row>
    <row r="1314" customFormat="false" ht="15" hidden="false" customHeight="false" outlineLevel="0" collapsed="false">
      <c r="A1314" s="39" t="s">
        <v>912</v>
      </c>
      <c r="B1314" s="39" t="s">
        <v>908</v>
      </c>
      <c r="C1314" s="39" t="s">
        <v>929</v>
      </c>
      <c r="D1314" s="39" t="s">
        <v>914</v>
      </c>
      <c r="E1314" s="39"/>
      <c r="F1314" s="39" t="s">
        <v>133</v>
      </c>
      <c r="G1314" s="60"/>
      <c r="H1314" s="58" t="n">
        <v>3276</v>
      </c>
      <c r="I1314" s="39" t="str">
        <f aca="false">A1314&amp;"|"&amp;B1314&amp;"|"&amp;D1314&amp;"|"&amp;E1314&amp;F1314</f>
        <v>home|Tulsa|scenario 1 (dwelling $100,000, deductible 1%)|frame</v>
      </c>
      <c r="J1314" s="34" t="n">
        <f aca="false" t="array" ref="J1314:J1314">MEDIAN(IF($I$4:$I$1803=I1314,$H$4:$H$1803))</f>
        <v>2417.5</v>
      </c>
      <c r="K1314" s="59" t="n">
        <f aca="false">H1314/J1314</f>
        <v>1.35511892450879</v>
      </c>
    </row>
    <row r="1315" customFormat="false" ht="15" hidden="false" customHeight="false" outlineLevel="0" collapsed="false">
      <c r="A1315" s="39" t="s">
        <v>912</v>
      </c>
      <c r="B1315" s="39" t="s">
        <v>908</v>
      </c>
      <c r="C1315" s="39" t="s">
        <v>929</v>
      </c>
      <c r="D1315" s="39" t="s">
        <v>914</v>
      </c>
      <c r="E1315" s="39"/>
      <c r="F1315" s="39" t="s">
        <v>915</v>
      </c>
      <c r="G1315" s="60"/>
      <c r="H1315" s="58" t="n">
        <v>3598</v>
      </c>
      <c r="I1315" s="39" t="str">
        <f aca="false">A1315&amp;"|"&amp;B1315&amp;"|"&amp;D1315&amp;"|"&amp;E1315&amp;F1315</f>
        <v>home|Tulsa|scenario 1 (dwelling $100,000, deductible 1%)|masonry</v>
      </c>
      <c r="J1315" s="34" t="n">
        <f aca="false" t="array" ref="J1315:J1315">MEDIAN(IF($I$4:$I$1803=I1315,$H$4:$H$1803))</f>
        <v>2335</v>
      </c>
      <c r="K1315" s="59" t="n">
        <f aca="false">H1315/J1315</f>
        <v>1.54089935760171</v>
      </c>
    </row>
    <row r="1316" customFormat="false" ht="15" hidden="false" customHeight="false" outlineLevel="0" collapsed="false">
      <c r="A1316" s="39" t="s">
        <v>912</v>
      </c>
      <c r="B1316" s="39" t="s">
        <v>908</v>
      </c>
      <c r="C1316" s="39" t="s">
        <v>929</v>
      </c>
      <c r="D1316" s="39" t="s">
        <v>916</v>
      </c>
      <c r="E1316" s="39"/>
      <c r="F1316" s="39" t="s">
        <v>133</v>
      </c>
      <c r="G1316" s="60"/>
      <c r="H1316" s="58" t="n">
        <v>4055</v>
      </c>
      <c r="I1316" s="39" t="str">
        <f aca="false">A1316&amp;"|"&amp;B1316&amp;"|"&amp;D1316&amp;"|"&amp;E1316&amp;F1316</f>
        <v>home|Tulsa|scenario 2 (dwelling $200,000, deductible 1%)|frame</v>
      </c>
      <c r="J1316" s="34" t="n">
        <f aca="false" t="array" ref="J1316:J1316">MEDIAN(IF($I$4:$I$1803=I1316,$H$4:$H$1803))</f>
        <v>3472.5</v>
      </c>
      <c r="K1316" s="59" t="n">
        <f aca="false">H1316/J1316</f>
        <v>1.16774658027358</v>
      </c>
    </row>
    <row r="1317" customFormat="false" ht="15" hidden="false" customHeight="false" outlineLevel="0" collapsed="false">
      <c r="A1317" s="39" t="s">
        <v>912</v>
      </c>
      <c r="B1317" s="39" t="s">
        <v>908</v>
      </c>
      <c r="C1317" s="39" t="s">
        <v>929</v>
      </c>
      <c r="D1317" s="39" t="s">
        <v>916</v>
      </c>
      <c r="E1317" s="39"/>
      <c r="F1317" s="39" t="s">
        <v>915</v>
      </c>
      <c r="G1317" s="60"/>
      <c r="H1317" s="58" t="n">
        <v>4432</v>
      </c>
      <c r="I1317" s="39" t="str">
        <f aca="false">A1317&amp;"|"&amp;B1317&amp;"|"&amp;D1317&amp;"|"&amp;E1317&amp;F1317</f>
        <v>home|Tulsa|scenario 2 (dwelling $200,000, deductible 1%)|masonry</v>
      </c>
      <c r="J1317" s="34" t="n">
        <f aca="false" t="array" ref="J1317:J1317">MEDIAN(IF($I$4:$I$1803=I1317,$H$4:$H$1803))</f>
        <v>3490.5</v>
      </c>
      <c r="K1317" s="59" t="n">
        <f aca="false">H1317/J1317</f>
        <v>1.26973213006733</v>
      </c>
    </row>
    <row r="1318" customFormat="false" ht="15" hidden="false" customHeight="false" outlineLevel="0" collapsed="false">
      <c r="A1318" s="39" t="s">
        <v>912</v>
      </c>
      <c r="B1318" s="39" t="s">
        <v>908</v>
      </c>
      <c r="C1318" s="39" t="s">
        <v>929</v>
      </c>
      <c r="D1318" s="39" t="s">
        <v>917</v>
      </c>
      <c r="E1318" s="39"/>
      <c r="F1318" s="39" t="s">
        <v>133</v>
      </c>
      <c r="G1318" s="60"/>
      <c r="H1318" s="58" t="n">
        <v>5238</v>
      </c>
      <c r="I1318" s="39" t="str">
        <f aca="false">A1318&amp;"|"&amp;B1318&amp;"|"&amp;D1318&amp;"|"&amp;E1318&amp;F1318</f>
        <v>home|Tulsa|scenario 3 (dwelling $300,000, deductible 1%)|frame</v>
      </c>
      <c r="J1318" s="34" t="n">
        <f aca="false" t="array" ref="J1318:J1318">MEDIAN(IF($I$4:$I$1803=I1318,$H$4:$H$1803))</f>
        <v>4490.5</v>
      </c>
      <c r="K1318" s="59" t="n">
        <f aca="false">H1318/J1318</f>
        <v>1.16646253201203</v>
      </c>
    </row>
    <row r="1319" customFormat="false" ht="15" hidden="false" customHeight="false" outlineLevel="0" collapsed="false">
      <c r="A1319" s="39" t="s">
        <v>912</v>
      </c>
      <c r="B1319" s="39" t="s">
        <v>908</v>
      </c>
      <c r="C1319" s="39" t="s">
        <v>929</v>
      </c>
      <c r="D1319" s="39" t="s">
        <v>917</v>
      </c>
      <c r="E1319" s="39"/>
      <c r="F1319" s="39" t="s">
        <v>915</v>
      </c>
      <c r="G1319" s="60"/>
      <c r="H1319" s="58" t="n">
        <v>5759</v>
      </c>
      <c r="I1319" s="39" t="str">
        <f aca="false">A1319&amp;"|"&amp;B1319&amp;"|"&amp;D1319&amp;"|"&amp;E1319&amp;F1319</f>
        <v>home|Tulsa|scenario 3 (dwelling $300,000, deductible 1%)|masonry</v>
      </c>
      <c r="J1319" s="34" t="n">
        <f aca="false" t="array" ref="J1319:J1319">MEDIAN(IF($I$4:$I$1803=I1319,$H$4:$H$1803))</f>
        <v>4538</v>
      </c>
      <c r="K1319" s="59" t="n">
        <f aca="false">H1319/J1319</f>
        <v>1.26906126046717</v>
      </c>
    </row>
    <row r="1320" customFormat="false" ht="15" hidden="false" customHeight="false" outlineLevel="0" collapsed="false">
      <c r="A1320" s="39" t="s">
        <v>912</v>
      </c>
      <c r="B1320" s="39" t="s">
        <v>908</v>
      </c>
      <c r="C1320" s="39" t="s">
        <v>929</v>
      </c>
      <c r="D1320" s="39" t="s">
        <v>918</v>
      </c>
      <c r="E1320" s="39"/>
      <c r="F1320" s="39" t="s">
        <v>133</v>
      </c>
      <c r="G1320" s="60"/>
      <c r="H1320" s="58" t="n">
        <v>6271</v>
      </c>
      <c r="I1320" s="39" t="str">
        <f aca="false">A1320&amp;"|"&amp;B1320&amp;"|"&amp;D1320&amp;"|"&amp;E1320&amp;F1320</f>
        <v>home|Tulsa|scenario 4 (dwelling $400,000, deductible 1%)|frame</v>
      </c>
      <c r="J1320" s="34" t="n">
        <f aca="false" t="array" ref="J1320:J1320">MEDIAN(IF($I$4:$I$1803=I1320,$H$4:$H$1803))</f>
        <v>5784</v>
      </c>
      <c r="K1320" s="59" t="n">
        <f aca="false">H1320/J1320</f>
        <v>1.08419778699862</v>
      </c>
    </row>
    <row r="1321" customFormat="false" ht="15" hidden="false" customHeight="false" outlineLevel="0" collapsed="false">
      <c r="A1321" s="39" t="s">
        <v>912</v>
      </c>
      <c r="B1321" s="39" t="s">
        <v>908</v>
      </c>
      <c r="C1321" s="39" t="s">
        <v>929</v>
      </c>
      <c r="D1321" s="39" t="s">
        <v>918</v>
      </c>
      <c r="E1321" s="39"/>
      <c r="F1321" s="39" t="s">
        <v>915</v>
      </c>
      <c r="G1321" s="60"/>
      <c r="H1321" s="58" t="n">
        <v>6843</v>
      </c>
      <c r="I1321" s="39" t="str">
        <f aca="false">A1321&amp;"|"&amp;B1321&amp;"|"&amp;D1321&amp;"|"&amp;E1321&amp;F1321</f>
        <v>home|Tulsa|scenario 4 (dwelling $400,000, deductible 1%)|masonry</v>
      </c>
      <c r="J1321" s="34" t="n">
        <f aca="false" t="array" ref="J1321:J1321">MEDIAN(IF($I$4:$I$1803=I1321,$H$4:$H$1803))</f>
        <v>5535.5</v>
      </c>
      <c r="K1321" s="59" t="n">
        <f aca="false">H1321/J1321</f>
        <v>1.2362026917171</v>
      </c>
    </row>
    <row r="1322" customFormat="false" ht="15" hidden="false" customHeight="false" outlineLevel="0" collapsed="false">
      <c r="A1322" s="39" t="s">
        <v>912</v>
      </c>
      <c r="B1322" s="39" t="s">
        <v>908</v>
      </c>
      <c r="C1322" s="39" t="s">
        <v>929</v>
      </c>
      <c r="D1322" s="39" t="s">
        <v>919</v>
      </c>
      <c r="E1322" s="39"/>
      <c r="F1322" s="39" t="s">
        <v>133</v>
      </c>
      <c r="G1322" s="60"/>
      <c r="H1322" s="58" t="n">
        <v>7269</v>
      </c>
      <c r="I1322" s="39" t="str">
        <f aca="false">A1322&amp;"|"&amp;B1322&amp;"|"&amp;D1322&amp;"|"&amp;E1322&amp;F1322</f>
        <v>home|Tulsa|scenario 5 (dwelling $500,000, deductible 1%)|frame</v>
      </c>
      <c r="J1322" s="34" t="n">
        <f aca="false" t="array" ref="J1322:J1322">MEDIAN(IF($I$4:$I$1803=I1322,$H$4:$H$1803))</f>
        <v>7057</v>
      </c>
      <c r="K1322" s="59" t="n">
        <f aca="false">H1322/J1322</f>
        <v>1.03004109394927</v>
      </c>
    </row>
    <row r="1323" customFormat="false" ht="15" hidden="false" customHeight="false" outlineLevel="0" collapsed="false">
      <c r="A1323" s="39" t="s">
        <v>912</v>
      </c>
      <c r="B1323" s="39" t="s">
        <v>908</v>
      </c>
      <c r="C1323" s="39" t="s">
        <v>929</v>
      </c>
      <c r="D1323" s="39" t="s">
        <v>919</v>
      </c>
      <c r="E1323" s="39"/>
      <c r="F1323" s="39" t="s">
        <v>915</v>
      </c>
      <c r="G1323" s="60"/>
      <c r="H1323" s="58" t="n">
        <v>7868</v>
      </c>
      <c r="I1323" s="39" t="str">
        <f aca="false">A1323&amp;"|"&amp;B1323&amp;"|"&amp;D1323&amp;"|"&amp;E1323&amp;F1323</f>
        <v>home|Tulsa|scenario 5 (dwelling $500,000, deductible 1%)|masonry</v>
      </c>
      <c r="J1323" s="34" t="n">
        <f aca="false" t="array" ref="J1323:J1323">MEDIAN(IF($I$4:$I$1803=I1323,$H$4:$H$1803))</f>
        <v>6356</v>
      </c>
      <c r="K1323" s="59" t="n">
        <f aca="false">H1323/J1323</f>
        <v>1.23788546255507</v>
      </c>
    </row>
    <row r="1324" customFormat="false" ht="15" hidden="false" customHeight="false" outlineLevel="0" collapsed="false">
      <c r="A1324" s="39" t="s">
        <v>912</v>
      </c>
      <c r="B1324" s="39" t="s">
        <v>908</v>
      </c>
      <c r="C1324" s="39" t="s">
        <v>930</v>
      </c>
      <c r="D1324" s="39" t="s">
        <v>914</v>
      </c>
      <c r="E1324" s="39"/>
      <c r="F1324" s="39" t="s">
        <v>133</v>
      </c>
      <c r="G1324" s="60"/>
      <c r="H1324" s="58" t="n">
        <v>1995</v>
      </c>
      <c r="I1324" s="39" t="str">
        <f aca="false">A1324&amp;"|"&amp;B1324&amp;"|"&amp;D1324&amp;"|"&amp;E1324&amp;F1324</f>
        <v>home|Tulsa|scenario 1 (dwelling $100,000, deductible 1%)|frame</v>
      </c>
      <c r="J1324" s="34" t="n">
        <f aca="false" t="array" ref="J1324:J1324">MEDIAN(IF($I$4:$I$1803=I1324,$H$4:$H$1803))</f>
        <v>2417.5</v>
      </c>
      <c r="K1324" s="59" t="n">
        <f aca="false">H1324/J1324</f>
        <v>0.825232678386763</v>
      </c>
    </row>
    <row r="1325" customFormat="false" ht="15" hidden="false" customHeight="false" outlineLevel="0" collapsed="false">
      <c r="A1325" s="39" t="s">
        <v>912</v>
      </c>
      <c r="B1325" s="39" t="s">
        <v>908</v>
      </c>
      <c r="C1325" s="39" t="s">
        <v>930</v>
      </c>
      <c r="D1325" s="39" t="s">
        <v>914</v>
      </c>
      <c r="E1325" s="39"/>
      <c r="F1325" s="39" t="s">
        <v>915</v>
      </c>
      <c r="G1325" s="60"/>
      <c r="H1325" s="58" t="n">
        <v>1794</v>
      </c>
      <c r="I1325" s="39" t="str">
        <f aca="false">A1325&amp;"|"&amp;B1325&amp;"|"&amp;D1325&amp;"|"&amp;E1325&amp;F1325</f>
        <v>home|Tulsa|scenario 1 (dwelling $100,000, deductible 1%)|masonry</v>
      </c>
      <c r="J1325" s="34" t="n">
        <f aca="false" t="array" ref="J1325:J1325">MEDIAN(IF($I$4:$I$1803=I1325,$H$4:$H$1803))</f>
        <v>2335</v>
      </c>
      <c r="K1325" s="59" t="n">
        <f aca="false">H1325/J1325</f>
        <v>0.76830835117773</v>
      </c>
    </row>
    <row r="1326" customFormat="false" ht="15" hidden="false" customHeight="false" outlineLevel="0" collapsed="false">
      <c r="A1326" s="39" t="s">
        <v>912</v>
      </c>
      <c r="B1326" s="39" t="s">
        <v>908</v>
      </c>
      <c r="C1326" s="39" t="s">
        <v>930</v>
      </c>
      <c r="D1326" s="39" t="s">
        <v>916</v>
      </c>
      <c r="E1326" s="39"/>
      <c r="F1326" s="39" t="s">
        <v>133</v>
      </c>
      <c r="G1326" s="60"/>
      <c r="H1326" s="58" t="n">
        <v>2810</v>
      </c>
      <c r="I1326" s="39" t="str">
        <f aca="false">A1326&amp;"|"&amp;B1326&amp;"|"&amp;D1326&amp;"|"&amp;E1326&amp;F1326</f>
        <v>home|Tulsa|scenario 2 (dwelling $200,000, deductible 1%)|frame</v>
      </c>
      <c r="J1326" s="34" t="n">
        <f aca="false" t="array" ref="J1326:J1326">MEDIAN(IF($I$4:$I$1803=I1326,$H$4:$H$1803))</f>
        <v>3472.5</v>
      </c>
      <c r="K1326" s="59" t="n">
        <f aca="false">H1326/J1326</f>
        <v>0.809215262778978</v>
      </c>
    </row>
    <row r="1327" customFormat="false" ht="15" hidden="false" customHeight="false" outlineLevel="0" collapsed="false">
      <c r="A1327" s="39" t="s">
        <v>912</v>
      </c>
      <c r="B1327" s="39" t="s">
        <v>908</v>
      </c>
      <c r="C1327" s="39" t="s">
        <v>930</v>
      </c>
      <c r="D1327" s="39" t="s">
        <v>916</v>
      </c>
      <c r="E1327" s="39"/>
      <c r="F1327" s="39" t="s">
        <v>915</v>
      </c>
      <c r="G1327" s="60"/>
      <c r="H1327" s="58" t="n">
        <v>2528</v>
      </c>
      <c r="I1327" s="39" t="str">
        <f aca="false">A1327&amp;"|"&amp;B1327&amp;"|"&amp;D1327&amp;"|"&amp;E1327&amp;F1327</f>
        <v>home|Tulsa|scenario 2 (dwelling $200,000, deductible 1%)|masonry</v>
      </c>
      <c r="J1327" s="34" t="n">
        <f aca="false" t="array" ref="J1327:J1327">MEDIAN(IF($I$4:$I$1803=I1327,$H$4:$H$1803))</f>
        <v>3490.5</v>
      </c>
      <c r="K1327" s="59" t="n">
        <f aca="false">H1327/J1327</f>
        <v>0.724251539893998</v>
      </c>
    </row>
    <row r="1328" customFormat="false" ht="15" hidden="false" customHeight="false" outlineLevel="0" collapsed="false">
      <c r="A1328" s="39" t="s">
        <v>912</v>
      </c>
      <c r="B1328" s="39" t="s">
        <v>908</v>
      </c>
      <c r="C1328" s="39" t="s">
        <v>930</v>
      </c>
      <c r="D1328" s="39" t="s">
        <v>917</v>
      </c>
      <c r="E1328" s="39"/>
      <c r="F1328" s="39" t="s">
        <v>133</v>
      </c>
      <c r="G1328" s="60"/>
      <c r="H1328" s="58" t="n">
        <v>3829</v>
      </c>
      <c r="I1328" s="39" t="str">
        <f aca="false">A1328&amp;"|"&amp;B1328&amp;"|"&amp;D1328&amp;"|"&amp;E1328&amp;F1328</f>
        <v>home|Tulsa|scenario 3 (dwelling $300,000, deductible 1%)|frame</v>
      </c>
      <c r="J1328" s="34" t="n">
        <f aca="false" t="array" ref="J1328:J1328">MEDIAN(IF($I$4:$I$1803=I1328,$H$4:$H$1803))</f>
        <v>4490.5</v>
      </c>
      <c r="K1328" s="59" t="n">
        <f aca="false">H1328/J1328</f>
        <v>0.852689010132502</v>
      </c>
    </row>
    <row r="1329" customFormat="false" ht="15" hidden="false" customHeight="false" outlineLevel="0" collapsed="false">
      <c r="A1329" s="39" t="s">
        <v>912</v>
      </c>
      <c r="B1329" s="39" t="s">
        <v>908</v>
      </c>
      <c r="C1329" s="39" t="s">
        <v>930</v>
      </c>
      <c r="D1329" s="39" t="s">
        <v>917</v>
      </c>
      <c r="E1329" s="39"/>
      <c r="F1329" s="39" t="s">
        <v>915</v>
      </c>
      <c r="G1329" s="60"/>
      <c r="H1329" s="58" t="n">
        <v>3443</v>
      </c>
      <c r="I1329" s="39" t="str">
        <f aca="false">A1329&amp;"|"&amp;B1329&amp;"|"&amp;D1329&amp;"|"&amp;E1329&amp;F1329</f>
        <v>home|Tulsa|scenario 3 (dwelling $300,000, deductible 1%)|masonry</v>
      </c>
      <c r="J1329" s="34" t="n">
        <f aca="false" t="array" ref="J1329:J1329">MEDIAN(IF($I$4:$I$1803=I1329,$H$4:$H$1803))</f>
        <v>4538</v>
      </c>
      <c r="K1329" s="59" t="n">
        <f aca="false">H1329/J1329</f>
        <v>0.758704275011018</v>
      </c>
    </row>
    <row r="1330" customFormat="false" ht="15" hidden="false" customHeight="false" outlineLevel="0" collapsed="false">
      <c r="A1330" s="39" t="s">
        <v>912</v>
      </c>
      <c r="B1330" s="39" t="s">
        <v>908</v>
      </c>
      <c r="C1330" s="39" t="s">
        <v>930</v>
      </c>
      <c r="D1330" s="39" t="s">
        <v>918</v>
      </c>
      <c r="E1330" s="39"/>
      <c r="F1330" s="39" t="s">
        <v>133</v>
      </c>
      <c r="G1330" s="60"/>
      <c r="H1330" s="58" t="n">
        <v>5338</v>
      </c>
      <c r="I1330" s="39" t="str">
        <f aca="false">A1330&amp;"|"&amp;B1330&amp;"|"&amp;D1330&amp;"|"&amp;E1330&amp;F1330</f>
        <v>home|Tulsa|scenario 4 (dwelling $400,000, deductible 1%)|frame</v>
      </c>
      <c r="J1330" s="34" t="n">
        <f aca="false" t="array" ref="J1330:J1330">MEDIAN(IF($I$4:$I$1803=I1330,$H$4:$H$1803))</f>
        <v>5784</v>
      </c>
      <c r="K1330" s="59" t="n">
        <f aca="false">H1330/J1330</f>
        <v>0.922890733056708</v>
      </c>
    </row>
    <row r="1331" customFormat="false" ht="15" hidden="false" customHeight="false" outlineLevel="0" collapsed="false">
      <c r="A1331" s="39" t="s">
        <v>912</v>
      </c>
      <c r="B1331" s="39" t="s">
        <v>908</v>
      </c>
      <c r="C1331" s="39" t="s">
        <v>930</v>
      </c>
      <c r="D1331" s="39" t="s">
        <v>918</v>
      </c>
      <c r="E1331" s="39"/>
      <c r="F1331" s="39" t="s">
        <v>915</v>
      </c>
      <c r="G1331" s="60"/>
      <c r="H1331" s="58" t="n">
        <v>4801</v>
      </c>
      <c r="I1331" s="39" t="str">
        <f aca="false">A1331&amp;"|"&amp;B1331&amp;"|"&amp;D1331&amp;"|"&amp;E1331&amp;F1331</f>
        <v>home|Tulsa|scenario 4 (dwelling $400,000, deductible 1%)|masonry</v>
      </c>
      <c r="J1331" s="34" t="n">
        <f aca="false" t="array" ref="J1331:J1331">MEDIAN(IF($I$4:$I$1803=I1331,$H$4:$H$1803))</f>
        <v>5535.5</v>
      </c>
      <c r="K1331" s="59" t="n">
        <f aca="false">H1331/J1331</f>
        <v>0.867310992683588</v>
      </c>
    </row>
    <row r="1332" customFormat="false" ht="15" hidden="false" customHeight="false" outlineLevel="0" collapsed="false">
      <c r="A1332" s="39" t="s">
        <v>912</v>
      </c>
      <c r="B1332" s="39" t="s">
        <v>908</v>
      </c>
      <c r="C1332" s="39" t="s">
        <v>930</v>
      </c>
      <c r="D1332" s="39" t="s">
        <v>919</v>
      </c>
      <c r="E1332" s="39"/>
      <c r="F1332" s="39" t="s">
        <v>133</v>
      </c>
      <c r="G1332" s="60"/>
      <c r="H1332" s="58" t="n">
        <v>6870</v>
      </c>
      <c r="I1332" s="39" t="str">
        <f aca="false">A1332&amp;"|"&amp;B1332&amp;"|"&amp;D1332&amp;"|"&amp;E1332&amp;F1332</f>
        <v>home|Tulsa|scenario 5 (dwelling $500,000, deductible 1%)|frame</v>
      </c>
      <c r="J1332" s="34" t="n">
        <f aca="false" t="array" ref="J1332:J1332">MEDIAN(IF($I$4:$I$1803=I1332,$H$4:$H$1803))</f>
        <v>7057</v>
      </c>
      <c r="K1332" s="59" t="n">
        <f aca="false">H1332/J1332</f>
        <v>0.97350148788437</v>
      </c>
    </row>
    <row r="1333" customFormat="false" ht="15" hidden="false" customHeight="false" outlineLevel="0" collapsed="false">
      <c r="A1333" s="39" t="s">
        <v>912</v>
      </c>
      <c r="B1333" s="39" t="s">
        <v>908</v>
      </c>
      <c r="C1333" s="39" t="s">
        <v>930</v>
      </c>
      <c r="D1333" s="39" t="s">
        <v>919</v>
      </c>
      <c r="E1333" s="39"/>
      <c r="F1333" s="39" t="s">
        <v>915</v>
      </c>
      <c r="G1333" s="60"/>
      <c r="H1333" s="58" t="n">
        <v>6178</v>
      </c>
      <c r="I1333" s="39" t="str">
        <f aca="false">A1333&amp;"|"&amp;B1333&amp;"|"&amp;D1333&amp;"|"&amp;E1333&amp;F1333</f>
        <v>home|Tulsa|scenario 5 (dwelling $500,000, deductible 1%)|masonry</v>
      </c>
      <c r="J1333" s="34" t="n">
        <f aca="false" t="array" ref="J1333:J1333">MEDIAN(IF($I$4:$I$1803=I1333,$H$4:$H$1803))</f>
        <v>6356</v>
      </c>
      <c r="K1333" s="59" t="n">
        <f aca="false">H1333/J1333</f>
        <v>0.971994965387036</v>
      </c>
    </row>
    <row r="1334" customFormat="false" ht="15" hidden="false" customHeight="false" outlineLevel="0" collapsed="false">
      <c r="A1334" s="39" t="s">
        <v>912</v>
      </c>
      <c r="B1334" s="39" t="s">
        <v>908</v>
      </c>
      <c r="C1334" s="39" t="s">
        <v>931</v>
      </c>
      <c r="D1334" s="39" t="s">
        <v>914</v>
      </c>
      <c r="E1334" s="39"/>
      <c r="F1334" s="39" t="s">
        <v>133</v>
      </c>
      <c r="G1334" s="60"/>
      <c r="H1334" s="58" t="n">
        <v>2674</v>
      </c>
      <c r="I1334" s="39" t="str">
        <f aca="false">A1334&amp;"|"&amp;B1334&amp;"|"&amp;D1334&amp;"|"&amp;E1334&amp;F1334</f>
        <v>home|Tulsa|scenario 1 (dwelling $100,000, deductible 1%)|frame</v>
      </c>
      <c r="J1334" s="34" t="n">
        <f aca="false" t="array" ref="J1334:J1334">MEDIAN(IF($I$4:$I$1803=I1334,$H$4:$H$1803))</f>
        <v>2417.5</v>
      </c>
      <c r="K1334" s="59" t="n">
        <f aca="false">H1334/J1334</f>
        <v>1.10610134436401</v>
      </c>
    </row>
    <row r="1335" customFormat="false" ht="15" hidden="false" customHeight="false" outlineLevel="0" collapsed="false">
      <c r="A1335" s="39" t="s">
        <v>912</v>
      </c>
      <c r="B1335" s="39" t="s">
        <v>908</v>
      </c>
      <c r="C1335" s="39" t="s">
        <v>931</v>
      </c>
      <c r="D1335" s="39" t="s">
        <v>914</v>
      </c>
      <c r="E1335" s="39"/>
      <c r="F1335" s="39" t="s">
        <v>915</v>
      </c>
      <c r="G1335" s="60"/>
      <c r="H1335" s="58" t="n">
        <v>2503</v>
      </c>
      <c r="I1335" s="39" t="str">
        <f aca="false">A1335&amp;"|"&amp;B1335&amp;"|"&amp;D1335&amp;"|"&amp;E1335&amp;F1335</f>
        <v>home|Tulsa|scenario 1 (dwelling $100,000, deductible 1%)|masonry</v>
      </c>
      <c r="J1335" s="34" t="n">
        <f aca="false" t="array" ref="J1335:J1335">MEDIAN(IF($I$4:$I$1803=I1335,$H$4:$H$1803))</f>
        <v>2335</v>
      </c>
      <c r="K1335" s="59" t="n">
        <f aca="false">H1335/J1335</f>
        <v>1.07194860813705</v>
      </c>
    </row>
    <row r="1336" customFormat="false" ht="15" hidden="false" customHeight="false" outlineLevel="0" collapsed="false">
      <c r="A1336" s="39" t="s">
        <v>912</v>
      </c>
      <c r="B1336" s="39" t="s">
        <v>908</v>
      </c>
      <c r="C1336" s="39" t="s">
        <v>931</v>
      </c>
      <c r="D1336" s="39" t="s">
        <v>916</v>
      </c>
      <c r="E1336" s="39"/>
      <c r="F1336" s="39" t="s">
        <v>133</v>
      </c>
      <c r="G1336" s="60"/>
      <c r="H1336" s="58" t="n">
        <v>4098</v>
      </c>
      <c r="I1336" s="39" t="str">
        <f aca="false">A1336&amp;"|"&amp;B1336&amp;"|"&amp;D1336&amp;"|"&amp;E1336&amp;F1336</f>
        <v>home|Tulsa|scenario 2 (dwelling $200,000, deductible 1%)|frame</v>
      </c>
      <c r="J1336" s="34" t="n">
        <f aca="false" t="array" ref="J1336:J1336">MEDIAN(IF($I$4:$I$1803=I1336,$H$4:$H$1803))</f>
        <v>3472.5</v>
      </c>
      <c r="K1336" s="59" t="n">
        <f aca="false">H1336/J1336</f>
        <v>1.18012958963283</v>
      </c>
    </row>
    <row r="1337" customFormat="false" ht="15" hidden="false" customHeight="false" outlineLevel="0" collapsed="false">
      <c r="A1337" s="39" t="s">
        <v>912</v>
      </c>
      <c r="B1337" s="39" t="s">
        <v>908</v>
      </c>
      <c r="C1337" s="39" t="s">
        <v>931</v>
      </c>
      <c r="D1337" s="39" t="s">
        <v>916</v>
      </c>
      <c r="E1337" s="39"/>
      <c r="F1337" s="39" t="s">
        <v>915</v>
      </c>
      <c r="G1337" s="60"/>
      <c r="H1337" s="58" t="n">
        <v>3836</v>
      </c>
      <c r="I1337" s="39" t="str">
        <f aca="false">A1337&amp;"|"&amp;B1337&amp;"|"&amp;D1337&amp;"|"&amp;E1337&amp;F1337</f>
        <v>home|Tulsa|scenario 2 (dwelling $200,000, deductible 1%)|masonry</v>
      </c>
      <c r="J1337" s="34" t="n">
        <f aca="false" t="array" ref="J1337:J1337">MEDIAN(IF($I$4:$I$1803=I1337,$H$4:$H$1803))</f>
        <v>3490.5</v>
      </c>
      <c r="K1337" s="59" t="n">
        <f aca="false">H1337/J1337</f>
        <v>1.09898295373156</v>
      </c>
    </row>
    <row r="1338" customFormat="false" ht="15" hidden="false" customHeight="false" outlineLevel="0" collapsed="false">
      <c r="A1338" s="39" t="s">
        <v>912</v>
      </c>
      <c r="B1338" s="39" t="s">
        <v>908</v>
      </c>
      <c r="C1338" s="39" t="s">
        <v>931</v>
      </c>
      <c r="D1338" s="39" t="s">
        <v>917</v>
      </c>
      <c r="E1338" s="39"/>
      <c r="F1338" s="39" t="s">
        <v>133</v>
      </c>
      <c r="G1338" s="60"/>
      <c r="H1338" s="58" t="n">
        <v>5700</v>
      </c>
      <c r="I1338" s="39" t="str">
        <f aca="false">A1338&amp;"|"&amp;B1338&amp;"|"&amp;D1338&amp;"|"&amp;E1338&amp;F1338</f>
        <v>home|Tulsa|scenario 3 (dwelling $300,000, deductible 1%)|frame</v>
      </c>
      <c r="J1338" s="34" t="n">
        <f aca="false" t="array" ref="J1338:J1338">MEDIAN(IF($I$4:$I$1803=I1338,$H$4:$H$1803))</f>
        <v>4490.5</v>
      </c>
      <c r="K1338" s="59" t="n">
        <f aca="false">H1338/J1338</f>
        <v>1.26934639795123</v>
      </c>
    </row>
    <row r="1339" customFormat="false" ht="15" hidden="false" customHeight="false" outlineLevel="0" collapsed="false">
      <c r="A1339" s="39" t="s">
        <v>912</v>
      </c>
      <c r="B1339" s="39" t="s">
        <v>908</v>
      </c>
      <c r="C1339" s="39" t="s">
        <v>931</v>
      </c>
      <c r="D1339" s="39" t="s">
        <v>917</v>
      </c>
      <c r="E1339" s="39"/>
      <c r="F1339" s="39" t="s">
        <v>915</v>
      </c>
      <c r="G1339" s="60"/>
      <c r="H1339" s="58" t="n">
        <v>5335</v>
      </c>
      <c r="I1339" s="39" t="str">
        <f aca="false">A1339&amp;"|"&amp;B1339&amp;"|"&amp;D1339&amp;"|"&amp;E1339&amp;F1339</f>
        <v>home|Tulsa|scenario 3 (dwelling $300,000, deductible 1%)|masonry</v>
      </c>
      <c r="J1339" s="34" t="n">
        <f aca="false" t="array" ref="J1339:J1339">MEDIAN(IF($I$4:$I$1803=I1339,$H$4:$H$1803))</f>
        <v>4538</v>
      </c>
      <c r="K1339" s="59" t="n">
        <f aca="false">H1339/J1339</f>
        <v>1.17562802996915</v>
      </c>
    </row>
    <row r="1340" customFormat="false" ht="15" hidden="false" customHeight="false" outlineLevel="0" collapsed="false">
      <c r="A1340" s="39" t="s">
        <v>912</v>
      </c>
      <c r="B1340" s="39" t="s">
        <v>908</v>
      </c>
      <c r="C1340" s="39" t="s">
        <v>931</v>
      </c>
      <c r="D1340" s="39" t="s">
        <v>918</v>
      </c>
      <c r="E1340" s="39"/>
      <c r="F1340" s="39" t="s">
        <v>133</v>
      </c>
      <c r="G1340" s="60"/>
      <c r="H1340" s="58" t="n">
        <v>7301</v>
      </c>
      <c r="I1340" s="39" t="str">
        <f aca="false">A1340&amp;"|"&amp;B1340&amp;"|"&amp;D1340&amp;"|"&amp;E1340&amp;F1340</f>
        <v>home|Tulsa|scenario 4 (dwelling $400,000, deductible 1%)|frame</v>
      </c>
      <c r="J1340" s="34" t="n">
        <f aca="false" t="array" ref="J1340:J1340">MEDIAN(IF($I$4:$I$1803=I1340,$H$4:$H$1803))</f>
        <v>5784</v>
      </c>
      <c r="K1340" s="59" t="n">
        <f aca="false">H1340/J1340</f>
        <v>1.26227524204703</v>
      </c>
    </row>
    <row r="1341" customFormat="false" ht="15" hidden="false" customHeight="false" outlineLevel="0" collapsed="false">
      <c r="A1341" s="39" t="s">
        <v>912</v>
      </c>
      <c r="B1341" s="39" t="s">
        <v>908</v>
      </c>
      <c r="C1341" s="39" t="s">
        <v>931</v>
      </c>
      <c r="D1341" s="39" t="s">
        <v>918</v>
      </c>
      <c r="E1341" s="39"/>
      <c r="F1341" s="39" t="s">
        <v>915</v>
      </c>
      <c r="G1341" s="60"/>
      <c r="H1341" s="58" t="n">
        <v>6834</v>
      </c>
      <c r="I1341" s="39" t="str">
        <f aca="false">A1341&amp;"|"&amp;B1341&amp;"|"&amp;D1341&amp;"|"&amp;E1341&amp;F1341</f>
        <v>home|Tulsa|scenario 4 (dwelling $400,000, deductible 1%)|masonry</v>
      </c>
      <c r="J1341" s="34" t="n">
        <f aca="false" t="array" ref="J1341:J1341">MEDIAN(IF($I$4:$I$1803=I1341,$H$4:$H$1803))</f>
        <v>5535.5</v>
      </c>
      <c r="K1341" s="59" t="n">
        <f aca="false">H1341/J1341</f>
        <v>1.23457682232861</v>
      </c>
    </row>
    <row r="1342" customFormat="false" ht="15" hidden="false" customHeight="false" outlineLevel="0" collapsed="false">
      <c r="A1342" s="39" t="s">
        <v>912</v>
      </c>
      <c r="B1342" s="39" t="s">
        <v>908</v>
      </c>
      <c r="C1342" s="39" t="s">
        <v>931</v>
      </c>
      <c r="D1342" s="39" t="s">
        <v>919</v>
      </c>
      <c r="E1342" s="39"/>
      <c r="F1342" s="39" t="s">
        <v>133</v>
      </c>
      <c r="G1342" s="60"/>
      <c r="H1342" s="58" t="n">
        <v>8709</v>
      </c>
      <c r="I1342" s="39" t="str">
        <f aca="false">A1342&amp;"|"&amp;B1342&amp;"|"&amp;D1342&amp;"|"&amp;E1342&amp;F1342</f>
        <v>home|Tulsa|scenario 5 (dwelling $500,000, deductible 1%)|frame</v>
      </c>
      <c r="J1342" s="34" t="n">
        <f aca="false" t="array" ref="J1342:J1342">MEDIAN(IF($I$4:$I$1803=I1342,$H$4:$H$1803))</f>
        <v>7057</v>
      </c>
      <c r="K1342" s="59" t="n">
        <f aca="false">H1342/J1342</f>
        <v>1.23409380756695</v>
      </c>
    </row>
    <row r="1343" customFormat="false" ht="15" hidden="false" customHeight="false" outlineLevel="0" collapsed="false">
      <c r="A1343" s="39" t="s">
        <v>912</v>
      </c>
      <c r="B1343" s="39" t="s">
        <v>908</v>
      </c>
      <c r="C1343" s="39" t="s">
        <v>931</v>
      </c>
      <c r="D1343" s="39" t="s">
        <v>919</v>
      </c>
      <c r="E1343" s="39"/>
      <c r="F1343" s="39" t="s">
        <v>915</v>
      </c>
      <c r="G1343" s="60"/>
      <c r="H1343" s="58" t="n">
        <v>8153</v>
      </c>
      <c r="I1343" s="39" t="str">
        <f aca="false">A1343&amp;"|"&amp;B1343&amp;"|"&amp;D1343&amp;"|"&amp;E1343&amp;F1343</f>
        <v>home|Tulsa|scenario 5 (dwelling $500,000, deductible 1%)|masonry</v>
      </c>
      <c r="J1343" s="34" t="n">
        <f aca="false" t="array" ref="J1343:J1343">MEDIAN(IF($I$4:$I$1803=I1343,$H$4:$H$1803))</f>
        <v>6356</v>
      </c>
      <c r="K1343" s="59" t="n">
        <f aca="false">H1343/J1343</f>
        <v>1.28272498426683</v>
      </c>
    </row>
    <row r="1344" customFormat="false" ht="15" hidden="false" customHeight="false" outlineLevel="0" collapsed="false">
      <c r="A1344" s="39" t="s">
        <v>912</v>
      </c>
      <c r="B1344" s="39" t="s">
        <v>908</v>
      </c>
      <c r="C1344" s="39" t="s">
        <v>899</v>
      </c>
      <c r="D1344" s="39" t="s">
        <v>914</v>
      </c>
      <c r="E1344" s="39"/>
      <c r="F1344" s="39" t="s">
        <v>133</v>
      </c>
      <c r="G1344" s="60"/>
      <c r="H1344" s="58" t="n">
        <v>4505</v>
      </c>
      <c r="I1344" s="39" t="str">
        <f aca="false">A1344&amp;"|"&amp;B1344&amp;"|"&amp;D1344&amp;"|"&amp;E1344&amp;F1344</f>
        <v>home|Tulsa|scenario 1 (dwelling $100,000, deductible 1%)|frame</v>
      </c>
      <c r="J1344" s="34" t="n">
        <f aca="false" t="array" ref="J1344:J1344">MEDIAN(IF($I$4:$I$1803=I1344,$H$4:$H$1803))</f>
        <v>2417.5</v>
      </c>
      <c r="K1344" s="59" t="n">
        <f aca="false">H1344/J1344</f>
        <v>1.86349534643226</v>
      </c>
    </row>
    <row r="1345" customFormat="false" ht="15" hidden="false" customHeight="false" outlineLevel="0" collapsed="false">
      <c r="A1345" s="39" t="s">
        <v>912</v>
      </c>
      <c r="B1345" s="39" t="s">
        <v>908</v>
      </c>
      <c r="C1345" s="39" t="s">
        <v>899</v>
      </c>
      <c r="D1345" s="39" t="s">
        <v>914</v>
      </c>
      <c r="E1345" s="39"/>
      <c r="F1345" s="39" t="s">
        <v>915</v>
      </c>
      <c r="G1345" s="60"/>
      <c r="H1345" s="58" t="n">
        <v>4414</v>
      </c>
      <c r="I1345" s="39" t="str">
        <f aca="false">A1345&amp;"|"&amp;B1345&amp;"|"&amp;D1345&amp;"|"&amp;E1345&amp;F1345</f>
        <v>home|Tulsa|scenario 1 (dwelling $100,000, deductible 1%)|masonry</v>
      </c>
      <c r="J1345" s="34" t="n">
        <f aca="false" t="array" ref="J1345:J1345">MEDIAN(IF($I$4:$I$1803=I1345,$H$4:$H$1803))</f>
        <v>2335</v>
      </c>
      <c r="K1345" s="59" t="n">
        <f aca="false">H1345/J1345</f>
        <v>1.89036402569593</v>
      </c>
    </row>
    <row r="1346" customFormat="false" ht="15" hidden="false" customHeight="false" outlineLevel="0" collapsed="false">
      <c r="A1346" s="39" t="s">
        <v>912</v>
      </c>
      <c r="B1346" s="39" t="s">
        <v>908</v>
      </c>
      <c r="C1346" s="39" t="s">
        <v>899</v>
      </c>
      <c r="D1346" s="39" t="s">
        <v>916</v>
      </c>
      <c r="E1346" s="39"/>
      <c r="F1346" s="39" t="s">
        <v>133</v>
      </c>
      <c r="G1346" s="60"/>
      <c r="H1346" s="58" t="n">
        <v>6440</v>
      </c>
      <c r="I1346" s="39" t="str">
        <f aca="false">A1346&amp;"|"&amp;B1346&amp;"|"&amp;D1346&amp;"|"&amp;E1346&amp;F1346</f>
        <v>home|Tulsa|scenario 2 (dwelling $200,000, deductible 1%)|frame</v>
      </c>
      <c r="J1346" s="34" t="n">
        <f aca="false" t="array" ref="J1346:J1346">MEDIAN(IF($I$4:$I$1803=I1346,$H$4:$H$1803))</f>
        <v>3472.5</v>
      </c>
      <c r="K1346" s="59" t="n">
        <f aca="false">H1346/J1346</f>
        <v>1.85457163426926</v>
      </c>
    </row>
    <row r="1347" customFormat="false" ht="15" hidden="false" customHeight="false" outlineLevel="0" collapsed="false">
      <c r="A1347" s="39" t="s">
        <v>912</v>
      </c>
      <c r="B1347" s="39" t="s">
        <v>908</v>
      </c>
      <c r="C1347" s="39" t="s">
        <v>899</v>
      </c>
      <c r="D1347" s="39" t="s">
        <v>916</v>
      </c>
      <c r="E1347" s="39"/>
      <c r="F1347" s="39" t="s">
        <v>915</v>
      </c>
      <c r="G1347" s="60"/>
      <c r="H1347" s="58" t="n">
        <v>6313</v>
      </c>
      <c r="I1347" s="39" t="str">
        <f aca="false">A1347&amp;"|"&amp;B1347&amp;"|"&amp;D1347&amp;"|"&amp;E1347&amp;F1347</f>
        <v>home|Tulsa|scenario 2 (dwelling $200,000, deductible 1%)|masonry</v>
      </c>
      <c r="J1347" s="34" t="n">
        <f aca="false" t="array" ref="J1347:J1347">MEDIAN(IF($I$4:$I$1803=I1347,$H$4:$H$1803))</f>
        <v>3490.5</v>
      </c>
      <c r="K1347" s="59" t="n">
        <f aca="false">H1347/J1347</f>
        <v>1.80862340638877</v>
      </c>
    </row>
    <row r="1348" customFormat="false" ht="15" hidden="false" customHeight="false" outlineLevel="0" collapsed="false">
      <c r="A1348" s="39" t="s">
        <v>912</v>
      </c>
      <c r="B1348" s="39" t="s">
        <v>908</v>
      </c>
      <c r="C1348" s="39" t="s">
        <v>899</v>
      </c>
      <c r="D1348" s="39" t="s">
        <v>917</v>
      </c>
      <c r="E1348" s="39"/>
      <c r="F1348" s="39" t="s">
        <v>133</v>
      </c>
      <c r="G1348" s="60"/>
      <c r="H1348" s="58" t="n">
        <v>7568</v>
      </c>
      <c r="I1348" s="39" t="str">
        <f aca="false">A1348&amp;"|"&amp;B1348&amp;"|"&amp;D1348&amp;"|"&amp;E1348&amp;F1348</f>
        <v>home|Tulsa|scenario 3 (dwelling $300,000, deductible 1%)|frame</v>
      </c>
      <c r="J1348" s="34" t="n">
        <f aca="false" t="array" ref="J1348:J1348">MEDIAN(IF($I$4:$I$1803=I1348,$H$4:$H$1803))</f>
        <v>4490.5</v>
      </c>
      <c r="K1348" s="59" t="n">
        <f aca="false">H1348/J1348</f>
        <v>1.68533570871841</v>
      </c>
    </row>
    <row r="1349" customFormat="false" ht="15" hidden="false" customHeight="false" outlineLevel="0" collapsed="false">
      <c r="A1349" s="39" t="s">
        <v>912</v>
      </c>
      <c r="B1349" s="39" t="s">
        <v>908</v>
      </c>
      <c r="C1349" s="39" t="s">
        <v>899</v>
      </c>
      <c r="D1349" s="39" t="s">
        <v>917</v>
      </c>
      <c r="E1349" s="39"/>
      <c r="F1349" s="39" t="s">
        <v>915</v>
      </c>
      <c r="G1349" s="60"/>
      <c r="H1349" s="58" t="n">
        <v>7418</v>
      </c>
      <c r="I1349" s="39" t="str">
        <f aca="false">A1349&amp;"|"&amp;B1349&amp;"|"&amp;D1349&amp;"|"&amp;E1349&amp;F1349</f>
        <v>home|Tulsa|scenario 3 (dwelling $300,000, deductible 1%)|masonry</v>
      </c>
      <c r="J1349" s="34" t="n">
        <f aca="false" t="array" ref="J1349:J1349">MEDIAN(IF($I$4:$I$1803=I1349,$H$4:$H$1803))</f>
        <v>4538</v>
      </c>
      <c r="K1349" s="59" t="n">
        <f aca="false">H1349/J1349</f>
        <v>1.63464081092993</v>
      </c>
    </row>
    <row r="1350" customFormat="false" ht="15" hidden="false" customHeight="false" outlineLevel="0" collapsed="false">
      <c r="A1350" s="39" t="s">
        <v>912</v>
      </c>
      <c r="B1350" s="39" t="s">
        <v>908</v>
      </c>
      <c r="C1350" s="39" t="s">
        <v>899</v>
      </c>
      <c r="D1350" s="39" t="s">
        <v>918</v>
      </c>
      <c r="E1350" s="39"/>
      <c r="F1350" s="39" t="s">
        <v>133</v>
      </c>
      <c r="G1350" s="60"/>
      <c r="H1350" s="58" t="n">
        <v>8933</v>
      </c>
      <c r="I1350" s="39" t="str">
        <f aca="false">A1350&amp;"|"&amp;B1350&amp;"|"&amp;D1350&amp;"|"&amp;E1350&amp;F1350</f>
        <v>home|Tulsa|scenario 4 (dwelling $400,000, deductible 1%)|frame</v>
      </c>
      <c r="J1350" s="34" t="n">
        <f aca="false" t="array" ref="J1350:J1350">MEDIAN(IF($I$4:$I$1803=I1350,$H$4:$H$1803))</f>
        <v>5784</v>
      </c>
      <c r="K1350" s="59" t="n">
        <f aca="false">H1350/J1350</f>
        <v>1.54443291839557</v>
      </c>
    </row>
    <row r="1351" customFormat="false" ht="15" hidden="false" customHeight="false" outlineLevel="0" collapsed="false">
      <c r="A1351" s="39" t="s">
        <v>912</v>
      </c>
      <c r="B1351" s="39" t="s">
        <v>908</v>
      </c>
      <c r="C1351" s="39" t="s">
        <v>899</v>
      </c>
      <c r="D1351" s="39" t="s">
        <v>918</v>
      </c>
      <c r="E1351" s="39"/>
      <c r="F1351" s="39" t="s">
        <v>915</v>
      </c>
      <c r="G1351" s="60"/>
      <c r="H1351" s="58" t="n">
        <v>8753</v>
      </c>
      <c r="I1351" s="39" t="str">
        <f aca="false">A1351&amp;"|"&amp;B1351&amp;"|"&amp;D1351&amp;"|"&amp;E1351&amp;F1351</f>
        <v>home|Tulsa|scenario 4 (dwelling $400,000, deductible 1%)|masonry</v>
      </c>
      <c r="J1351" s="34" t="n">
        <f aca="false" t="array" ref="J1351:J1351">MEDIAN(IF($I$4:$I$1803=I1351,$H$4:$H$1803))</f>
        <v>5535.5</v>
      </c>
      <c r="K1351" s="59" t="n">
        <f aca="false">H1351/J1351</f>
        <v>1.58124830638605</v>
      </c>
    </row>
    <row r="1352" customFormat="false" ht="15" hidden="false" customHeight="false" outlineLevel="0" collapsed="false">
      <c r="A1352" s="39" t="s">
        <v>912</v>
      </c>
      <c r="B1352" s="39" t="s">
        <v>908</v>
      </c>
      <c r="C1352" s="39" t="s">
        <v>899</v>
      </c>
      <c r="D1352" s="39" t="s">
        <v>919</v>
      </c>
      <c r="E1352" s="39"/>
      <c r="F1352" s="39" t="s">
        <v>133</v>
      </c>
      <c r="G1352" s="60"/>
      <c r="H1352" s="58" t="n">
        <v>10245</v>
      </c>
      <c r="I1352" s="39" t="str">
        <f aca="false">A1352&amp;"|"&amp;B1352&amp;"|"&amp;D1352&amp;"|"&amp;E1352&amp;F1352</f>
        <v>home|Tulsa|scenario 5 (dwelling $500,000, deductible 1%)|frame</v>
      </c>
      <c r="J1352" s="34" t="n">
        <f aca="false" t="array" ref="J1352:J1352">MEDIAN(IF($I$4:$I$1803=I1352,$H$4:$H$1803))</f>
        <v>7057</v>
      </c>
      <c r="K1352" s="59" t="n">
        <f aca="false">H1352/J1352</f>
        <v>1.45175003542582</v>
      </c>
    </row>
    <row r="1353" customFormat="false" ht="15" hidden="false" customHeight="false" outlineLevel="0" collapsed="false">
      <c r="A1353" s="39" t="s">
        <v>912</v>
      </c>
      <c r="B1353" s="39" t="s">
        <v>908</v>
      </c>
      <c r="C1353" s="39" t="s">
        <v>899</v>
      </c>
      <c r="D1353" s="39" t="s">
        <v>919</v>
      </c>
      <c r="E1353" s="39"/>
      <c r="F1353" s="39" t="s">
        <v>915</v>
      </c>
      <c r="G1353" s="60"/>
      <c r="H1353" s="58" t="n">
        <v>10040</v>
      </c>
      <c r="I1353" s="39" t="str">
        <f aca="false">A1353&amp;"|"&amp;B1353&amp;"|"&amp;D1353&amp;"|"&amp;E1353&amp;F1353</f>
        <v>home|Tulsa|scenario 5 (dwelling $500,000, deductible 1%)|masonry</v>
      </c>
      <c r="J1353" s="34" t="n">
        <f aca="false" t="array" ref="J1353:J1353">MEDIAN(IF($I$4:$I$1803=I1353,$H$4:$H$1803))</f>
        <v>6356</v>
      </c>
      <c r="K1353" s="59" t="n">
        <f aca="false">H1353/J1353</f>
        <v>1.57960981749528</v>
      </c>
    </row>
    <row r="1354" customFormat="false" ht="15" hidden="false" customHeight="false" outlineLevel="0" collapsed="false">
      <c r="A1354" s="39" t="s">
        <v>912</v>
      </c>
      <c r="B1354" s="39" t="s">
        <v>908</v>
      </c>
      <c r="C1354" s="39" t="s">
        <v>900</v>
      </c>
      <c r="D1354" s="39" t="s">
        <v>914</v>
      </c>
      <c r="E1354" s="39"/>
      <c r="F1354" s="39" t="s">
        <v>133</v>
      </c>
      <c r="G1354" s="60"/>
      <c r="H1354" s="58" t="n">
        <v>1898</v>
      </c>
      <c r="I1354" s="39" t="str">
        <f aca="false">A1354&amp;"|"&amp;B1354&amp;"|"&amp;D1354&amp;"|"&amp;E1354&amp;F1354</f>
        <v>home|Tulsa|scenario 1 (dwelling $100,000, deductible 1%)|frame</v>
      </c>
      <c r="J1354" s="34" t="n">
        <f aca="false" t="array" ref="J1354:J1354">MEDIAN(IF($I$4:$I$1803=I1354,$H$4:$H$1803))</f>
        <v>2417.5</v>
      </c>
      <c r="K1354" s="59" t="n">
        <f aca="false">H1354/J1354</f>
        <v>0.785108583247156</v>
      </c>
    </row>
    <row r="1355" customFormat="false" ht="15" hidden="false" customHeight="false" outlineLevel="0" collapsed="false">
      <c r="A1355" s="39" t="s">
        <v>912</v>
      </c>
      <c r="B1355" s="39" t="s">
        <v>908</v>
      </c>
      <c r="C1355" s="39" t="s">
        <v>900</v>
      </c>
      <c r="D1355" s="39" t="s">
        <v>914</v>
      </c>
      <c r="E1355" s="39"/>
      <c r="F1355" s="39" t="s">
        <v>915</v>
      </c>
      <c r="G1355" s="60"/>
      <c r="H1355" s="58" t="n">
        <v>1862</v>
      </c>
      <c r="I1355" s="39" t="str">
        <f aca="false">A1355&amp;"|"&amp;B1355&amp;"|"&amp;D1355&amp;"|"&amp;E1355&amp;F1355</f>
        <v>home|Tulsa|scenario 1 (dwelling $100,000, deductible 1%)|masonry</v>
      </c>
      <c r="J1355" s="34" t="n">
        <f aca="false" t="array" ref="J1355:J1355">MEDIAN(IF($I$4:$I$1803=I1355,$H$4:$H$1803))</f>
        <v>2335</v>
      </c>
      <c r="K1355" s="59" t="n">
        <f aca="false">H1355/J1355</f>
        <v>0.797430406852248</v>
      </c>
    </row>
    <row r="1356" customFormat="false" ht="15" hidden="false" customHeight="false" outlineLevel="0" collapsed="false">
      <c r="A1356" s="39" t="s">
        <v>912</v>
      </c>
      <c r="B1356" s="39" t="s">
        <v>908</v>
      </c>
      <c r="C1356" s="39" t="s">
        <v>900</v>
      </c>
      <c r="D1356" s="39" t="s">
        <v>916</v>
      </c>
      <c r="E1356" s="39"/>
      <c r="F1356" s="39" t="s">
        <v>133</v>
      </c>
      <c r="G1356" s="60"/>
      <c r="H1356" s="58" t="n">
        <v>3277</v>
      </c>
      <c r="I1356" s="39" t="str">
        <f aca="false">A1356&amp;"|"&amp;B1356&amp;"|"&amp;D1356&amp;"|"&amp;E1356&amp;F1356</f>
        <v>home|Tulsa|scenario 2 (dwelling $200,000, deductible 1%)|frame</v>
      </c>
      <c r="J1356" s="34" t="n">
        <f aca="false" t="array" ref="J1356:J1356">MEDIAN(IF($I$4:$I$1803=I1356,$H$4:$H$1803))</f>
        <v>3472.5</v>
      </c>
      <c r="K1356" s="59" t="n">
        <f aca="false">H1356/J1356</f>
        <v>0.943700503959683</v>
      </c>
    </row>
    <row r="1357" customFormat="false" ht="15" hidden="false" customHeight="false" outlineLevel="0" collapsed="false">
      <c r="A1357" s="39" t="s">
        <v>912</v>
      </c>
      <c r="B1357" s="39" t="s">
        <v>908</v>
      </c>
      <c r="C1357" s="39" t="s">
        <v>900</v>
      </c>
      <c r="D1357" s="39" t="s">
        <v>916</v>
      </c>
      <c r="E1357" s="39"/>
      <c r="F1357" s="39" t="s">
        <v>915</v>
      </c>
      <c r="G1357" s="60"/>
      <c r="H1357" s="58" t="n">
        <v>3214</v>
      </c>
      <c r="I1357" s="39" t="str">
        <f aca="false">A1357&amp;"|"&amp;B1357&amp;"|"&amp;D1357&amp;"|"&amp;E1357&amp;F1357</f>
        <v>home|Tulsa|scenario 2 (dwelling $200,000, deductible 1%)|masonry</v>
      </c>
      <c r="J1357" s="34" t="n">
        <f aca="false" t="array" ref="J1357:J1357">MEDIAN(IF($I$4:$I$1803=I1357,$H$4:$H$1803))</f>
        <v>3490.5</v>
      </c>
      <c r="K1357" s="59" t="n">
        <f aca="false">H1357/J1357</f>
        <v>0.920784987824094</v>
      </c>
    </row>
    <row r="1358" customFormat="false" ht="15" hidden="false" customHeight="false" outlineLevel="0" collapsed="false">
      <c r="A1358" s="39" t="s">
        <v>912</v>
      </c>
      <c r="B1358" s="39" t="s">
        <v>908</v>
      </c>
      <c r="C1358" s="39" t="s">
        <v>900</v>
      </c>
      <c r="D1358" s="39" t="s">
        <v>917</v>
      </c>
      <c r="E1358" s="39"/>
      <c r="F1358" s="39" t="s">
        <v>133</v>
      </c>
      <c r="G1358" s="60"/>
      <c r="H1358" s="58" t="n">
        <v>4620</v>
      </c>
      <c r="I1358" s="39" t="str">
        <f aca="false">A1358&amp;"|"&amp;B1358&amp;"|"&amp;D1358&amp;"|"&amp;E1358&amp;F1358</f>
        <v>home|Tulsa|scenario 3 (dwelling $300,000, deductible 1%)|frame</v>
      </c>
      <c r="J1358" s="34" t="n">
        <f aca="false" t="array" ref="J1358:J1358">MEDIAN(IF($I$4:$I$1803=I1358,$H$4:$H$1803))</f>
        <v>4490.5</v>
      </c>
      <c r="K1358" s="59" t="n">
        <f aca="false">H1358/J1358</f>
        <v>1.02883865939205</v>
      </c>
    </row>
    <row r="1359" customFormat="false" ht="15" hidden="false" customHeight="false" outlineLevel="0" collapsed="false">
      <c r="A1359" s="39" t="s">
        <v>912</v>
      </c>
      <c r="B1359" s="39" t="s">
        <v>908</v>
      </c>
      <c r="C1359" s="39" t="s">
        <v>900</v>
      </c>
      <c r="D1359" s="39" t="s">
        <v>917</v>
      </c>
      <c r="E1359" s="39"/>
      <c r="F1359" s="39" t="s">
        <v>915</v>
      </c>
      <c r="G1359" s="60"/>
      <c r="H1359" s="58" t="n">
        <v>4531</v>
      </c>
      <c r="I1359" s="39" t="str">
        <f aca="false">A1359&amp;"|"&amp;B1359&amp;"|"&amp;D1359&amp;"|"&amp;E1359&amp;F1359</f>
        <v>home|Tulsa|scenario 3 (dwelling $300,000, deductible 1%)|masonry</v>
      </c>
      <c r="J1359" s="34" t="n">
        <f aca="false" t="array" ref="J1359:J1359">MEDIAN(IF($I$4:$I$1803=I1359,$H$4:$H$1803))</f>
        <v>4538</v>
      </c>
      <c r="K1359" s="59" t="n">
        <f aca="false">H1359/J1359</f>
        <v>0.998457470251212</v>
      </c>
    </row>
    <row r="1360" customFormat="false" ht="15" hidden="false" customHeight="false" outlineLevel="0" collapsed="false">
      <c r="A1360" s="39" t="s">
        <v>912</v>
      </c>
      <c r="B1360" s="39" t="s">
        <v>908</v>
      </c>
      <c r="C1360" s="39" t="s">
        <v>900</v>
      </c>
      <c r="D1360" s="39" t="s">
        <v>918</v>
      </c>
      <c r="E1360" s="39"/>
      <c r="F1360" s="39" t="s">
        <v>133</v>
      </c>
      <c r="G1360" s="60"/>
      <c r="H1360" s="58" t="n">
        <v>6071</v>
      </c>
      <c r="I1360" s="39" t="str">
        <f aca="false">A1360&amp;"|"&amp;B1360&amp;"|"&amp;D1360&amp;"|"&amp;E1360&amp;F1360</f>
        <v>home|Tulsa|scenario 4 (dwelling $400,000, deductible 1%)|frame</v>
      </c>
      <c r="J1360" s="34" t="n">
        <f aca="false" t="array" ref="J1360:J1360">MEDIAN(IF($I$4:$I$1803=I1360,$H$4:$H$1803))</f>
        <v>5784</v>
      </c>
      <c r="K1360" s="59" t="n">
        <f aca="false">H1360/J1360</f>
        <v>1.04961964038728</v>
      </c>
    </row>
    <row r="1361" customFormat="false" ht="15" hidden="false" customHeight="false" outlineLevel="0" collapsed="false">
      <c r="A1361" s="39" t="s">
        <v>912</v>
      </c>
      <c r="B1361" s="39" t="s">
        <v>908</v>
      </c>
      <c r="C1361" s="39" t="s">
        <v>900</v>
      </c>
      <c r="D1361" s="39" t="s">
        <v>918</v>
      </c>
      <c r="E1361" s="39"/>
      <c r="F1361" s="39" t="s">
        <v>915</v>
      </c>
      <c r="G1361" s="60"/>
      <c r="H1361" s="58" t="n">
        <v>5954</v>
      </c>
      <c r="I1361" s="39" t="str">
        <f aca="false">A1361&amp;"|"&amp;B1361&amp;"|"&amp;D1361&amp;"|"&amp;E1361&amp;F1361</f>
        <v>home|Tulsa|scenario 4 (dwelling $400,000, deductible 1%)|masonry</v>
      </c>
      <c r="J1361" s="34" t="n">
        <f aca="false" t="array" ref="J1361:J1361">MEDIAN(IF($I$4:$I$1803=I1361,$H$4:$H$1803))</f>
        <v>5535.5</v>
      </c>
      <c r="K1361" s="59" t="n">
        <f aca="false">H1361/J1361</f>
        <v>1.0756029265649</v>
      </c>
    </row>
    <row r="1362" customFormat="false" ht="15" hidden="false" customHeight="false" outlineLevel="0" collapsed="false">
      <c r="A1362" s="39" t="s">
        <v>912</v>
      </c>
      <c r="B1362" s="39" t="s">
        <v>908</v>
      </c>
      <c r="C1362" s="39" t="s">
        <v>900</v>
      </c>
      <c r="D1362" s="39" t="s">
        <v>919</v>
      </c>
      <c r="E1362" s="39"/>
      <c r="F1362" s="39" t="s">
        <v>133</v>
      </c>
      <c r="G1362" s="60"/>
      <c r="H1362" s="58" t="n">
        <v>7172</v>
      </c>
      <c r="I1362" s="39" t="str">
        <f aca="false">A1362&amp;"|"&amp;B1362&amp;"|"&amp;D1362&amp;"|"&amp;E1362&amp;F1362</f>
        <v>home|Tulsa|scenario 5 (dwelling $500,000, deductible 1%)|frame</v>
      </c>
      <c r="J1362" s="34" t="n">
        <f aca="false" t="array" ref="J1362:J1362">MEDIAN(IF($I$4:$I$1803=I1362,$H$4:$H$1803))</f>
        <v>7057</v>
      </c>
      <c r="K1362" s="59" t="n">
        <f aca="false">H1362/J1362</f>
        <v>1.01629587643475</v>
      </c>
    </row>
    <row r="1363" customFormat="false" ht="15" hidden="false" customHeight="false" outlineLevel="0" collapsed="false">
      <c r="A1363" s="39" t="s">
        <v>912</v>
      </c>
      <c r="B1363" s="39" t="s">
        <v>908</v>
      </c>
      <c r="C1363" s="39" t="s">
        <v>900</v>
      </c>
      <c r="D1363" s="39" t="s">
        <v>919</v>
      </c>
      <c r="E1363" s="39"/>
      <c r="F1363" s="39" t="s">
        <v>915</v>
      </c>
      <c r="G1363" s="60"/>
      <c r="H1363" s="58" t="n">
        <v>7034</v>
      </c>
      <c r="I1363" s="39" t="str">
        <f aca="false">A1363&amp;"|"&amp;B1363&amp;"|"&amp;D1363&amp;"|"&amp;E1363&amp;F1363</f>
        <v>home|Tulsa|scenario 5 (dwelling $500,000, deductible 1%)|masonry</v>
      </c>
      <c r="J1363" s="34" t="n">
        <f aca="false" t="array" ref="J1363:J1363">MEDIAN(IF($I$4:$I$1803=I1363,$H$4:$H$1803))</f>
        <v>6356</v>
      </c>
      <c r="K1363" s="59" t="n">
        <f aca="false">H1363/J1363</f>
        <v>1.10667086217747</v>
      </c>
    </row>
    <row r="1364" customFormat="false" ht="15" hidden="false" customHeight="false" outlineLevel="0" collapsed="false">
      <c r="A1364" s="39" t="s">
        <v>912</v>
      </c>
      <c r="B1364" s="39" t="s">
        <v>908</v>
      </c>
      <c r="C1364" s="39" t="s">
        <v>932</v>
      </c>
      <c r="D1364" s="39" t="s">
        <v>914</v>
      </c>
      <c r="E1364" s="39"/>
      <c r="F1364" s="39" t="s">
        <v>133</v>
      </c>
      <c r="G1364" s="60"/>
      <c r="H1364" s="58" t="n">
        <v>3006</v>
      </c>
      <c r="I1364" s="39" t="str">
        <f aca="false">A1364&amp;"|"&amp;B1364&amp;"|"&amp;D1364&amp;"|"&amp;E1364&amp;F1364</f>
        <v>home|Tulsa|scenario 1 (dwelling $100,000, deductible 1%)|frame</v>
      </c>
      <c r="J1364" s="34" t="n">
        <f aca="false" t="array" ref="J1364:J1364">MEDIAN(IF($I$4:$I$1803=I1364,$H$4:$H$1803))</f>
        <v>2417.5</v>
      </c>
      <c r="K1364" s="59" t="n">
        <f aca="false">H1364/J1364</f>
        <v>1.24343329886246</v>
      </c>
    </row>
    <row r="1365" customFormat="false" ht="15" hidden="false" customHeight="false" outlineLevel="0" collapsed="false">
      <c r="A1365" s="39" t="s">
        <v>912</v>
      </c>
      <c r="B1365" s="39" t="s">
        <v>908</v>
      </c>
      <c r="C1365" s="39" t="s">
        <v>932</v>
      </c>
      <c r="D1365" s="39" t="s">
        <v>914</v>
      </c>
      <c r="E1365" s="39"/>
      <c r="F1365" s="39" t="s">
        <v>915</v>
      </c>
      <c r="G1365" s="60"/>
      <c r="H1365" s="58" t="n">
        <v>2675</v>
      </c>
      <c r="I1365" s="39" t="str">
        <f aca="false">A1365&amp;"|"&amp;B1365&amp;"|"&amp;D1365&amp;"|"&amp;E1365&amp;F1365</f>
        <v>home|Tulsa|scenario 1 (dwelling $100,000, deductible 1%)|masonry</v>
      </c>
      <c r="J1365" s="34" t="n">
        <f aca="false" t="array" ref="J1365:J1365">MEDIAN(IF($I$4:$I$1803=I1365,$H$4:$H$1803))</f>
        <v>2335</v>
      </c>
      <c r="K1365" s="59" t="n">
        <f aca="false">H1365/J1365</f>
        <v>1.14561027837259</v>
      </c>
    </row>
    <row r="1366" customFormat="false" ht="15" hidden="false" customHeight="false" outlineLevel="0" collapsed="false">
      <c r="A1366" s="39" t="s">
        <v>912</v>
      </c>
      <c r="B1366" s="39" t="s">
        <v>908</v>
      </c>
      <c r="C1366" s="39" t="s">
        <v>932</v>
      </c>
      <c r="D1366" s="39" t="s">
        <v>916</v>
      </c>
      <c r="E1366" s="39"/>
      <c r="F1366" s="39" t="s">
        <v>133</v>
      </c>
      <c r="G1366" s="60"/>
      <c r="H1366" s="58" t="n">
        <v>4544</v>
      </c>
      <c r="I1366" s="39" t="str">
        <f aca="false">A1366&amp;"|"&amp;B1366&amp;"|"&amp;D1366&amp;"|"&amp;E1366&amp;F1366</f>
        <v>home|Tulsa|scenario 2 (dwelling $200,000, deductible 1%)|frame</v>
      </c>
      <c r="J1366" s="34" t="n">
        <f aca="false" t="array" ref="J1366:J1366">MEDIAN(IF($I$4:$I$1803=I1366,$H$4:$H$1803))</f>
        <v>3472.5</v>
      </c>
      <c r="K1366" s="59" t="n">
        <f aca="false">H1366/J1366</f>
        <v>1.30856731461483</v>
      </c>
    </row>
    <row r="1367" customFormat="false" ht="15" hidden="false" customHeight="false" outlineLevel="0" collapsed="false">
      <c r="A1367" s="39" t="s">
        <v>912</v>
      </c>
      <c r="B1367" s="39" t="s">
        <v>908</v>
      </c>
      <c r="C1367" s="39" t="s">
        <v>932</v>
      </c>
      <c r="D1367" s="39" t="s">
        <v>916</v>
      </c>
      <c r="E1367" s="39"/>
      <c r="F1367" s="39" t="s">
        <v>915</v>
      </c>
      <c r="G1367" s="60"/>
      <c r="H1367" s="58" t="n">
        <v>3987</v>
      </c>
      <c r="I1367" s="39" t="str">
        <f aca="false">A1367&amp;"|"&amp;B1367&amp;"|"&amp;D1367&amp;"|"&amp;E1367&amp;F1367</f>
        <v>home|Tulsa|scenario 2 (dwelling $200,000, deductible 1%)|masonry</v>
      </c>
      <c r="J1367" s="34" t="n">
        <f aca="false" t="array" ref="J1367:J1367">MEDIAN(IF($I$4:$I$1803=I1367,$H$4:$H$1803))</f>
        <v>3490.5</v>
      </c>
      <c r="K1367" s="59" t="n">
        <f aca="false">H1367/J1367</f>
        <v>1.14224323162871</v>
      </c>
    </row>
    <row r="1368" customFormat="false" ht="15" hidden="false" customHeight="false" outlineLevel="0" collapsed="false">
      <c r="A1368" s="39" t="s">
        <v>912</v>
      </c>
      <c r="B1368" s="39" t="s">
        <v>908</v>
      </c>
      <c r="C1368" s="39" t="s">
        <v>932</v>
      </c>
      <c r="D1368" s="39" t="s">
        <v>917</v>
      </c>
      <c r="E1368" s="39"/>
      <c r="F1368" s="39" t="s">
        <v>133</v>
      </c>
      <c r="G1368" s="60"/>
      <c r="H1368" s="58" t="n">
        <v>5636</v>
      </c>
      <c r="I1368" s="39" t="str">
        <f aca="false">A1368&amp;"|"&amp;B1368&amp;"|"&amp;D1368&amp;"|"&amp;E1368&amp;F1368</f>
        <v>home|Tulsa|scenario 3 (dwelling $300,000, deductible 1%)|frame</v>
      </c>
      <c r="J1368" s="34" t="n">
        <f aca="false" t="array" ref="J1368:J1368">MEDIAN(IF($I$4:$I$1803=I1368,$H$4:$H$1803))</f>
        <v>4490.5</v>
      </c>
      <c r="K1368" s="59" t="n">
        <f aca="false">H1368/J1368</f>
        <v>1.25509408751809</v>
      </c>
    </row>
    <row r="1369" customFormat="false" ht="15" hidden="false" customHeight="false" outlineLevel="0" collapsed="false">
      <c r="A1369" s="39" t="s">
        <v>912</v>
      </c>
      <c r="B1369" s="39" t="s">
        <v>908</v>
      </c>
      <c r="C1369" s="39" t="s">
        <v>932</v>
      </c>
      <c r="D1369" s="39" t="s">
        <v>917</v>
      </c>
      <c r="E1369" s="39"/>
      <c r="F1369" s="39" t="s">
        <v>915</v>
      </c>
      <c r="G1369" s="60"/>
      <c r="H1369" s="58" t="n">
        <v>4920</v>
      </c>
      <c r="I1369" s="39" t="str">
        <f aca="false">A1369&amp;"|"&amp;B1369&amp;"|"&amp;D1369&amp;"|"&amp;E1369&amp;F1369</f>
        <v>home|Tulsa|scenario 3 (dwelling $300,000, deductible 1%)|masonry</v>
      </c>
      <c r="J1369" s="34" t="n">
        <f aca="false" t="array" ref="J1369:J1369">MEDIAN(IF($I$4:$I$1803=I1369,$H$4:$H$1803))</f>
        <v>4538</v>
      </c>
      <c r="K1369" s="59" t="n">
        <f aca="false">H1369/J1369</f>
        <v>1.08417805200529</v>
      </c>
    </row>
    <row r="1370" customFormat="false" ht="15" hidden="false" customHeight="false" outlineLevel="0" collapsed="false">
      <c r="A1370" s="39" t="s">
        <v>912</v>
      </c>
      <c r="B1370" s="39" t="s">
        <v>908</v>
      </c>
      <c r="C1370" s="39" t="s">
        <v>932</v>
      </c>
      <c r="D1370" s="39" t="s">
        <v>918</v>
      </c>
      <c r="E1370" s="39"/>
      <c r="F1370" s="39" t="s">
        <v>133</v>
      </c>
      <c r="G1370" s="60"/>
      <c r="H1370" s="58" t="n">
        <v>6577</v>
      </c>
      <c r="I1370" s="39" t="str">
        <f aca="false">A1370&amp;"|"&amp;B1370&amp;"|"&amp;D1370&amp;"|"&amp;E1370&amp;F1370</f>
        <v>home|Tulsa|scenario 4 (dwelling $400,000, deductible 1%)|frame</v>
      </c>
      <c r="J1370" s="34" t="n">
        <f aca="false" t="array" ref="J1370:J1370">MEDIAN(IF($I$4:$I$1803=I1370,$H$4:$H$1803))</f>
        <v>5784</v>
      </c>
      <c r="K1370" s="59" t="n">
        <f aca="false">H1370/J1370</f>
        <v>1.13710235131397</v>
      </c>
    </row>
    <row r="1371" customFormat="false" ht="15" hidden="false" customHeight="false" outlineLevel="0" collapsed="false">
      <c r="A1371" s="39" t="s">
        <v>912</v>
      </c>
      <c r="B1371" s="39" t="s">
        <v>908</v>
      </c>
      <c r="C1371" s="39" t="s">
        <v>932</v>
      </c>
      <c r="D1371" s="39" t="s">
        <v>918</v>
      </c>
      <c r="E1371" s="39"/>
      <c r="F1371" s="39" t="s">
        <v>915</v>
      </c>
      <c r="G1371" s="60"/>
      <c r="H1371" s="58" t="n">
        <v>5726</v>
      </c>
      <c r="I1371" s="39" t="str">
        <f aca="false">A1371&amp;"|"&amp;B1371&amp;"|"&amp;D1371&amp;"|"&amp;E1371&amp;F1371</f>
        <v>home|Tulsa|scenario 4 (dwelling $400,000, deductible 1%)|masonry</v>
      </c>
      <c r="J1371" s="34" t="n">
        <f aca="false" t="array" ref="J1371:J1371">MEDIAN(IF($I$4:$I$1803=I1371,$H$4:$H$1803))</f>
        <v>5535.5</v>
      </c>
      <c r="K1371" s="59" t="n">
        <f aca="false">H1371/J1371</f>
        <v>1.03441423538976</v>
      </c>
    </row>
    <row r="1372" customFormat="false" ht="15" hidden="false" customHeight="false" outlineLevel="0" collapsed="false">
      <c r="A1372" s="39" t="s">
        <v>912</v>
      </c>
      <c r="B1372" s="39" t="s">
        <v>908</v>
      </c>
      <c r="C1372" s="39" t="s">
        <v>932</v>
      </c>
      <c r="D1372" s="39" t="s">
        <v>919</v>
      </c>
      <c r="E1372" s="39"/>
      <c r="F1372" s="39" t="s">
        <v>133</v>
      </c>
      <c r="G1372" s="60"/>
      <c r="H1372" s="58" t="n">
        <v>7382</v>
      </c>
      <c r="I1372" s="39" t="str">
        <f aca="false">A1372&amp;"|"&amp;B1372&amp;"|"&amp;D1372&amp;"|"&amp;E1372&amp;F1372</f>
        <v>home|Tulsa|scenario 5 (dwelling $500,000, deductible 1%)|frame</v>
      </c>
      <c r="J1372" s="34" t="n">
        <f aca="false" t="array" ref="J1372:J1372">MEDIAN(IF($I$4:$I$1803=I1372,$H$4:$H$1803))</f>
        <v>7057</v>
      </c>
      <c r="K1372" s="59" t="n">
        <f aca="false">H1372/J1372</f>
        <v>1.04605356383732</v>
      </c>
    </row>
    <row r="1373" customFormat="false" ht="15" hidden="false" customHeight="false" outlineLevel="0" collapsed="false">
      <c r="A1373" s="39" t="s">
        <v>912</v>
      </c>
      <c r="B1373" s="39" t="s">
        <v>908</v>
      </c>
      <c r="C1373" s="39" t="s">
        <v>932</v>
      </c>
      <c r="D1373" s="39" t="s">
        <v>919</v>
      </c>
      <c r="E1373" s="39"/>
      <c r="F1373" s="39" t="s">
        <v>915</v>
      </c>
      <c r="G1373" s="60"/>
      <c r="H1373" s="58" t="n">
        <v>6415</v>
      </c>
      <c r="I1373" s="39" t="str">
        <f aca="false">A1373&amp;"|"&amp;B1373&amp;"|"&amp;D1373&amp;"|"&amp;E1373&amp;F1373</f>
        <v>home|Tulsa|scenario 5 (dwelling $500,000, deductible 1%)|masonry</v>
      </c>
      <c r="J1373" s="34" t="n">
        <f aca="false" t="array" ref="J1373:J1373">MEDIAN(IF($I$4:$I$1803=I1373,$H$4:$H$1803))</f>
        <v>6356</v>
      </c>
      <c r="K1373" s="59" t="n">
        <f aca="false">H1373/J1373</f>
        <v>1.00928256765261</v>
      </c>
    </row>
    <row r="1374" customFormat="false" ht="15" hidden="false" customHeight="false" outlineLevel="0" collapsed="false">
      <c r="A1374" s="39" t="s">
        <v>912</v>
      </c>
      <c r="B1374" s="39" t="s">
        <v>908</v>
      </c>
      <c r="C1374" s="39" t="s">
        <v>933</v>
      </c>
      <c r="D1374" s="39" t="s">
        <v>914</v>
      </c>
      <c r="E1374" s="39"/>
      <c r="F1374" s="39" t="s">
        <v>133</v>
      </c>
      <c r="G1374" s="60"/>
      <c r="H1374" s="58" t="n">
        <v>2997</v>
      </c>
      <c r="I1374" s="39" t="str">
        <f aca="false">A1374&amp;"|"&amp;B1374&amp;"|"&amp;D1374&amp;"|"&amp;E1374&amp;F1374</f>
        <v>home|Tulsa|scenario 1 (dwelling $100,000, deductible 1%)|frame</v>
      </c>
      <c r="J1374" s="34" t="n">
        <f aca="false" t="array" ref="J1374:J1374">MEDIAN(IF($I$4:$I$1803=I1374,$H$4:$H$1803))</f>
        <v>2417.5</v>
      </c>
      <c r="K1374" s="59" t="n">
        <f aca="false">H1374/J1374</f>
        <v>1.23971044467425</v>
      </c>
    </row>
    <row r="1375" customFormat="false" ht="15" hidden="false" customHeight="false" outlineLevel="0" collapsed="false">
      <c r="A1375" s="39" t="s">
        <v>912</v>
      </c>
      <c r="B1375" s="39" t="s">
        <v>908</v>
      </c>
      <c r="C1375" s="39" t="s">
        <v>933</v>
      </c>
      <c r="D1375" s="39" t="s">
        <v>914</v>
      </c>
      <c r="E1375" s="39"/>
      <c r="F1375" s="39" t="s">
        <v>915</v>
      </c>
      <c r="G1375" s="60"/>
      <c r="H1375" s="58" t="n">
        <v>3062</v>
      </c>
      <c r="I1375" s="39" t="str">
        <f aca="false">A1375&amp;"|"&amp;B1375&amp;"|"&amp;D1375&amp;"|"&amp;E1375&amp;F1375</f>
        <v>home|Tulsa|scenario 1 (dwelling $100,000, deductible 1%)|masonry</v>
      </c>
      <c r="J1375" s="34" t="n">
        <f aca="false" t="array" ref="J1375:J1375">MEDIAN(IF($I$4:$I$1803=I1375,$H$4:$H$1803))</f>
        <v>2335</v>
      </c>
      <c r="K1375" s="59" t="n">
        <f aca="false">H1375/J1375</f>
        <v>1.31134903640257</v>
      </c>
    </row>
    <row r="1376" customFormat="false" ht="15" hidden="false" customHeight="false" outlineLevel="0" collapsed="false">
      <c r="A1376" s="39" t="s">
        <v>912</v>
      </c>
      <c r="B1376" s="39" t="s">
        <v>908</v>
      </c>
      <c r="C1376" s="39" t="s">
        <v>933</v>
      </c>
      <c r="D1376" s="39" t="s">
        <v>916</v>
      </c>
      <c r="E1376" s="39"/>
      <c r="F1376" s="39" t="s">
        <v>133</v>
      </c>
      <c r="G1376" s="60"/>
      <c r="H1376" s="58" t="n">
        <v>4279</v>
      </c>
      <c r="I1376" s="39" t="str">
        <f aca="false">A1376&amp;"|"&amp;B1376&amp;"|"&amp;D1376&amp;"|"&amp;E1376&amp;F1376</f>
        <v>home|Tulsa|scenario 2 (dwelling $200,000, deductible 1%)|frame</v>
      </c>
      <c r="J1376" s="34" t="n">
        <f aca="false" t="array" ref="J1376:J1376">MEDIAN(IF($I$4:$I$1803=I1376,$H$4:$H$1803))</f>
        <v>3472.5</v>
      </c>
      <c r="K1376" s="59" t="n">
        <f aca="false">H1376/J1376</f>
        <v>1.23225341972642</v>
      </c>
    </row>
    <row r="1377" customFormat="false" ht="15" hidden="false" customHeight="false" outlineLevel="0" collapsed="false">
      <c r="A1377" s="39" t="s">
        <v>912</v>
      </c>
      <c r="B1377" s="39" t="s">
        <v>908</v>
      </c>
      <c r="C1377" s="39" t="s">
        <v>933</v>
      </c>
      <c r="D1377" s="39" t="s">
        <v>916</v>
      </c>
      <c r="E1377" s="39"/>
      <c r="F1377" s="39" t="s">
        <v>915</v>
      </c>
      <c r="G1377" s="60"/>
      <c r="H1377" s="58" t="n">
        <v>4369</v>
      </c>
      <c r="I1377" s="39" t="str">
        <f aca="false">A1377&amp;"|"&amp;B1377&amp;"|"&amp;D1377&amp;"|"&amp;E1377&amp;F1377</f>
        <v>home|Tulsa|scenario 2 (dwelling $200,000, deductible 1%)|masonry</v>
      </c>
      <c r="J1377" s="34" t="n">
        <f aca="false" t="array" ref="J1377:J1377">MEDIAN(IF($I$4:$I$1803=I1377,$H$4:$H$1803))</f>
        <v>3490.5</v>
      </c>
      <c r="K1377" s="59" t="n">
        <f aca="false">H1377/J1377</f>
        <v>1.2516831399513</v>
      </c>
    </row>
    <row r="1378" customFormat="false" ht="15" hidden="false" customHeight="false" outlineLevel="0" collapsed="false">
      <c r="A1378" s="39" t="s">
        <v>912</v>
      </c>
      <c r="B1378" s="39" t="s">
        <v>908</v>
      </c>
      <c r="C1378" s="39" t="s">
        <v>933</v>
      </c>
      <c r="D1378" s="39" t="s">
        <v>917</v>
      </c>
      <c r="E1378" s="39"/>
      <c r="F1378" s="39" t="s">
        <v>133</v>
      </c>
      <c r="G1378" s="60"/>
      <c r="H1378" s="58" t="n">
        <v>5460</v>
      </c>
      <c r="I1378" s="39" t="str">
        <f aca="false">A1378&amp;"|"&amp;B1378&amp;"|"&amp;D1378&amp;"|"&amp;E1378&amp;F1378</f>
        <v>home|Tulsa|scenario 3 (dwelling $300,000, deductible 1%)|frame</v>
      </c>
      <c r="J1378" s="34" t="n">
        <f aca="false" t="array" ref="J1378:J1378">MEDIAN(IF($I$4:$I$1803=I1378,$H$4:$H$1803))</f>
        <v>4490.5</v>
      </c>
      <c r="K1378" s="59" t="n">
        <f aca="false">H1378/J1378</f>
        <v>1.21590023382697</v>
      </c>
    </row>
    <row r="1379" customFormat="false" ht="15" hidden="false" customHeight="false" outlineLevel="0" collapsed="false">
      <c r="A1379" s="39" t="s">
        <v>912</v>
      </c>
      <c r="B1379" s="39" t="s">
        <v>908</v>
      </c>
      <c r="C1379" s="39" t="s">
        <v>933</v>
      </c>
      <c r="D1379" s="39" t="s">
        <v>917</v>
      </c>
      <c r="E1379" s="39"/>
      <c r="F1379" s="39" t="s">
        <v>915</v>
      </c>
      <c r="G1379" s="60"/>
      <c r="H1379" s="58" t="n">
        <v>5572</v>
      </c>
      <c r="I1379" s="39" t="str">
        <f aca="false">A1379&amp;"|"&amp;B1379&amp;"|"&amp;D1379&amp;"|"&amp;E1379&amp;F1379</f>
        <v>home|Tulsa|scenario 3 (dwelling $300,000, deductible 1%)|masonry</v>
      </c>
      <c r="J1379" s="34" t="n">
        <f aca="false" t="array" ref="J1379:J1379">MEDIAN(IF($I$4:$I$1803=I1379,$H$4:$H$1803))</f>
        <v>4538</v>
      </c>
      <c r="K1379" s="59" t="n">
        <f aca="false">H1379/J1379</f>
        <v>1.22785368003526</v>
      </c>
    </row>
    <row r="1380" customFormat="false" ht="15" hidden="false" customHeight="false" outlineLevel="0" collapsed="false">
      <c r="A1380" s="39" t="s">
        <v>912</v>
      </c>
      <c r="B1380" s="39" t="s">
        <v>908</v>
      </c>
      <c r="C1380" s="39" t="s">
        <v>933</v>
      </c>
      <c r="D1380" s="39" t="s">
        <v>918</v>
      </c>
      <c r="E1380" s="39"/>
      <c r="F1380" s="39" t="s">
        <v>133</v>
      </c>
      <c r="G1380" s="60"/>
      <c r="H1380" s="58" t="n">
        <v>6540</v>
      </c>
      <c r="I1380" s="39" t="str">
        <f aca="false">A1380&amp;"|"&amp;B1380&amp;"|"&amp;D1380&amp;"|"&amp;E1380&amp;F1380</f>
        <v>home|Tulsa|scenario 4 (dwelling $400,000, deductible 1%)|frame</v>
      </c>
      <c r="J1380" s="34" t="n">
        <f aca="false" t="array" ref="J1380:J1380">MEDIAN(IF($I$4:$I$1803=I1380,$H$4:$H$1803))</f>
        <v>5784</v>
      </c>
      <c r="K1380" s="59" t="n">
        <f aca="false">H1380/J1380</f>
        <v>1.13070539419087</v>
      </c>
    </row>
    <row r="1381" customFormat="false" ht="15" hidden="false" customHeight="false" outlineLevel="0" collapsed="false">
      <c r="A1381" s="39" t="s">
        <v>912</v>
      </c>
      <c r="B1381" s="39" t="s">
        <v>908</v>
      </c>
      <c r="C1381" s="39" t="s">
        <v>933</v>
      </c>
      <c r="D1381" s="39" t="s">
        <v>918</v>
      </c>
      <c r="E1381" s="39"/>
      <c r="F1381" s="39" t="s">
        <v>915</v>
      </c>
      <c r="G1381" s="60"/>
      <c r="H1381" s="58" t="n">
        <v>6672</v>
      </c>
      <c r="I1381" s="39" t="str">
        <f aca="false">A1381&amp;"|"&amp;B1381&amp;"|"&amp;D1381&amp;"|"&amp;E1381&amp;F1381</f>
        <v>home|Tulsa|scenario 4 (dwelling $400,000, deductible 1%)|masonry</v>
      </c>
      <c r="J1381" s="34" t="n">
        <f aca="false" t="array" ref="J1381:J1381">MEDIAN(IF($I$4:$I$1803=I1381,$H$4:$H$1803))</f>
        <v>5535.5</v>
      </c>
      <c r="K1381" s="59" t="n">
        <f aca="false">H1381/J1381</f>
        <v>1.20531117333574</v>
      </c>
    </row>
    <row r="1382" customFormat="false" ht="15" hidden="false" customHeight="false" outlineLevel="0" collapsed="false">
      <c r="A1382" s="39" t="s">
        <v>912</v>
      </c>
      <c r="B1382" s="39" t="s">
        <v>908</v>
      </c>
      <c r="C1382" s="39" t="s">
        <v>933</v>
      </c>
      <c r="D1382" s="39" t="s">
        <v>919</v>
      </c>
      <c r="E1382" s="39"/>
      <c r="F1382" s="39" t="s">
        <v>133</v>
      </c>
      <c r="G1382" s="60"/>
      <c r="H1382" s="58" t="n">
        <v>7412</v>
      </c>
      <c r="I1382" s="39" t="str">
        <f aca="false">A1382&amp;"|"&amp;B1382&amp;"|"&amp;D1382&amp;"|"&amp;E1382&amp;F1382</f>
        <v>home|Tulsa|scenario 5 (dwelling $500,000, deductible 1%)|frame</v>
      </c>
      <c r="J1382" s="34" t="n">
        <f aca="false" t="array" ref="J1382:J1382">MEDIAN(IF($I$4:$I$1803=I1382,$H$4:$H$1803))</f>
        <v>7057</v>
      </c>
      <c r="K1382" s="59" t="n">
        <f aca="false">H1382/J1382</f>
        <v>1.05030466203769</v>
      </c>
    </row>
    <row r="1383" customFormat="false" ht="15" hidden="false" customHeight="false" outlineLevel="0" collapsed="false">
      <c r="A1383" s="39" t="s">
        <v>912</v>
      </c>
      <c r="B1383" s="39" t="s">
        <v>908</v>
      </c>
      <c r="C1383" s="39" t="s">
        <v>933</v>
      </c>
      <c r="D1383" s="39" t="s">
        <v>919</v>
      </c>
      <c r="E1383" s="39"/>
      <c r="F1383" s="39" t="s">
        <v>915</v>
      </c>
      <c r="G1383" s="60"/>
      <c r="H1383" s="58" t="n">
        <v>7563</v>
      </c>
      <c r="I1383" s="39" t="str">
        <f aca="false">A1383&amp;"|"&amp;B1383&amp;"|"&amp;D1383&amp;"|"&amp;E1383&amp;F1383</f>
        <v>home|Tulsa|scenario 5 (dwelling $500,000, deductible 1%)|masonry</v>
      </c>
      <c r="J1383" s="34" t="n">
        <f aca="false" t="array" ref="J1383:J1383">MEDIAN(IF($I$4:$I$1803=I1383,$H$4:$H$1803))</f>
        <v>6356</v>
      </c>
      <c r="K1383" s="59" t="n">
        <f aca="false">H1383/J1383</f>
        <v>1.18989930774072</v>
      </c>
    </row>
    <row r="1384" customFormat="false" ht="15" hidden="false" customHeight="false" outlineLevel="0" collapsed="false">
      <c r="A1384" s="39" t="s">
        <v>912</v>
      </c>
      <c r="B1384" s="39" t="s">
        <v>908</v>
      </c>
      <c r="C1384" s="39" t="s">
        <v>934</v>
      </c>
      <c r="D1384" s="39" t="s">
        <v>914</v>
      </c>
      <c r="E1384" s="39"/>
      <c r="F1384" s="39" t="s">
        <v>133</v>
      </c>
      <c r="G1384" s="60"/>
      <c r="H1384" s="58" t="n">
        <v>2881</v>
      </c>
      <c r="I1384" s="39" t="str">
        <f aca="false">A1384&amp;"|"&amp;B1384&amp;"|"&amp;D1384&amp;"|"&amp;E1384&amp;F1384</f>
        <v>home|Tulsa|scenario 1 (dwelling $100,000, deductible 1%)|frame</v>
      </c>
      <c r="J1384" s="34" t="n">
        <f aca="false" t="array" ref="J1384:J1384">MEDIAN(IF($I$4:$I$1803=I1384,$H$4:$H$1803))</f>
        <v>2417.5</v>
      </c>
      <c r="K1384" s="59" t="n">
        <f aca="false">H1384/J1384</f>
        <v>1.19172699069286</v>
      </c>
    </row>
    <row r="1385" customFormat="false" ht="15" hidden="false" customHeight="false" outlineLevel="0" collapsed="false">
      <c r="A1385" s="39" t="s">
        <v>912</v>
      </c>
      <c r="B1385" s="39" t="s">
        <v>908</v>
      </c>
      <c r="C1385" s="39" t="s">
        <v>934</v>
      </c>
      <c r="D1385" s="39" t="s">
        <v>914</v>
      </c>
      <c r="E1385" s="39"/>
      <c r="F1385" s="39" t="s">
        <v>915</v>
      </c>
      <c r="G1385" s="60"/>
      <c r="H1385" s="58" t="n">
        <v>2943</v>
      </c>
      <c r="I1385" s="39" t="str">
        <f aca="false">A1385&amp;"|"&amp;B1385&amp;"|"&amp;D1385&amp;"|"&amp;E1385&amp;F1385</f>
        <v>home|Tulsa|scenario 1 (dwelling $100,000, deductible 1%)|masonry</v>
      </c>
      <c r="J1385" s="34" t="n">
        <f aca="false" t="array" ref="J1385:J1385">MEDIAN(IF($I$4:$I$1803=I1385,$H$4:$H$1803))</f>
        <v>2335</v>
      </c>
      <c r="K1385" s="59" t="n">
        <f aca="false">H1385/J1385</f>
        <v>1.26038543897216</v>
      </c>
    </row>
    <row r="1386" customFormat="false" ht="15" hidden="false" customHeight="false" outlineLevel="0" collapsed="false">
      <c r="A1386" s="39" t="s">
        <v>912</v>
      </c>
      <c r="B1386" s="39" t="s">
        <v>908</v>
      </c>
      <c r="C1386" s="39" t="s">
        <v>934</v>
      </c>
      <c r="D1386" s="39" t="s">
        <v>916</v>
      </c>
      <c r="E1386" s="39"/>
      <c r="F1386" s="39" t="s">
        <v>133</v>
      </c>
      <c r="G1386" s="60"/>
      <c r="H1386" s="58" t="n">
        <v>4144</v>
      </c>
      <c r="I1386" s="39" t="str">
        <f aca="false">A1386&amp;"|"&amp;B1386&amp;"|"&amp;D1386&amp;"|"&amp;E1386&amp;F1386</f>
        <v>home|Tulsa|scenario 2 (dwelling $200,000, deductible 1%)|frame</v>
      </c>
      <c r="J1386" s="34" t="n">
        <f aca="false" t="array" ref="J1386:J1386">MEDIAN(IF($I$4:$I$1803=I1386,$H$4:$H$1803))</f>
        <v>3472.5</v>
      </c>
      <c r="K1386" s="59" t="n">
        <f aca="false">H1386/J1386</f>
        <v>1.19337652987761</v>
      </c>
    </row>
    <row r="1387" customFormat="false" ht="15" hidden="false" customHeight="false" outlineLevel="0" collapsed="false">
      <c r="A1387" s="39" t="s">
        <v>912</v>
      </c>
      <c r="B1387" s="39" t="s">
        <v>908</v>
      </c>
      <c r="C1387" s="39" t="s">
        <v>934</v>
      </c>
      <c r="D1387" s="39" t="s">
        <v>916</v>
      </c>
      <c r="E1387" s="39"/>
      <c r="F1387" s="39" t="s">
        <v>915</v>
      </c>
      <c r="G1387" s="60"/>
      <c r="H1387" s="58" t="n">
        <v>4229</v>
      </c>
      <c r="I1387" s="39" t="str">
        <f aca="false">A1387&amp;"|"&amp;B1387&amp;"|"&amp;D1387&amp;"|"&amp;E1387&amp;F1387</f>
        <v>home|Tulsa|scenario 2 (dwelling $200,000, deductible 1%)|masonry</v>
      </c>
      <c r="J1387" s="34" t="n">
        <f aca="false" t="array" ref="J1387:J1387">MEDIAN(IF($I$4:$I$1803=I1387,$H$4:$H$1803))</f>
        <v>3490.5</v>
      </c>
      <c r="K1387" s="59" t="n">
        <f aca="false">H1387/J1387</f>
        <v>1.21157427302679</v>
      </c>
    </row>
    <row r="1388" customFormat="false" ht="15" hidden="false" customHeight="false" outlineLevel="0" collapsed="false">
      <c r="A1388" s="39" t="s">
        <v>912</v>
      </c>
      <c r="B1388" s="39" t="s">
        <v>908</v>
      </c>
      <c r="C1388" s="39" t="s">
        <v>934</v>
      </c>
      <c r="D1388" s="39" t="s">
        <v>917</v>
      </c>
      <c r="E1388" s="39"/>
      <c r="F1388" s="39" t="s">
        <v>133</v>
      </c>
      <c r="G1388" s="60"/>
      <c r="H1388" s="58" t="n">
        <v>5312</v>
      </c>
      <c r="I1388" s="39" t="str">
        <f aca="false">A1388&amp;"|"&amp;B1388&amp;"|"&amp;D1388&amp;"|"&amp;E1388&amp;F1388</f>
        <v>home|Tulsa|scenario 3 (dwelling $300,000, deductible 1%)|frame</v>
      </c>
      <c r="J1388" s="34" t="n">
        <f aca="false" t="array" ref="J1388:J1388">MEDIAN(IF($I$4:$I$1803=I1388,$H$4:$H$1803))</f>
        <v>4490.5</v>
      </c>
      <c r="K1388" s="59" t="n">
        <f aca="false">H1388/J1388</f>
        <v>1.18294176595034</v>
      </c>
    </row>
    <row r="1389" customFormat="false" ht="15" hidden="false" customHeight="false" outlineLevel="0" collapsed="false">
      <c r="A1389" s="39" t="s">
        <v>912</v>
      </c>
      <c r="B1389" s="39" t="s">
        <v>908</v>
      </c>
      <c r="C1389" s="39" t="s">
        <v>934</v>
      </c>
      <c r="D1389" s="39" t="s">
        <v>917</v>
      </c>
      <c r="E1389" s="39"/>
      <c r="F1389" s="39" t="s">
        <v>915</v>
      </c>
      <c r="G1389" s="60"/>
      <c r="H1389" s="58" t="n">
        <v>5418</v>
      </c>
      <c r="I1389" s="39" t="str">
        <f aca="false">A1389&amp;"|"&amp;B1389&amp;"|"&amp;D1389&amp;"|"&amp;E1389&amp;F1389</f>
        <v>home|Tulsa|scenario 3 (dwelling $300,000, deductible 1%)|masonry</v>
      </c>
      <c r="J1389" s="34" t="n">
        <f aca="false" t="array" ref="J1389:J1389">MEDIAN(IF($I$4:$I$1803=I1389,$H$4:$H$1803))</f>
        <v>4538</v>
      </c>
      <c r="K1389" s="59" t="n">
        <f aca="false">H1389/J1389</f>
        <v>1.19391802556192</v>
      </c>
    </row>
    <row r="1390" customFormat="false" ht="15" hidden="false" customHeight="false" outlineLevel="0" collapsed="false">
      <c r="A1390" s="39" t="s">
        <v>912</v>
      </c>
      <c r="B1390" s="39" t="s">
        <v>908</v>
      </c>
      <c r="C1390" s="39" t="s">
        <v>934</v>
      </c>
      <c r="D1390" s="39" t="s">
        <v>918</v>
      </c>
      <c r="E1390" s="39"/>
      <c r="F1390" s="39" t="s">
        <v>133</v>
      </c>
      <c r="G1390" s="60"/>
      <c r="H1390" s="58" t="n">
        <v>6382</v>
      </c>
      <c r="I1390" s="39" t="str">
        <f aca="false">A1390&amp;"|"&amp;B1390&amp;"|"&amp;D1390&amp;"|"&amp;E1390&amp;F1390</f>
        <v>home|Tulsa|scenario 4 (dwelling $400,000, deductible 1%)|frame</v>
      </c>
      <c r="J1390" s="34" t="n">
        <f aca="false" t="array" ref="J1390:J1390">MEDIAN(IF($I$4:$I$1803=I1390,$H$4:$H$1803))</f>
        <v>5784</v>
      </c>
      <c r="K1390" s="59" t="n">
        <f aca="false">H1390/J1390</f>
        <v>1.10338865836791</v>
      </c>
    </row>
    <row r="1391" customFormat="false" ht="15" hidden="false" customHeight="false" outlineLevel="0" collapsed="false">
      <c r="A1391" s="39" t="s">
        <v>912</v>
      </c>
      <c r="B1391" s="39" t="s">
        <v>908</v>
      </c>
      <c r="C1391" s="39" t="s">
        <v>934</v>
      </c>
      <c r="D1391" s="39" t="s">
        <v>918</v>
      </c>
      <c r="E1391" s="39"/>
      <c r="F1391" s="39" t="s">
        <v>915</v>
      </c>
      <c r="G1391" s="60"/>
      <c r="H1391" s="58" t="n">
        <v>6509</v>
      </c>
      <c r="I1391" s="39" t="str">
        <f aca="false">A1391&amp;"|"&amp;B1391&amp;"|"&amp;D1391&amp;"|"&amp;E1391&amp;F1391</f>
        <v>home|Tulsa|scenario 4 (dwelling $400,000, deductible 1%)|masonry</v>
      </c>
      <c r="J1391" s="34" t="n">
        <f aca="false" t="array" ref="J1391:J1391">MEDIAN(IF($I$4:$I$1803=I1391,$H$4:$H$1803))</f>
        <v>5535.5</v>
      </c>
      <c r="K1391" s="59" t="n">
        <f aca="false">H1391/J1391</f>
        <v>1.1758648721886</v>
      </c>
    </row>
    <row r="1392" customFormat="false" ht="15" hidden="false" customHeight="false" outlineLevel="0" collapsed="false">
      <c r="A1392" s="39" t="s">
        <v>912</v>
      </c>
      <c r="B1392" s="39" t="s">
        <v>908</v>
      </c>
      <c r="C1392" s="39" t="s">
        <v>934</v>
      </c>
      <c r="D1392" s="39" t="s">
        <v>919</v>
      </c>
      <c r="E1392" s="39"/>
      <c r="F1392" s="39" t="s">
        <v>133</v>
      </c>
      <c r="G1392" s="60"/>
      <c r="H1392" s="58" t="n">
        <v>7252</v>
      </c>
      <c r="I1392" s="39" t="str">
        <f aca="false">A1392&amp;"|"&amp;B1392&amp;"|"&amp;D1392&amp;"|"&amp;E1392&amp;F1392</f>
        <v>home|Tulsa|scenario 5 (dwelling $500,000, deductible 1%)|frame</v>
      </c>
      <c r="J1392" s="34" t="n">
        <f aca="false" t="array" ref="J1392:J1392">MEDIAN(IF($I$4:$I$1803=I1392,$H$4:$H$1803))</f>
        <v>7057</v>
      </c>
      <c r="K1392" s="59" t="n">
        <f aca="false">H1392/J1392</f>
        <v>1.02763213830239</v>
      </c>
    </row>
    <row r="1393" customFormat="false" ht="15" hidden="false" customHeight="false" outlineLevel="0" collapsed="false">
      <c r="A1393" s="39" t="s">
        <v>912</v>
      </c>
      <c r="B1393" s="39" t="s">
        <v>908</v>
      </c>
      <c r="C1393" s="39" t="s">
        <v>934</v>
      </c>
      <c r="D1393" s="39" t="s">
        <v>919</v>
      </c>
      <c r="E1393" s="39"/>
      <c r="F1393" s="39" t="s">
        <v>915</v>
      </c>
      <c r="G1393" s="60"/>
      <c r="H1393" s="58" t="n">
        <v>7397</v>
      </c>
      <c r="I1393" s="39" t="str">
        <f aca="false">A1393&amp;"|"&amp;B1393&amp;"|"&amp;D1393&amp;"|"&amp;E1393&amp;F1393</f>
        <v>home|Tulsa|scenario 5 (dwelling $500,000, deductible 1%)|masonry</v>
      </c>
      <c r="J1393" s="34" t="n">
        <f aca="false" t="array" ref="J1393:J1393">MEDIAN(IF($I$4:$I$1803=I1393,$H$4:$H$1803))</f>
        <v>6356</v>
      </c>
      <c r="K1393" s="59" t="n">
        <f aca="false">H1393/J1393</f>
        <v>1.1637822529893</v>
      </c>
    </row>
    <row r="1394" customFormat="false" ht="15" hidden="false" customHeight="false" outlineLevel="0" collapsed="false">
      <c r="A1394" s="39" t="s">
        <v>912</v>
      </c>
      <c r="B1394" s="39" t="s">
        <v>908</v>
      </c>
      <c r="C1394" s="39" t="s">
        <v>907</v>
      </c>
      <c r="D1394" s="39" t="s">
        <v>914</v>
      </c>
      <c r="E1394" s="39"/>
      <c r="F1394" s="39" t="s">
        <v>133</v>
      </c>
      <c r="G1394" s="60"/>
      <c r="H1394" s="58" t="n">
        <v>3187</v>
      </c>
      <c r="I1394" s="39" t="str">
        <f aca="false">A1394&amp;"|"&amp;B1394&amp;"|"&amp;D1394&amp;"|"&amp;E1394&amp;F1394</f>
        <v>home|Tulsa|scenario 1 (dwelling $100,000, deductible 1%)|frame</v>
      </c>
      <c r="J1394" s="34" t="n">
        <f aca="false" t="array" ref="J1394:J1394">MEDIAN(IF($I$4:$I$1803=I1394,$H$4:$H$1803))</f>
        <v>2417.5</v>
      </c>
      <c r="K1394" s="59" t="n">
        <f aca="false">H1394/J1394</f>
        <v>1.31830403309204</v>
      </c>
    </row>
    <row r="1395" customFormat="false" ht="15" hidden="false" customHeight="false" outlineLevel="0" collapsed="false">
      <c r="A1395" s="39" t="s">
        <v>912</v>
      </c>
      <c r="B1395" s="39" t="s">
        <v>908</v>
      </c>
      <c r="C1395" s="39" t="s">
        <v>907</v>
      </c>
      <c r="D1395" s="39" t="s">
        <v>914</v>
      </c>
      <c r="E1395" s="39"/>
      <c r="F1395" s="39" t="s">
        <v>915</v>
      </c>
      <c r="G1395" s="60"/>
      <c r="H1395" s="58" t="n">
        <v>3254</v>
      </c>
      <c r="I1395" s="39" t="str">
        <f aca="false">A1395&amp;"|"&amp;B1395&amp;"|"&amp;D1395&amp;"|"&amp;E1395&amp;F1395</f>
        <v>home|Tulsa|scenario 1 (dwelling $100,000, deductible 1%)|masonry</v>
      </c>
      <c r="J1395" s="34" t="n">
        <f aca="false" t="array" ref="J1395:J1395">MEDIAN(IF($I$4:$I$1803=I1395,$H$4:$H$1803))</f>
        <v>2335</v>
      </c>
      <c r="K1395" s="59" t="n">
        <f aca="false">H1395/J1395</f>
        <v>1.39357601713062</v>
      </c>
    </row>
    <row r="1396" customFormat="false" ht="15" hidden="false" customHeight="false" outlineLevel="0" collapsed="false">
      <c r="A1396" s="39" t="s">
        <v>912</v>
      </c>
      <c r="B1396" s="39" t="s">
        <v>908</v>
      </c>
      <c r="C1396" s="39" t="s">
        <v>907</v>
      </c>
      <c r="D1396" s="39" t="s">
        <v>916</v>
      </c>
      <c r="E1396" s="39"/>
      <c r="F1396" s="39" t="s">
        <v>133</v>
      </c>
      <c r="G1396" s="60"/>
      <c r="H1396" s="58" t="n">
        <v>4615</v>
      </c>
      <c r="I1396" s="39" t="str">
        <f aca="false">A1396&amp;"|"&amp;B1396&amp;"|"&amp;D1396&amp;"|"&amp;E1396&amp;F1396</f>
        <v>home|Tulsa|scenario 2 (dwelling $200,000, deductible 1%)|frame</v>
      </c>
      <c r="J1396" s="34" t="n">
        <f aca="false" t="array" ref="J1396:J1396">MEDIAN(IF($I$4:$I$1803=I1396,$H$4:$H$1803))</f>
        <v>3472.5</v>
      </c>
      <c r="K1396" s="59" t="n">
        <f aca="false">H1396/J1396</f>
        <v>1.32901367890569</v>
      </c>
    </row>
    <row r="1397" customFormat="false" ht="15" hidden="false" customHeight="false" outlineLevel="0" collapsed="false">
      <c r="A1397" s="39" t="s">
        <v>912</v>
      </c>
      <c r="B1397" s="39" t="s">
        <v>908</v>
      </c>
      <c r="C1397" s="39" t="s">
        <v>907</v>
      </c>
      <c r="D1397" s="39" t="s">
        <v>916</v>
      </c>
      <c r="E1397" s="39"/>
      <c r="F1397" s="39" t="s">
        <v>915</v>
      </c>
      <c r="G1397" s="60"/>
      <c r="H1397" s="58" t="n">
        <v>4711</v>
      </c>
      <c r="I1397" s="39" t="str">
        <f aca="false">A1397&amp;"|"&amp;B1397&amp;"|"&amp;D1397&amp;"|"&amp;E1397&amp;F1397</f>
        <v>home|Tulsa|scenario 2 (dwelling $200,000, deductible 1%)|masonry</v>
      </c>
      <c r="J1397" s="34" t="n">
        <f aca="false" t="array" ref="J1397:J1397">MEDIAN(IF($I$4:$I$1803=I1397,$H$4:$H$1803))</f>
        <v>3490.5</v>
      </c>
      <c r="K1397" s="59" t="n">
        <f aca="false">H1397/J1397</f>
        <v>1.34966337200974</v>
      </c>
    </row>
    <row r="1398" customFormat="false" ht="15" hidden="false" customHeight="false" outlineLevel="0" collapsed="false">
      <c r="A1398" s="39" t="s">
        <v>912</v>
      </c>
      <c r="B1398" s="39" t="s">
        <v>908</v>
      </c>
      <c r="C1398" s="39" t="s">
        <v>907</v>
      </c>
      <c r="D1398" s="39" t="s">
        <v>917</v>
      </c>
      <c r="E1398" s="39"/>
      <c r="F1398" s="39" t="s">
        <v>133</v>
      </c>
      <c r="G1398" s="60"/>
      <c r="H1398" s="58" t="n">
        <v>5945</v>
      </c>
      <c r="I1398" s="39" t="str">
        <f aca="false">A1398&amp;"|"&amp;B1398&amp;"|"&amp;D1398&amp;"|"&amp;E1398&amp;F1398</f>
        <v>home|Tulsa|scenario 3 (dwelling $300,000, deductible 1%)|frame</v>
      </c>
      <c r="J1398" s="34" t="n">
        <f aca="false" t="array" ref="J1398:J1398">MEDIAN(IF($I$4:$I$1803=I1398,$H$4:$H$1803))</f>
        <v>4490.5</v>
      </c>
      <c r="K1398" s="59" t="n">
        <f aca="false">H1398/J1398</f>
        <v>1.32390602382808</v>
      </c>
    </row>
    <row r="1399" customFormat="false" ht="15" hidden="false" customHeight="false" outlineLevel="0" collapsed="false">
      <c r="A1399" s="39" t="s">
        <v>912</v>
      </c>
      <c r="B1399" s="39" t="s">
        <v>908</v>
      </c>
      <c r="C1399" s="39" t="s">
        <v>907</v>
      </c>
      <c r="D1399" s="39" t="s">
        <v>917</v>
      </c>
      <c r="E1399" s="39"/>
      <c r="F1399" s="39" t="s">
        <v>915</v>
      </c>
      <c r="G1399" s="60"/>
      <c r="H1399" s="58" t="n">
        <v>6066</v>
      </c>
      <c r="I1399" s="39" t="str">
        <f aca="false">A1399&amp;"|"&amp;B1399&amp;"|"&amp;D1399&amp;"|"&amp;E1399&amp;F1399</f>
        <v>home|Tulsa|scenario 3 (dwelling $300,000, deductible 1%)|masonry</v>
      </c>
      <c r="J1399" s="34" t="n">
        <f aca="false" t="array" ref="J1399:J1399">MEDIAN(IF($I$4:$I$1803=I1399,$H$4:$H$1803))</f>
        <v>4538</v>
      </c>
      <c r="K1399" s="59" t="n">
        <f aca="false">H1399/J1399</f>
        <v>1.33671220802115</v>
      </c>
    </row>
    <row r="1400" customFormat="false" ht="15" hidden="false" customHeight="false" outlineLevel="0" collapsed="false">
      <c r="A1400" s="39" t="s">
        <v>912</v>
      </c>
      <c r="B1400" s="39" t="s">
        <v>908</v>
      </c>
      <c r="C1400" s="39" t="s">
        <v>907</v>
      </c>
      <c r="D1400" s="39" t="s">
        <v>918</v>
      </c>
      <c r="E1400" s="39"/>
      <c r="F1400" s="39" t="s">
        <v>133</v>
      </c>
      <c r="G1400" s="60"/>
      <c r="H1400" s="58" t="n">
        <v>7165</v>
      </c>
      <c r="I1400" s="39" t="str">
        <f aca="false">A1400&amp;"|"&amp;B1400&amp;"|"&amp;D1400&amp;"|"&amp;E1400&amp;F1400</f>
        <v>home|Tulsa|scenario 4 (dwelling $400,000, deductible 1%)|frame</v>
      </c>
      <c r="J1400" s="34" t="n">
        <f aca="false" t="array" ref="J1400:J1400">MEDIAN(IF($I$4:$I$1803=I1400,$H$4:$H$1803))</f>
        <v>5784</v>
      </c>
      <c r="K1400" s="59" t="n">
        <f aca="false">H1400/J1400</f>
        <v>1.23876210235131</v>
      </c>
    </row>
    <row r="1401" customFormat="false" ht="15" hidden="false" customHeight="false" outlineLevel="0" collapsed="false">
      <c r="A1401" s="39" t="s">
        <v>912</v>
      </c>
      <c r="B1401" s="39" t="s">
        <v>908</v>
      </c>
      <c r="C1401" s="39" t="s">
        <v>907</v>
      </c>
      <c r="D1401" s="39" t="s">
        <v>918</v>
      </c>
      <c r="E1401" s="39"/>
      <c r="F1401" s="39" t="s">
        <v>915</v>
      </c>
      <c r="G1401" s="60"/>
      <c r="H1401" s="58" t="n">
        <v>7310</v>
      </c>
      <c r="I1401" s="39" t="str">
        <f aca="false">A1401&amp;"|"&amp;B1401&amp;"|"&amp;D1401&amp;"|"&amp;E1401&amp;F1401</f>
        <v>home|Tulsa|scenario 4 (dwelling $400,000, deductible 1%)|masonry</v>
      </c>
      <c r="J1401" s="34" t="n">
        <f aca="false" t="array" ref="J1401:J1401">MEDIAN(IF($I$4:$I$1803=I1401,$H$4:$H$1803))</f>
        <v>5535.5</v>
      </c>
      <c r="K1401" s="59" t="n">
        <f aca="false">H1401/J1401</f>
        <v>1.32056724776443</v>
      </c>
    </row>
    <row r="1402" customFormat="false" ht="15" hidden="false" customHeight="false" outlineLevel="0" collapsed="false">
      <c r="A1402" s="39" t="s">
        <v>912</v>
      </c>
      <c r="B1402" s="39" t="s">
        <v>908</v>
      </c>
      <c r="C1402" s="39" t="s">
        <v>907</v>
      </c>
      <c r="D1402" s="39" t="s">
        <v>919</v>
      </c>
      <c r="E1402" s="39"/>
      <c r="F1402" s="39" t="s">
        <v>133</v>
      </c>
      <c r="G1402" s="60"/>
      <c r="H1402" s="58" t="n">
        <v>8151</v>
      </c>
      <c r="I1402" s="39" t="str">
        <f aca="false">A1402&amp;"|"&amp;B1402&amp;"|"&amp;D1402&amp;"|"&amp;E1402&amp;F1402</f>
        <v>home|Tulsa|scenario 5 (dwelling $500,000, deductible 1%)|frame</v>
      </c>
      <c r="J1402" s="34" t="n">
        <f aca="false" t="array" ref="J1402:J1402">MEDIAN(IF($I$4:$I$1803=I1402,$H$4:$H$1803))</f>
        <v>7057</v>
      </c>
      <c r="K1402" s="59" t="n">
        <f aca="false">H1402/J1402</f>
        <v>1.1550233810401</v>
      </c>
    </row>
    <row r="1403" customFormat="false" ht="15" hidden="false" customHeight="false" outlineLevel="0" collapsed="false">
      <c r="A1403" s="39" t="s">
        <v>912</v>
      </c>
      <c r="B1403" s="39" t="s">
        <v>908</v>
      </c>
      <c r="C1403" s="39" t="s">
        <v>907</v>
      </c>
      <c r="D1403" s="39" t="s">
        <v>919</v>
      </c>
      <c r="E1403" s="39"/>
      <c r="F1403" s="39" t="s">
        <v>915</v>
      </c>
      <c r="G1403" s="60"/>
      <c r="H1403" s="58" t="n">
        <v>8320</v>
      </c>
      <c r="I1403" s="39" t="str">
        <f aca="false">A1403&amp;"|"&amp;B1403&amp;"|"&amp;D1403&amp;"|"&amp;E1403&amp;F1403</f>
        <v>home|Tulsa|scenario 5 (dwelling $500,000, deductible 1%)|masonry</v>
      </c>
      <c r="J1403" s="34" t="n">
        <f aca="false" t="array" ref="J1403:J1403">MEDIAN(IF($I$4:$I$1803=I1403,$H$4:$H$1803))</f>
        <v>6356</v>
      </c>
      <c r="K1403" s="59" t="n">
        <f aca="false">H1403/J1403</f>
        <v>1.30899937067338</v>
      </c>
    </row>
    <row r="1404" customFormat="false" ht="15" hidden="false" customHeight="false" outlineLevel="0" collapsed="false">
      <c r="A1404" s="39" t="s">
        <v>912</v>
      </c>
      <c r="B1404" s="39" t="s">
        <v>909</v>
      </c>
      <c r="C1404" s="39" t="s">
        <v>913</v>
      </c>
      <c r="D1404" s="39" t="s">
        <v>914</v>
      </c>
      <c r="E1404" s="39"/>
      <c r="F1404" s="39" t="s">
        <v>133</v>
      </c>
      <c r="G1404" s="60"/>
      <c r="H1404" s="58" t="n">
        <v>1911</v>
      </c>
      <c r="I1404" s="39" t="str">
        <f aca="false">A1404&amp;"|"&amp;B1404&amp;"|"&amp;D1404&amp;"|"&amp;E1404&amp;F1404</f>
        <v>home|Lawton|scenario 1 (dwelling $100,000, deductible 1%)|frame</v>
      </c>
      <c r="J1404" s="34" t="n">
        <f aca="false" t="array" ref="J1404:J1404">MEDIAN(IF($I$4:$I$1803=I1404,$H$4:$H$1803))</f>
        <v>2837.5</v>
      </c>
      <c r="K1404" s="59" t="n">
        <f aca="false">H1404/J1404</f>
        <v>0.673480176211454</v>
      </c>
    </row>
    <row r="1405" customFormat="false" ht="15" hidden="false" customHeight="false" outlineLevel="0" collapsed="false">
      <c r="A1405" s="39" t="s">
        <v>912</v>
      </c>
      <c r="B1405" s="39" t="s">
        <v>909</v>
      </c>
      <c r="C1405" s="39" t="s">
        <v>913</v>
      </c>
      <c r="D1405" s="39" t="s">
        <v>914</v>
      </c>
      <c r="E1405" s="39"/>
      <c r="F1405" s="39" t="s">
        <v>915</v>
      </c>
      <c r="G1405" s="60"/>
      <c r="H1405" s="58" t="n">
        <v>1788</v>
      </c>
      <c r="I1405" s="39" t="str">
        <f aca="false">A1405&amp;"|"&amp;B1405&amp;"|"&amp;D1405&amp;"|"&amp;E1405&amp;F1405</f>
        <v>home|Lawton|scenario 1 (dwelling $100,000, deductible 1%)|masonry</v>
      </c>
      <c r="J1405" s="34" t="n">
        <f aca="false" t="array" ref="J1405:J1405">MEDIAN(IF($I$4:$I$1803=I1405,$H$4:$H$1803))</f>
        <v>2724.5</v>
      </c>
      <c r="K1405" s="59" t="n">
        <f aca="false">H1405/J1405</f>
        <v>0.656267204991742</v>
      </c>
    </row>
    <row r="1406" customFormat="false" ht="15" hidden="false" customHeight="false" outlineLevel="0" collapsed="false">
      <c r="A1406" s="39" t="s">
        <v>912</v>
      </c>
      <c r="B1406" s="39" t="s">
        <v>909</v>
      </c>
      <c r="C1406" s="39" t="s">
        <v>913</v>
      </c>
      <c r="D1406" s="39" t="s">
        <v>916</v>
      </c>
      <c r="E1406" s="39"/>
      <c r="F1406" s="39" t="s">
        <v>133</v>
      </c>
      <c r="G1406" s="60"/>
      <c r="H1406" s="58" t="n">
        <v>3709</v>
      </c>
      <c r="I1406" s="39" t="str">
        <f aca="false">A1406&amp;"|"&amp;B1406&amp;"|"&amp;D1406&amp;"|"&amp;E1406&amp;F1406</f>
        <v>home|Lawton|scenario 2 (dwelling $200,000, deductible 1%)|frame</v>
      </c>
      <c r="J1406" s="34" t="n">
        <f aca="false" t="array" ref="J1406:J1406">MEDIAN(IF($I$4:$I$1803=I1406,$H$4:$H$1803))</f>
        <v>4045</v>
      </c>
      <c r="K1406" s="59" t="n">
        <f aca="false">H1406/J1406</f>
        <v>0.916934487021014</v>
      </c>
    </row>
    <row r="1407" customFormat="false" ht="15" hidden="false" customHeight="false" outlineLevel="0" collapsed="false">
      <c r="A1407" s="39" t="s">
        <v>912</v>
      </c>
      <c r="B1407" s="39" t="s">
        <v>909</v>
      </c>
      <c r="C1407" s="39" t="s">
        <v>913</v>
      </c>
      <c r="D1407" s="39" t="s">
        <v>916</v>
      </c>
      <c r="E1407" s="39"/>
      <c r="F1407" s="39" t="s">
        <v>915</v>
      </c>
      <c r="G1407" s="60"/>
      <c r="H1407" s="58" t="n">
        <v>3440</v>
      </c>
      <c r="I1407" s="39" t="str">
        <f aca="false">A1407&amp;"|"&amp;B1407&amp;"|"&amp;D1407&amp;"|"&amp;E1407&amp;F1407</f>
        <v>home|Lawton|scenario 2 (dwelling $200,000, deductible 1%)|masonry</v>
      </c>
      <c r="J1407" s="34" t="n">
        <f aca="false" t="array" ref="J1407:J1407">MEDIAN(IF($I$4:$I$1803=I1407,$H$4:$H$1803))</f>
        <v>4085.5</v>
      </c>
      <c r="K1407" s="59" t="n">
        <f aca="false">H1407/J1407</f>
        <v>0.84200220291274</v>
      </c>
    </row>
    <row r="1408" customFormat="false" ht="15" hidden="false" customHeight="false" outlineLevel="0" collapsed="false">
      <c r="A1408" s="39" t="s">
        <v>912</v>
      </c>
      <c r="B1408" s="39" t="s">
        <v>909</v>
      </c>
      <c r="C1408" s="39" t="s">
        <v>913</v>
      </c>
      <c r="D1408" s="39" t="s">
        <v>917</v>
      </c>
      <c r="E1408" s="39"/>
      <c r="F1408" s="39" t="s">
        <v>133</v>
      </c>
      <c r="G1408" s="60"/>
      <c r="H1408" s="58" t="n">
        <v>5740</v>
      </c>
      <c r="I1408" s="39" t="str">
        <f aca="false">A1408&amp;"|"&amp;B1408&amp;"|"&amp;D1408&amp;"|"&amp;E1408&amp;F1408</f>
        <v>home|Lawton|scenario 3 (dwelling $300,000, deductible 1%)|frame</v>
      </c>
      <c r="J1408" s="34" t="n">
        <f aca="false" t="array" ref="J1408:J1408">MEDIAN(IF($I$4:$I$1803=I1408,$H$4:$H$1803))</f>
        <v>5628.5</v>
      </c>
      <c r="K1408" s="59" t="n">
        <f aca="false">H1408/J1408</f>
        <v>1.01980989606467</v>
      </c>
    </row>
    <row r="1409" customFormat="false" ht="15" hidden="false" customHeight="false" outlineLevel="0" collapsed="false">
      <c r="A1409" s="39" t="s">
        <v>912</v>
      </c>
      <c r="B1409" s="39" t="s">
        <v>909</v>
      </c>
      <c r="C1409" s="39" t="s">
        <v>913</v>
      </c>
      <c r="D1409" s="39" t="s">
        <v>917</v>
      </c>
      <c r="E1409" s="39"/>
      <c r="F1409" s="39" t="s">
        <v>915</v>
      </c>
      <c r="G1409" s="60"/>
      <c r="H1409" s="58" t="n">
        <v>5359</v>
      </c>
      <c r="I1409" s="39" t="str">
        <f aca="false">A1409&amp;"|"&amp;B1409&amp;"|"&amp;D1409&amp;"|"&amp;E1409&amp;F1409</f>
        <v>home|Lawton|scenario 3 (dwelling $300,000, deductible 1%)|masonry</v>
      </c>
      <c r="J1409" s="34" t="n">
        <f aca="false" t="array" ref="J1409:J1409">MEDIAN(IF($I$4:$I$1803=I1409,$H$4:$H$1803))</f>
        <v>5640.5</v>
      </c>
      <c r="K1409" s="59" t="n">
        <f aca="false">H1409/J1409</f>
        <v>0.950093076854889</v>
      </c>
    </row>
    <row r="1410" customFormat="false" ht="15" hidden="false" customHeight="false" outlineLevel="0" collapsed="false">
      <c r="A1410" s="39" t="s">
        <v>912</v>
      </c>
      <c r="B1410" s="39" t="s">
        <v>909</v>
      </c>
      <c r="C1410" s="39" t="s">
        <v>913</v>
      </c>
      <c r="D1410" s="39" t="s">
        <v>918</v>
      </c>
      <c r="E1410" s="39"/>
      <c r="F1410" s="39" t="s">
        <v>133</v>
      </c>
      <c r="G1410" s="60"/>
      <c r="H1410" s="58" t="n">
        <v>7773</v>
      </c>
      <c r="I1410" s="39" t="str">
        <f aca="false">A1410&amp;"|"&amp;B1410&amp;"|"&amp;D1410&amp;"|"&amp;E1410&amp;F1410</f>
        <v>home|Lawton|scenario 4 (dwelling $400,000, deductible 1%)|frame</v>
      </c>
      <c r="J1410" s="34" t="n">
        <f aca="false" t="array" ref="J1410:J1410">MEDIAN(IF($I$4:$I$1803=I1410,$H$4:$H$1803))</f>
        <v>6843</v>
      </c>
      <c r="K1410" s="59" t="n">
        <f aca="false">H1410/J1410</f>
        <v>1.13590530469093</v>
      </c>
    </row>
    <row r="1411" customFormat="false" ht="15" hidden="false" customHeight="false" outlineLevel="0" collapsed="false">
      <c r="A1411" s="39" t="s">
        <v>912</v>
      </c>
      <c r="B1411" s="39" t="s">
        <v>909</v>
      </c>
      <c r="C1411" s="39" t="s">
        <v>913</v>
      </c>
      <c r="D1411" s="39" t="s">
        <v>918</v>
      </c>
      <c r="E1411" s="39"/>
      <c r="F1411" s="39" t="s">
        <v>915</v>
      </c>
      <c r="G1411" s="60"/>
      <c r="H1411" s="58" t="n">
        <v>7279</v>
      </c>
      <c r="I1411" s="39" t="str">
        <f aca="false">A1411&amp;"|"&amp;B1411&amp;"|"&amp;D1411&amp;"|"&amp;E1411&amp;F1411</f>
        <v>home|Lawton|scenario 4 (dwelling $400,000, deductible 1%)|masonry</v>
      </c>
      <c r="J1411" s="34" t="n">
        <f aca="false" t="array" ref="J1411:J1411">MEDIAN(IF($I$4:$I$1803=I1411,$H$4:$H$1803))</f>
        <v>7053.5</v>
      </c>
      <c r="K1411" s="59" t="n">
        <f aca="false">H1411/J1411</f>
        <v>1.03196994399943</v>
      </c>
    </row>
    <row r="1412" customFormat="false" ht="15" hidden="false" customHeight="false" outlineLevel="0" collapsed="false">
      <c r="A1412" s="39" t="s">
        <v>912</v>
      </c>
      <c r="B1412" s="39" t="s">
        <v>909</v>
      </c>
      <c r="C1412" s="39" t="s">
        <v>913</v>
      </c>
      <c r="D1412" s="39" t="s">
        <v>919</v>
      </c>
      <c r="E1412" s="39"/>
      <c r="F1412" s="39" t="s">
        <v>133</v>
      </c>
      <c r="G1412" s="60"/>
      <c r="H1412" s="58" t="n">
        <v>9805</v>
      </c>
      <c r="I1412" s="39" t="str">
        <f aca="false">A1412&amp;"|"&amp;B1412&amp;"|"&amp;D1412&amp;"|"&amp;E1412&amp;F1412</f>
        <v>home|Lawton|scenario 5 (dwelling $500,000, deductible 1%)|frame</v>
      </c>
      <c r="J1412" s="34" t="n">
        <f aca="false" t="array" ref="J1412:J1412">MEDIAN(IF($I$4:$I$1803=I1412,$H$4:$H$1803))</f>
        <v>8289.5</v>
      </c>
      <c r="K1412" s="59" t="n">
        <f aca="false">H1412/J1412</f>
        <v>1.18282164183606</v>
      </c>
    </row>
    <row r="1413" customFormat="false" ht="15" hidden="false" customHeight="false" outlineLevel="0" collapsed="false">
      <c r="A1413" s="39" t="s">
        <v>912</v>
      </c>
      <c r="B1413" s="39" t="s">
        <v>909</v>
      </c>
      <c r="C1413" s="39" t="s">
        <v>913</v>
      </c>
      <c r="D1413" s="39" t="s">
        <v>919</v>
      </c>
      <c r="E1413" s="39"/>
      <c r="F1413" s="39" t="s">
        <v>915</v>
      </c>
      <c r="G1413" s="60"/>
      <c r="H1413" s="58" t="n">
        <v>9199</v>
      </c>
      <c r="I1413" s="39" t="str">
        <f aca="false">A1413&amp;"|"&amp;B1413&amp;"|"&amp;D1413&amp;"|"&amp;E1413&amp;F1413</f>
        <v>home|Lawton|scenario 5 (dwelling $500,000, deductible 1%)|masonry</v>
      </c>
      <c r="J1413" s="34" t="n">
        <f aca="false" t="array" ref="J1413:J1413">MEDIAN(IF($I$4:$I$1803=I1413,$H$4:$H$1803))</f>
        <v>7988.5</v>
      </c>
      <c r="K1413" s="59" t="n">
        <f aca="false">H1413/J1413</f>
        <v>1.15153032484196</v>
      </c>
    </row>
    <row r="1414" customFormat="false" ht="15" hidden="false" customHeight="false" outlineLevel="0" collapsed="false">
      <c r="A1414" s="39" t="s">
        <v>912</v>
      </c>
      <c r="B1414" s="39" t="s">
        <v>909</v>
      </c>
      <c r="C1414" s="39" t="s">
        <v>920</v>
      </c>
      <c r="D1414" s="39" t="s">
        <v>914</v>
      </c>
      <c r="E1414" s="39"/>
      <c r="F1414" s="39" t="s">
        <v>133</v>
      </c>
      <c r="G1414" s="60"/>
      <c r="H1414" s="58" t="n">
        <v>1162</v>
      </c>
      <c r="I1414" s="39" t="str">
        <f aca="false">A1414&amp;"|"&amp;B1414&amp;"|"&amp;D1414&amp;"|"&amp;E1414&amp;F1414</f>
        <v>home|Lawton|scenario 1 (dwelling $100,000, deductible 1%)|frame</v>
      </c>
      <c r="J1414" s="34" t="n">
        <f aca="false" t="array" ref="J1414:J1414">MEDIAN(IF($I$4:$I$1803=I1414,$H$4:$H$1803))</f>
        <v>2837.5</v>
      </c>
      <c r="K1414" s="59" t="n">
        <f aca="false">H1414/J1414</f>
        <v>0.409515418502203</v>
      </c>
    </row>
    <row r="1415" customFormat="false" ht="15" hidden="false" customHeight="false" outlineLevel="0" collapsed="false">
      <c r="A1415" s="39" t="s">
        <v>912</v>
      </c>
      <c r="B1415" s="39" t="s">
        <v>909</v>
      </c>
      <c r="C1415" s="39" t="s">
        <v>920</v>
      </c>
      <c r="D1415" s="39" t="s">
        <v>914</v>
      </c>
      <c r="E1415" s="39"/>
      <c r="F1415" s="39" t="s">
        <v>915</v>
      </c>
      <c r="G1415" s="60"/>
      <c r="H1415" s="58" t="n">
        <v>1151</v>
      </c>
      <c r="I1415" s="39" t="str">
        <f aca="false">A1415&amp;"|"&amp;B1415&amp;"|"&amp;D1415&amp;"|"&amp;E1415&amp;F1415</f>
        <v>home|Lawton|scenario 1 (dwelling $100,000, deductible 1%)|masonry</v>
      </c>
      <c r="J1415" s="34" t="n">
        <f aca="false" t="array" ref="J1415:J1415">MEDIAN(IF($I$4:$I$1803=I1415,$H$4:$H$1803))</f>
        <v>2724.5</v>
      </c>
      <c r="K1415" s="59" t="n">
        <f aca="false">H1415/J1415</f>
        <v>0.422462837217838</v>
      </c>
    </row>
    <row r="1416" customFormat="false" ht="15" hidden="false" customHeight="false" outlineLevel="0" collapsed="false">
      <c r="A1416" s="39" t="s">
        <v>912</v>
      </c>
      <c r="B1416" s="39" t="s">
        <v>909</v>
      </c>
      <c r="C1416" s="39" t="s">
        <v>920</v>
      </c>
      <c r="D1416" s="39" t="s">
        <v>916</v>
      </c>
      <c r="E1416" s="39"/>
      <c r="F1416" s="39" t="s">
        <v>133</v>
      </c>
      <c r="G1416" s="60"/>
      <c r="H1416" s="58" t="n">
        <v>1381</v>
      </c>
      <c r="I1416" s="39" t="str">
        <f aca="false">A1416&amp;"|"&amp;B1416&amp;"|"&amp;D1416&amp;"|"&amp;E1416&amp;F1416</f>
        <v>home|Lawton|scenario 2 (dwelling $200,000, deductible 1%)|frame</v>
      </c>
      <c r="J1416" s="34" t="n">
        <f aca="false" t="array" ref="J1416:J1416">MEDIAN(IF($I$4:$I$1803=I1416,$H$4:$H$1803))</f>
        <v>4045</v>
      </c>
      <c r="K1416" s="59" t="n">
        <f aca="false">H1416/J1416</f>
        <v>0.341409147095179</v>
      </c>
    </row>
    <row r="1417" customFormat="false" ht="15" hidden="false" customHeight="false" outlineLevel="0" collapsed="false">
      <c r="A1417" s="39" t="s">
        <v>912</v>
      </c>
      <c r="B1417" s="39" t="s">
        <v>909</v>
      </c>
      <c r="C1417" s="39" t="s">
        <v>920</v>
      </c>
      <c r="D1417" s="39" t="s">
        <v>916</v>
      </c>
      <c r="E1417" s="39"/>
      <c r="F1417" s="39" t="s">
        <v>915</v>
      </c>
      <c r="G1417" s="60"/>
      <c r="H1417" s="58" t="n">
        <v>1381</v>
      </c>
      <c r="I1417" s="39" t="str">
        <f aca="false">A1417&amp;"|"&amp;B1417&amp;"|"&amp;D1417&amp;"|"&amp;E1417&amp;F1417</f>
        <v>home|Lawton|scenario 2 (dwelling $200,000, deductible 1%)|masonry</v>
      </c>
      <c r="J1417" s="34" t="n">
        <f aca="false" t="array" ref="J1417:J1417">MEDIAN(IF($I$4:$I$1803=I1417,$H$4:$H$1803))</f>
        <v>4085.5</v>
      </c>
      <c r="K1417" s="59" t="n">
        <f aca="false">H1417/J1417</f>
        <v>0.338024721576307</v>
      </c>
    </row>
    <row r="1418" customFormat="false" ht="15" hidden="false" customHeight="false" outlineLevel="0" collapsed="false">
      <c r="A1418" s="39" t="s">
        <v>912</v>
      </c>
      <c r="B1418" s="39" t="s">
        <v>909</v>
      </c>
      <c r="C1418" s="39" t="s">
        <v>920</v>
      </c>
      <c r="D1418" s="39" t="s">
        <v>917</v>
      </c>
      <c r="E1418" s="39"/>
      <c r="F1418" s="39" t="s">
        <v>133</v>
      </c>
      <c r="G1418" s="60"/>
      <c r="H1418" s="58" t="n">
        <v>1564</v>
      </c>
      <c r="I1418" s="39" t="str">
        <f aca="false">A1418&amp;"|"&amp;B1418&amp;"|"&amp;D1418&amp;"|"&amp;E1418&amp;F1418</f>
        <v>home|Lawton|scenario 3 (dwelling $300,000, deductible 1%)|frame</v>
      </c>
      <c r="J1418" s="34" t="n">
        <f aca="false" t="array" ref="J1418:J1418">MEDIAN(IF($I$4:$I$1803=I1418,$H$4:$H$1803))</f>
        <v>5628.5</v>
      </c>
      <c r="K1418" s="59" t="n">
        <f aca="false">H1418/J1418</f>
        <v>0.277871546593231</v>
      </c>
    </row>
    <row r="1419" customFormat="false" ht="15" hidden="false" customHeight="false" outlineLevel="0" collapsed="false">
      <c r="A1419" s="39" t="s">
        <v>912</v>
      </c>
      <c r="B1419" s="39" t="s">
        <v>909</v>
      </c>
      <c r="C1419" s="39" t="s">
        <v>920</v>
      </c>
      <c r="D1419" s="39" t="s">
        <v>917</v>
      </c>
      <c r="E1419" s="39"/>
      <c r="F1419" s="39" t="s">
        <v>915</v>
      </c>
      <c r="G1419" s="60"/>
      <c r="H1419" s="58" t="n">
        <v>1543</v>
      </c>
      <c r="I1419" s="39" t="str">
        <f aca="false">A1419&amp;"|"&amp;B1419&amp;"|"&amp;D1419&amp;"|"&amp;E1419&amp;F1419</f>
        <v>home|Lawton|scenario 3 (dwelling $300,000, deductible 1%)|masonry</v>
      </c>
      <c r="J1419" s="34" t="n">
        <f aca="false" t="array" ref="J1419:J1419">MEDIAN(IF($I$4:$I$1803=I1419,$H$4:$H$1803))</f>
        <v>5640.5</v>
      </c>
      <c r="K1419" s="59" t="n">
        <f aca="false">H1419/J1419</f>
        <v>0.273557308749224</v>
      </c>
    </row>
    <row r="1420" customFormat="false" ht="15" hidden="false" customHeight="false" outlineLevel="0" collapsed="false">
      <c r="A1420" s="39" t="s">
        <v>912</v>
      </c>
      <c r="B1420" s="39" t="s">
        <v>909</v>
      </c>
      <c r="C1420" s="39" t="s">
        <v>920</v>
      </c>
      <c r="D1420" s="39" t="s">
        <v>918</v>
      </c>
      <c r="E1420" s="39"/>
      <c r="F1420" s="39" t="s">
        <v>133</v>
      </c>
      <c r="G1420" s="60"/>
      <c r="H1420" s="58" t="n">
        <v>1717</v>
      </c>
      <c r="I1420" s="39" t="str">
        <f aca="false">A1420&amp;"|"&amp;B1420&amp;"|"&amp;D1420&amp;"|"&amp;E1420&amp;F1420</f>
        <v>home|Lawton|scenario 4 (dwelling $400,000, deductible 1%)|frame</v>
      </c>
      <c r="J1420" s="34" t="n">
        <f aca="false" t="array" ref="J1420:J1420">MEDIAN(IF($I$4:$I$1803=I1420,$H$4:$H$1803))</f>
        <v>6843</v>
      </c>
      <c r="K1420" s="59" t="n">
        <f aca="false">H1420/J1420</f>
        <v>0.250913342101418</v>
      </c>
    </row>
    <row r="1421" customFormat="false" ht="15" hidden="false" customHeight="false" outlineLevel="0" collapsed="false">
      <c r="A1421" s="39" t="s">
        <v>912</v>
      </c>
      <c r="B1421" s="39" t="s">
        <v>909</v>
      </c>
      <c r="C1421" s="39" t="s">
        <v>920</v>
      </c>
      <c r="D1421" s="39" t="s">
        <v>918</v>
      </c>
      <c r="E1421" s="39"/>
      <c r="F1421" s="39" t="s">
        <v>915</v>
      </c>
      <c r="G1421" s="60"/>
      <c r="H1421" s="58" t="n">
        <v>1693</v>
      </c>
      <c r="I1421" s="39" t="str">
        <f aca="false">A1421&amp;"|"&amp;B1421&amp;"|"&amp;D1421&amp;"|"&amp;E1421&amp;F1421</f>
        <v>home|Lawton|scenario 4 (dwelling $400,000, deductible 1%)|masonry</v>
      </c>
      <c r="J1421" s="34" t="n">
        <f aca="false" t="array" ref="J1421:J1421">MEDIAN(IF($I$4:$I$1803=I1421,$H$4:$H$1803))</f>
        <v>7053.5</v>
      </c>
      <c r="K1421" s="59" t="n">
        <f aca="false">H1421/J1421</f>
        <v>0.240022683774013</v>
      </c>
    </row>
    <row r="1422" customFormat="false" ht="15" hidden="false" customHeight="false" outlineLevel="0" collapsed="false">
      <c r="A1422" s="39" t="s">
        <v>912</v>
      </c>
      <c r="B1422" s="39" t="s">
        <v>909</v>
      </c>
      <c r="C1422" s="39" t="s">
        <v>920</v>
      </c>
      <c r="D1422" s="39" t="s">
        <v>919</v>
      </c>
      <c r="E1422" s="39"/>
      <c r="F1422" s="39" t="s">
        <v>133</v>
      </c>
      <c r="G1422" s="60"/>
      <c r="H1422" s="58" t="n">
        <v>1907</v>
      </c>
      <c r="I1422" s="39" t="str">
        <f aca="false">A1422&amp;"|"&amp;B1422&amp;"|"&amp;D1422&amp;"|"&amp;E1422&amp;F1422</f>
        <v>home|Lawton|scenario 5 (dwelling $500,000, deductible 1%)|frame</v>
      </c>
      <c r="J1422" s="34" t="n">
        <f aca="false" t="array" ref="J1422:J1422">MEDIAN(IF($I$4:$I$1803=I1422,$H$4:$H$1803))</f>
        <v>8289.5</v>
      </c>
      <c r="K1422" s="59" t="n">
        <f aca="false">H1422/J1422</f>
        <v>0.230050063333132</v>
      </c>
    </row>
    <row r="1423" customFormat="false" ht="15" hidden="false" customHeight="false" outlineLevel="0" collapsed="false">
      <c r="A1423" s="39" t="s">
        <v>912</v>
      </c>
      <c r="B1423" s="39" t="s">
        <v>909</v>
      </c>
      <c r="C1423" s="39" t="s">
        <v>920</v>
      </c>
      <c r="D1423" s="39" t="s">
        <v>919</v>
      </c>
      <c r="E1423" s="39"/>
      <c r="F1423" s="39" t="s">
        <v>915</v>
      </c>
      <c r="G1423" s="60"/>
      <c r="H1423" s="58" t="n">
        <v>1881</v>
      </c>
      <c r="I1423" s="39" t="str">
        <f aca="false">A1423&amp;"|"&amp;B1423&amp;"|"&amp;D1423&amp;"|"&amp;E1423&amp;F1423</f>
        <v>home|Lawton|scenario 5 (dwelling $500,000, deductible 1%)|masonry</v>
      </c>
      <c r="J1423" s="34" t="n">
        <f aca="false" t="array" ref="J1423:J1423">MEDIAN(IF($I$4:$I$1803=I1423,$H$4:$H$1803))</f>
        <v>7988.5</v>
      </c>
      <c r="K1423" s="59" t="n">
        <f aca="false">H1423/J1423</f>
        <v>0.235463478750704</v>
      </c>
    </row>
    <row r="1424" customFormat="false" ht="15" hidden="false" customHeight="false" outlineLevel="0" collapsed="false">
      <c r="A1424" s="39" t="s">
        <v>912</v>
      </c>
      <c r="B1424" s="39" t="s">
        <v>909</v>
      </c>
      <c r="C1424" s="39" t="s">
        <v>921</v>
      </c>
      <c r="D1424" s="39" t="s">
        <v>914</v>
      </c>
      <c r="E1424" s="39"/>
      <c r="F1424" s="39" t="s">
        <v>133</v>
      </c>
      <c r="G1424" s="60"/>
      <c r="H1424" s="58" t="n">
        <v>4466</v>
      </c>
      <c r="I1424" s="39" t="str">
        <f aca="false">A1424&amp;"|"&amp;B1424&amp;"|"&amp;D1424&amp;"|"&amp;E1424&amp;F1424</f>
        <v>home|Lawton|scenario 1 (dwelling $100,000, deductible 1%)|frame</v>
      </c>
      <c r="J1424" s="34" t="n">
        <f aca="false" t="array" ref="J1424:J1424">MEDIAN(IF($I$4:$I$1803=I1424,$H$4:$H$1803))</f>
        <v>2837.5</v>
      </c>
      <c r="K1424" s="59" t="n">
        <f aca="false">H1424/J1424</f>
        <v>1.57392070484582</v>
      </c>
    </row>
    <row r="1425" customFormat="false" ht="15" hidden="false" customHeight="false" outlineLevel="0" collapsed="false">
      <c r="A1425" s="39" t="s">
        <v>912</v>
      </c>
      <c r="B1425" s="39" t="s">
        <v>909</v>
      </c>
      <c r="C1425" s="39" t="s">
        <v>921</v>
      </c>
      <c r="D1425" s="39" t="s">
        <v>914</v>
      </c>
      <c r="E1425" s="39"/>
      <c r="F1425" s="39" t="s">
        <v>915</v>
      </c>
      <c r="G1425" s="60"/>
      <c r="H1425" s="58" t="n">
        <v>4377</v>
      </c>
      <c r="I1425" s="39" t="str">
        <f aca="false">A1425&amp;"|"&amp;B1425&amp;"|"&amp;D1425&amp;"|"&amp;E1425&amp;F1425</f>
        <v>home|Lawton|scenario 1 (dwelling $100,000, deductible 1%)|masonry</v>
      </c>
      <c r="J1425" s="34" t="n">
        <f aca="false" t="array" ref="J1425:J1425">MEDIAN(IF($I$4:$I$1803=I1425,$H$4:$H$1803))</f>
        <v>2724.5</v>
      </c>
      <c r="K1425" s="59" t="n">
        <f aca="false">H1425/J1425</f>
        <v>1.60653330886401</v>
      </c>
    </row>
    <row r="1426" customFormat="false" ht="15" hidden="false" customHeight="false" outlineLevel="0" collapsed="false">
      <c r="A1426" s="39" t="s">
        <v>912</v>
      </c>
      <c r="B1426" s="39" t="s">
        <v>909</v>
      </c>
      <c r="C1426" s="39" t="s">
        <v>921</v>
      </c>
      <c r="D1426" s="39" t="s">
        <v>916</v>
      </c>
      <c r="E1426" s="39"/>
      <c r="F1426" s="39" t="s">
        <v>133</v>
      </c>
      <c r="G1426" s="60"/>
      <c r="H1426" s="58" t="n">
        <v>6384</v>
      </c>
      <c r="I1426" s="39" t="str">
        <f aca="false">A1426&amp;"|"&amp;B1426&amp;"|"&amp;D1426&amp;"|"&amp;E1426&amp;F1426</f>
        <v>home|Lawton|scenario 2 (dwelling $200,000, deductible 1%)|frame</v>
      </c>
      <c r="J1426" s="34" t="n">
        <f aca="false" t="array" ref="J1426:J1426">MEDIAN(IF($I$4:$I$1803=I1426,$H$4:$H$1803))</f>
        <v>4045</v>
      </c>
      <c r="K1426" s="59" t="n">
        <f aca="false">H1426/J1426</f>
        <v>1.57824474660074</v>
      </c>
    </row>
    <row r="1427" customFormat="false" ht="15" hidden="false" customHeight="false" outlineLevel="0" collapsed="false">
      <c r="A1427" s="39" t="s">
        <v>912</v>
      </c>
      <c r="B1427" s="39" t="s">
        <v>909</v>
      </c>
      <c r="C1427" s="39" t="s">
        <v>921</v>
      </c>
      <c r="D1427" s="39" t="s">
        <v>916</v>
      </c>
      <c r="E1427" s="39"/>
      <c r="F1427" s="39" t="s">
        <v>915</v>
      </c>
      <c r="G1427" s="60"/>
      <c r="H1427" s="58" t="n">
        <v>6258</v>
      </c>
      <c r="I1427" s="39" t="str">
        <f aca="false">A1427&amp;"|"&amp;B1427&amp;"|"&amp;D1427&amp;"|"&amp;E1427&amp;F1427</f>
        <v>home|Lawton|scenario 2 (dwelling $200,000, deductible 1%)|masonry</v>
      </c>
      <c r="J1427" s="34" t="n">
        <f aca="false" t="array" ref="J1427:J1427">MEDIAN(IF($I$4:$I$1803=I1427,$H$4:$H$1803))</f>
        <v>4085.5</v>
      </c>
      <c r="K1427" s="59" t="n">
        <f aca="false">H1427/J1427</f>
        <v>1.53175865867091</v>
      </c>
    </row>
    <row r="1428" customFormat="false" ht="15" hidden="false" customHeight="false" outlineLevel="0" collapsed="false">
      <c r="A1428" s="39" t="s">
        <v>912</v>
      </c>
      <c r="B1428" s="39" t="s">
        <v>909</v>
      </c>
      <c r="C1428" s="39" t="s">
        <v>921</v>
      </c>
      <c r="D1428" s="39" t="s">
        <v>917</v>
      </c>
      <c r="E1428" s="39"/>
      <c r="F1428" s="39" t="s">
        <v>133</v>
      </c>
      <c r="G1428" s="60"/>
      <c r="H1428" s="58" t="n">
        <v>7503</v>
      </c>
      <c r="I1428" s="39" t="str">
        <f aca="false">A1428&amp;"|"&amp;B1428&amp;"|"&amp;D1428&amp;"|"&amp;E1428&amp;F1428</f>
        <v>home|Lawton|scenario 3 (dwelling $300,000, deductible 1%)|frame</v>
      </c>
      <c r="J1428" s="34" t="n">
        <f aca="false" t="array" ref="J1428:J1428">MEDIAN(IF($I$4:$I$1803=I1428,$H$4:$H$1803))</f>
        <v>5628.5</v>
      </c>
      <c r="K1428" s="59" t="n">
        <f aca="false">H1428/J1428</f>
        <v>1.33303722128453</v>
      </c>
    </row>
    <row r="1429" customFormat="false" ht="15" hidden="false" customHeight="false" outlineLevel="0" collapsed="false">
      <c r="A1429" s="39" t="s">
        <v>912</v>
      </c>
      <c r="B1429" s="39" t="s">
        <v>909</v>
      </c>
      <c r="C1429" s="39" t="s">
        <v>921</v>
      </c>
      <c r="D1429" s="39" t="s">
        <v>917</v>
      </c>
      <c r="E1429" s="39"/>
      <c r="F1429" s="39" t="s">
        <v>915</v>
      </c>
      <c r="G1429" s="60"/>
      <c r="H1429" s="58" t="n">
        <v>7354</v>
      </c>
      <c r="I1429" s="39" t="str">
        <f aca="false">A1429&amp;"|"&amp;B1429&amp;"|"&amp;D1429&amp;"|"&amp;E1429&amp;F1429</f>
        <v>home|Lawton|scenario 3 (dwelling $300,000, deductible 1%)|masonry</v>
      </c>
      <c r="J1429" s="34" t="n">
        <f aca="false" t="array" ref="J1429:J1429">MEDIAN(IF($I$4:$I$1803=I1429,$H$4:$H$1803))</f>
        <v>5640.5</v>
      </c>
      <c r="K1429" s="59" t="n">
        <f aca="false">H1429/J1429</f>
        <v>1.30378512543214</v>
      </c>
    </row>
    <row r="1430" customFormat="false" ht="15" hidden="false" customHeight="false" outlineLevel="0" collapsed="false">
      <c r="A1430" s="39" t="s">
        <v>912</v>
      </c>
      <c r="B1430" s="39" t="s">
        <v>909</v>
      </c>
      <c r="C1430" s="39" t="s">
        <v>921</v>
      </c>
      <c r="D1430" s="39" t="s">
        <v>918</v>
      </c>
      <c r="E1430" s="39"/>
      <c r="F1430" s="39" t="s">
        <v>133</v>
      </c>
      <c r="G1430" s="60"/>
      <c r="H1430" s="58" t="n">
        <v>8856</v>
      </c>
      <c r="I1430" s="39" t="str">
        <f aca="false">A1430&amp;"|"&amp;B1430&amp;"|"&amp;D1430&amp;"|"&amp;E1430&amp;F1430</f>
        <v>home|Lawton|scenario 4 (dwelling $400,000, deductible 1%)|frame</v>
      </c>
      <c r="J1430" s="34" t="n">
        <f aca="false" t="array" ref="J1430:J1430">MEDIAN(IF($I$4:$I$1803=I1430,$H$4:$H$1803))</f>
        <v>6843</v>
      </c>
      <c r="K1430" s="59" t="n">
        <f aca="false">H1430/J1430</f>
        <v>1.29416922402455</v>
      </c>
    </row>
    <row r="1431" customFormat="false" ht="15" hidden="false" customHeight="false" outlineLevel="0" collapsed="false">
      <c r="A1431" s="39" t="s">
        <v>912</v>
      </c>
      <c r="B1431" s="39" t="s">
        <v>909</v>
      </c>
      <c r="C1431" s="39" t="s">
        <v>921</v>
      </c>
      <c r="D1431" s="39" t="s">
        <v>918</v>
      </c>
      <c r="E1431" s="39"/>
      <c r="F1431" s="39" t="s">
        <v>915</v>
      </c>
      <c r="G1431" s="60"/>
      <c r="H1431" s="58" t="n">
        <v>8678</v>
      </c>
      <c r="I1431" s="39" t="str">
        <f aca="false">A1431&amp;"|"&amp;B1431&amp;"|"&amp;D1431&amp;"|"&amp;E1431&amp;F1431</f>
        <v>home|Lawton|scenario 4 (dwelling $400,000, deductible 1%)|masonry</v>
      </c>
      <c r="J1431" s="34" t="n">
        <f aca="false" t="array" ref="J1431:J1431">MEDIAN(IF($I$4:$I$1803=I1431,$H$4:$H$1803))</f>
        <v>7053.5</v>
      </c>
      <c r="K1431" s="59" t="n">
        <f aca="false">H1431/J1431</f>
        <v>1.23031119302474</v>
      </c>
    </row>
    <row r="1432" customFormat="false" ht="15" hidden="false" customHeight="false" outlineLevel="0" collapsed="false">
      <c r="A1432" s="39" t="s">
        <v>912</v>
      </c>
      <c r="B1432" s="39" t="s">
        <v>909</v>
      </c>
      <c r="C1432" s="39" t="s">
        <v>921</v>
      </c>
      <c r="D1432" s="39" t="s">
        <v>919</v>
      </c>
      <c r="E1432" s="39"/>
      <c r="F1432" s="39" t="s">
        <v>133</v>
      </c>
      <c r="G1432" s="60"/>
      <c r="H1432" s="58" t="n">
        <v>10156</v>
      </c>
      <c r="I1432" s="39" t="str">
        <f aca="false">A1432&amp;"|"&amp;B1432&amp;"|"&amp;D1432&amp;"|"&amp;E1432&amp;F1432</f>
        <v>home|Lawton|scenario 5 (dwelling $500,000, deductible 1%)|frame</v>
      </c>
      <c r="J1432" s="34" t="n">
        <f aca="false" t="array" ref="J1432:J1432">MEDIAN(IF($I$4:$I$1803=I1432,$H$4:$H$1803))</f>
        <v>8289.5</v>
      </c>
      <c r="K1432" s="59" t="n">
        <f aca="false">H1432/J1432</f>
        <v>1.22516436455757</v>
      </c>
    </row>
    <row r="1433" customFormat="false" ht="15" hidden="false" customHeight="false" outlineLevel="0" collapsed="false">
      <c r="A1433" s="39" t="s">
        <v>912</v>
      </c>
      <c r="B1433" s="39" t="s">
        <v>909</v>
      </c>
      <c r="C1433" s="39" t="s">
        <v>921</v>
      </c>
      <c r="D1433" s="39" t="s">
        <v>919</v>
      </c>
      <c r="E1433" s="39"/>
      <c r="F1433" s="39" t="s">
        <v>915</v>
      </c>
      <c r="G1433" s="60"/>
      <c r="H1433" s="58" t="n">
        <v>9954</v>
      </c>
      <c r="I1433" s="39" t="str">
        <f aca="false">A1433&amp;"|"&amp;B1433&amp;"|"&amp;D1433&amp;"|"&amp;E1433&amp;F1433</f>
        <v>home|Lawton|scenario 5 (dwelling $500,000, deductible 1%)|masonry</v>
      </c>
      <c r="J1433" s="34" t="n">
        <f aca="false" t="array" ref="J1433:J1433">MEDIAN(IF($I$4:$I$1803=I1433,$H$4:$H$1803))</f>
        <v>7988.5</v>
      </c>
      <c r="K1433" s="59" t="n">
        <f aca="false">H1433/J1433</f>
        <v>1.24604118420229</v>
      </c>
    </row>
    <row r="1434" customFormat="false" ht="15" hidden="false" customHeight="false" outlineLevel="0" collapsed="false">
      <c r="A1434" s="39" t="s">
        <v>912</v>
      </c>
      <c r="B1434" s="39" t="s">
        <v>909</v>
      </c>
      <c r="C1434" s="39" t="s">
        <v>889</v>
      </c>
      <c r="D1434" s="39" t="s">
        <v>914</v>
      </c>
      <c r="E1434" s="39"/>
      <c r="F1434" s="39" t="s">
        <v>133</v>
      </c>
      <c r="G1434" s="60"/>
      <c r="H1434" s="58" t="n">
        <v>1878</v>
      </c>
      <c r="I1434" s="39" t="str">
        <f aca="false">A1434&amp;"|"&amp;B1434&amp;"|"&amp;D1434&amp;"|"&amp;E1434&amp;F1434</f>
        <v>home|Lawton|scenario 1 (dwelling $100,000, deductible 1%)|frame</v>
      </c>
      <c r="J1434" s="34" t="n">
        <f aca="false" t="array" ref="J1434:J1434">MEDIAN(IF($I$4:$I$1803=I1434,$H$4:$H$1803))</f>
        <v>2837.5</v>
      </c>
      <c r="K1434" s="59" t="n">
        <f aca="false">H1434/J1434</f>
        <v>0.661850220264317</v>
      </c>
    </row>
    <row r="1435" customFormat="false" ht="15" hidden="false" customHeight="false" outlineLevel="0" collapsed="false">
      <c r="A1435" s="39" t="s">
        <v>912</v>
      </c>
      <c r="B1435" s="39" t="s">
        <v>909</v>
      </c>
      <c r="C1435" s="39" t="s">
        <v>889</v>
      </c>
      <c r="D1435" s="39" t="s">
        <v>914</v>
      </c>
      <c r="E1435" s="39"/>
      <c r="F1435" s="39" t="s">
        <v>915</v>
      </c>
      <c r="G1435" s="60"/>
      <c r="H1435" s="58" t="n">
        <v>1703</v>
      </c>
      <c r="I1435" s="39" t="str">
        <f aca="false">A1435&amp;"|"&amp;B1435&amp;"|"&amp;D1435&amp;"|"&amp;E1435&amp;F1435</f>
        <v>home|Lawton|scenario 1 (dwelling $100,000, deductible 1%)|masonry</v>
      </c>
      <c r="J1435" s="34" t="n">
        <f aca="false" t="array" ref="J1435:J1435">MEDIAN(IF($I$4:$I$1803=I1435,$H$4:$H$1803))</f>
        <v>2724.5</v>
      </c>
      <c r="K1435" s="59" t="n">
        <f aca="false">H1435/J1435</f>
        <v>0.625068819966966</v>
      </c>
    </row>
    <row r="1436" customFormat="false" ht="15" hidden="false" customHeight="false" outlineLevel="0" collapsed="false">
      <c r="A1436" s="39" t="s">
        <v>912</v>
      </c>
      <c r="B1436" s="39" t="s">
        <v>909</v>
      </c>
      <c r="C1436" s="39" t="s">
        <v>889</v>
      </c>
      <c r="D1436" s="39" t="s">
        <v>916</v>
      </c>
      <c r="E1436" s="39"/>
      <c r="F1436" s="39" t="s">
        <v>133</v>
      </c>
      <c r="G1436" s="60"/>
      <c r="H1436" s="58" t="n">
        <v>2850</v>
      </c>
      <c r="I1436" s="39" t="str">
        <f aca="false">A1436&amp;"|"&amp;B1436&amp;"|"&amp;D1436&amp;"|"&amp;E1436&amp;F1436</f>
        <v>home|Lawton|scenario 2 (dwelling $200,000, deductible 1%)|frame</v>
      </c>
      <c r="J1436" s="34" t="n">
        <f aca="false" t="array" ref="J1436:J1436">MEDIAN(IF($I$4:$I$1803=I1436,$H$4:$H$1803))</f>
        <v>4045</v>
      </c>
      <c r="K1436" s="59" t="n">
        <f aca="false">H1436/J1436</f>
        <v>0.704573547589617</v>
      </c>
    </row>
    <row r="1437" customFormat="false" ht="15" hidden="false" customHeight="false" outlineLevel="0" collapsed="false">
      <c r="A1437" s="39" t="s">
        <v>912</v>
      </c>
      <c r="B1437" s="39" t="s">
        <v>909</v>
      </c>
      <c r="C1437" s="39" t="s">
        <v>889</v>
      </c>
      <c r="D1437" s="39" t="s">
        <v>916</v>
      </c>
      <c r="E1437" s="39"/>
      <c r="F1437" s="39" t="s">
        <v>915</v>
      </c>
      <c r="G1437" s="60"/>
      <c r="H1437" s="58" t="n">
        <v>2585</v>
      </c>
      <c r="I1437" s="39" t="str">
        <f aca="false">A1437&amp;"|"&amp;B1437&amp;"|"&amp;D1437&amp;"|"&amp;E1437&amp;F1437</f>
        <v>home|Lawton|scenario 2 (dwelling $200,000, deductible 1%)|masonry</v>
      </c>
      <c r="J1437" s="34" t="n">
        <f aca="false" t="array" ref="J1437:J1437">MEDIAN(IF($I$4:$I$1803=I1437,$H$4:$H$1803))</f>
        <v>4085.5</v>
      </c>
      <c r="K1437" s="59" t="n">
        <f aca="false">H1437/J1437</f>
        <v>0.632725492595766</v>
      </c>
    </row>
    <row r="1438" customFormat="false" ht="15" hidden="false" customHeight="false" outlineLevel="0" collapsed="false">
      <c r="A1438" s="39" t="s">
        <v>912</v>
      </c>
      <c r="B1438" s="39" t="s">
        <v>909</v>
      </c>
      <c r="C1438" s="39" t="s">
        <v>889</v>
      </c>
      <c r="D1438" s="39" t="s">
        <v>917</v>
      </c>
      <c r="E1438" s="39"/>
      <c r="F1438" s="39" t="s">
        <v>133</v>
      </c>
      <c r="G1438" s="60"/>
      <c r="H1438" s="58" t="n">
        <v>3821</v>
      </c>
      <c r="I1438" s="39" t="str">
        <f aca="false">A1438&amp;"|"&amp;B1438&amp;"|"&amp;D1438&amp;"|"&amp;E1438&amp;F1438</f>
        <v>home|Lawton|scenario 3 (dwelling $300,000, deductible 1%)|frame</v>
      </c>
      <c r="J1438" s="34" t="n">
        <f aca="false" t="array" ref="J1438:J1438">MEDIAN(IF($I$4:$I$1803=I1438,$H$4:$H$1803))</f>
        <v>5628.5</v>
      </c>
      <c r="K1438" s="59" t="n">
        <f aca="false">H1438/J1438</f>
        <v>0.678866483077196</v>
      </c>
    </row>
    <row r="1439" customFormat="false" ht="15" hidden="false" customHeight="false" outlineLevel="0" collapsed="false">
      <c r="A1439" s="39" t="s">
        <v>912</v>
      </c>
      <c r="B1439" s="39" t="s">
        <v>909</v>
      </c>
      <c r="C1439" s="39" t="s">
        <v>889</v>
      </c>
      <c r="D1439" s="39" t="s">
        <v>917</v>
      </c>
      <c r="E1439" s="39"/>
      <c r="F1439" s="39" t="s">
        <v>915</v>
      </c>
      <c r="G1439" s="60"/>
      <c r="H1439" s="58" t="n">
        <v>3469</v>
      </c>
      <c r="I1439" s="39" t="str">
        <f aca="false">A1439&amp;"|"&amp;B1439&amp;"|"&amp;D1439&amp;"|"&amp;E1439&amp;F1439</f>
        <v>home|Lawton|scenario 3 (dwelling $300,000, deductible 1%)|masonry</v>
      </c>
      <c r="J1439" s="34" t="n">
        <f aca="false" t="array" ref="J1439:J1439">MEDIAN(IF($I$4:$I$1803=I1439,$H$4:$H$1803))</f>
        <v>5640.5</v>
      </c>
      <c r="K1439" s="59" t="n">
        <f aca="false">H1439/J1439</f>
        <v>0.615016399255385</v>
      </c>
    </row>
    <row r="1440" customFormat="false" ht="15" hidden="false" customHeight="false" outlineLevel="0" collapsed="false">
      <c r="A1440" s="39" t="s">
        <v>912</v>
      </c>
      <c r="B1440" s="39" t="s">
        <v>909</v>
      </c>
      <c r="C1440" s="39" t="s">
        <v>889</v>
      </c>
      <c r="D1440" s="39" t="s">
        <v>918</v>
      </c>
      <c r="E1440" s="39"/>
      <c r="F1440" s="39" t="s">
        <v>133</v>
      </c>
      <c r="G1440" s="60"/>
      <c r="H1440" s="58" t="n">
        <v>5338</v>
      </c>
      <c r="I1440" s="39" t="str">
        <f aca="false">A1440&amp;"|"&amp;B1440&amp;"|"&amp;D1440&amp;"|"&amp;E1440&amp;F1440</f>
        <v>home|Lawton|scenario 4 (dwelling $400,000, deductible 1%)|frame</v>
      </c>
      <c r="J1440" s="34" t="n">
        <f aca="false" t="array" ref="J1440:J1440">MEDIAN(IF($I$4:$I$1803=I1440,$H$4:$H$1803))</f>
        <v>6843</v>
      </c>
      <c r="K1440" s="59" t="n">
        <f aca="false">H1440/J1440</f>
        <v>0.780067221978664</v>
      </c>
    </row>
    <row r="1441" customFormat="false" ht="15" hidden="false" customHeight="false" outlineLevel="0" collapsed="false">
      <c r="A1441" s="39" t="s">
        <v>912</v>
      </c>
      <c r="B1441" s="39" t="s">
        <v>909</v>
      </c>
      <c r="C1441" s="39" t="s">
        <v>889</v>
      </c>
      <c r="D1441" s="39" t="s">
        <v>918</v>
      </c>
      <c r="E1441" s="39"/>
      <c r="F1441" s="39" t="s">
        <v>915</v>
      </c>
      <c r="G1441" s="60"/>
      <c r="H1441" s="58" t="n">
        <v>4843</v>
      </c>
      <c r="I1441" s="39" t="str">
        <f aca="false">A1441&amp;"|"&amp;B1441&amp;"|"&amp;D1441&amp;"|"&amp;E1441&amp;F1441</f>
        <v>home|Lawton|scenario 4 (dwelling $400,000, deductible 1%)|masonry</v>
      </c>
      <c r="J1441" s="34" t="n">
        <f aca="false" t="array" ref="J1441:J1441">MEDIAN(IF($I$4:$I$1803=I1441,$H$4:$H$1803))</f>
        <v>7053.5</v>
      </c>
      <c r="K1441" s="59" t="n">
        <f aca="false">H1441/J1441</f>
        <v>0.686609484653009</v>
      </c>
    </row>
    <row r="1442" customFormat="false" ht="15" hidden="false" customHeight="false" outlineLevel="0" collapsed="false">
      <c r="A1442" s="39" t="s">
        <v>912</v>
      </c>
      <c r="B1442" s="39" t="s">
        <v>909</v>
      </c>
      <c r="C1442" s="39" t="s">
        <v>889</v>
      </c>
      <c r="D1442" s="39" t="s">
        <v>919</v>
      </c>
      <c r="E1442" s="39"/>
      <c r="F1442" s="39" t="s">
        <v>133</v>
      </c>
      <c r="G1442" s="60"/>
      <c r="H1442" s="58" t="n">
        <v>6741</v>
      </c>
      <c r="I1442" s="39" t="str">
        <f aca="false">A1442&amp;"|"&amp;B1442&amp;"|"&amp;D1442&amp;"|"&amp;E1442&amp;F1442</f>
        <v>home|Lawton|scenario 5 (dwelling $500,000, deductible 1%)|frame</v>
      </c>
      <c r="J1442" s="34" t="n">
        <f aca="false" t="array" ref="J1442:J1442">MEDIAN(IF($I$4:$I$1803=I1442,$H$4:$H$1803))</f>
        <v>8289.5</v>
      </c>
      <c r="K1442" s="59" t="n">
        <f aca="false">H1442/J1442</f>
        <v>0.813197418420894</v>
      </c>
    </row>
    <row r="1443" customFormat="false" ht="15" hidden="false" customHeight="false" outlineLevel="0" collapsed="false">
      <c r="A1443" s="39" t="s">
        <v>912</v>
      </c>
      <c r="B1443" s="39" t="s">
        <v>909</v>
      </c>
      <c r="C1443" s="39" t="s">
        <v>889</v>
      </c>
      <c r="D1443" s="39" t="s">
        <v>919</v>
      </c>
      <c r="E1443" s="39"/>
      <c r="F1443" s="39" t="s">
        <v>915</v>
      </c>
      <c r="G1443" s="60"/>
      <c r="H1443" s="58" t="n">
        <v>6116</v>
      </c>
      <c r="I1443" s="39" t="str">
        <f aca="false">A1443&amp;"|"&amp;B1443&amp;"|"&amp;D1443&amp;"|"&amp;E1443&amp;F1443</f>
        <v>home|Lawton|scenario 5 (dwelling $500,000, deductible 1%)|masonry</v>
      </c>
      <c r="J1443" s="34" t="n">
        <f aca="false" t="array" ref="J1443:J1443">MEDIAN(IF($I$4:$I$1803=I1443,$H$4:$H$1803))</f>
        <v>7988.5</v>
      </c>
      <c r="K1443" s="59" t="n">
        <f aca="false">H1443/J1443</f>
        <v>0.765600550791763</v>
      </c>
    </row>
    <row r="1444" customFormat="false" ht="15" hidden="false" customHeight="false" outlineLevel="0" collapsed="false">
      <c r="A1444" s="39" t="s">
        <v>912</v>
      </c>
      <c r="B1444" s="39" t="s">
        <v>909</v>
      </c>
      <c r="C1444" s="39" t="s">
        <v>922</v>
      </c>
      <c r="D1444" s="39" t="s">
        <v>914</v>
      </c>
      <c r="E1444" s="39"/>
      <c r="F1444" s="39" t="s">
        <v>133</v>
      </c>
      <c r="G1444" s="60"/>
      <c r="H1444" s="58" t="n">
        <v>2908</v>
      </c>
      <c r="I1444" s="39" t="str">
        <f aca="false">A1444&amp;"|"&amp;B1444&amp;"|"&amp;D1444&amp;"|"&amp;E1444&amp;F1444</f>
        <v>home|Lawton|scenario 1 (dwelling $100,000, deductible 1%)|frame</v>
      </c>
      <c r="J1444" s="34" t="n">
        <f aca="false" t="array" ref="J1444:J1444">MEDIAN(IF($I$4:$I$1803=I1444,$H$4:$H$1803))</f>
        <v>2837.5</v>
      </c>
      <c r="K1444" s="59" t="n">
        <f aca="false">H1444/J1444</f>
        <v>1.02484581497797</v>
      </c>
    </row>
    <row r="1445" customFormat="false" ht="15" hidden="false" customHeight="false" outlineLevel="0" collapsed="false">
      <c r="A1445" s="39" t="s">
        <v>912</v>
      </c>
      <c r="B1445" s="39" t="s">
        <v>909</v>
      </c>
      <c r="C1445" s="39" t="s">
        <v>922</v>
      </c>
      <c r="D1445" s="39" t="s">
        <v>914</v>
      </c>
      <c r="E1445" s="39"/>
      <c r="F1445" s="39" t="s">
        <v>915</v>
      </c>
      <c r="G1445" s="60"/>
      <c r="H1445" s="58" t="n">
        <v>2770</v>
      </c>
      <c r="I1445" s="39" t="str">
        <f aca="false">A1445&amp;"|"&amp;B1445&amp;"|"&amp;D1445&amp;"|"&amp;E1445&amp;F1445</f>
        <v>home|Lawton|scenario 1 (dwelling $100,000, deductible 1%)|masonry</v>
      </c>
      <c r="J1445" s="34" t="n">
        <f aca="false" t="array" ref="J1445:J1445">MEDIAN(IF($I$4:$I$1803=I1445,$H$4:$H$1803))</f>
        <v>2724.5</v>
      </c>
      <c r="K1445" s="59" t="n">
        <f aca="false">H1445/J1445</f>
        <v>1.01670031198385</v>
      </c>
    </row>
    <row r="1446" customFormat="false" ht="15" hidden="false" customHeight="false" outlineLevel="0" collapsed="false">
      <c r="A1446" s="39" t="s">
        <v>912</v>
      </c>
      <c r="B1446" s="39" t="s">
        <v>909</v>
      </c>
      <c r="C1446" s="39" t="s">
        <v>922</v>
      </c>
      <c r="D1446" s="39" t="s">
        <v>916</v>
      </c>
      <c r="E1446" s="39"/>
      <c r="F1446" s="39" t="s">
        <v>133</v>
      </c>
      <c r="G1446" s="60"/>
      <c r="H1446" s="58" t="n">
        <v>4943</v>
      </c>
      <c r="I1446" s="39" t="str">
        <f aca="false">A1446&amp;"|"&amp;B1446&amp;"|"&amp;D1446&amp;"|"&amp;E1446&amp;F1446</f>
        <v>home|Lawton|scenario 2 (dwelling $200,000, deductible 1%)|frame</v>
      </c>
      <c r="J1446" s="34" t="n">
        <f aca="false" t="array" ref="J1446:J1446">MEDIAN(IF($I$4:$I$1803=I1446,$H$4:$H$1803))</f>
        <v>4045</v>
      </c>
      <c r="K1446" s="59" t="n">
        <f aca="false">H1446/J1446</f>
        <v>1.22200247218789</v>
      </c>
    </row>
    <row r="1447" customFormat="false" ht="15" hidden="false" customHeight="false" outlineLevel="0" collapsed="false">
      <c r="A1447" s="39" t="s">
        <v>912</v>
      </c>
      <c r="B1447" s="39" t="s">
        <v>909</v>
      </c>
      <c r="C1447" s="39" t="s">
        <v>922</v>
      </c>
      <c r="D1447" s="39" t="s">
        <v>916</v>
      </c>
      <c r="E1447" s="39"/>
      <c r="F1447" s="39" t="s">
        <v>915</v>
      </c>
      <c r="G1447" s="60"/>
      <c r="H1447" s="58" t="n">
        <v>4704</v>
      </c>
      <c r="I1447" s="39" t="str">
        <f aca="false">A1447&amp;"|"&amp;B1447&amp;"|"&amp;D1447&amp;"|"&amp;E1447&amp;F1447</f>
        <v>home|Lawton|scenario 2 (dwelling $200,000, deductible 1%)|masonry</v>
      </c>
      <c r="J1447" s="34" t="n">
        <f aca="false" t="array" ref="J1447:J1447">MEDIAN(IF($I$4:$I$1803=I1447,$H$4:$H$1803))</f>
        <v>4085.5</v>
      </c>
      <c r="K1447" s="59" t="n">
        <f aca="false">H1447/J1447</f>
        <v>1.15138905886672</v>
      </c>
    </row>
    <row r="1448" customFormat="false" ht="15" hidden="false" customHeight="false" outlineLevel="0" collapsed="false">
      <c r="A1448" s="39" t="s">
        <v>912</v>
      </c>
      <c r="B1448" s="39" t="s">
        <v>909</v>
      </c>
      <c r="C1448" s="39" t="s">
        <v>922</v>
      </c>
      <c r="D1448" s="39" t="s">
        <v>917</v>
      </c>
      <c r="E1448" s="39"/>
      <c r="F1448" s="39" t="s">
        <v>133</v>
      </c>
      <c r="G1448" s="60"/>
      <c r="H1448" s="58" t="n">
        <v>6718</v>
      </c>
      <c r="I1448" s="39" t="str">
        <f aca="false">A1448&amp;"|"&amp;B1448&amp;"|"&amp;D1448&amp;"|"&amp;E1448&amp;F1448</f>
        <v>home|Lawton|scenario 3 (dwelling $300,000, deductible 1%)|frame</v>
      </c>
      <c r="J1448" s="34" t="n">
        <f aca="false" t="array" ref="J1448:J1448">MEDIAN(IF($I$4:$I$1803=I1448,$H$4:$H$1803))</f>
        <v>5628.5</v>
      </c>
      <c r="K1448" s="59" t="n">
        <f aca="false">H1448/J1448</f>
        <v>1.19356844630008</v>
      </c>
    </row>
    <row r="1449" customFormat="false" ht="15" hidden="false" customHeight="false" outlineLevel="0" collapsed="false">
      <c r="A1449" s="39" t="s">
        <v>912</v>
      </c>
      <c r="B1449" s="39" t="s">
        <v>909</v>
      </c>
      <c r="C1449" s="39" t="s">
        <v>922</v>
      </c>
      <c r="D1449" s="39" t="s">
        <v>917</v>
      </c>
      <c r="E1449" s="39"/>
      <c r="F1449" s="39" t="s">
        <v>915</v>
      </c>
      <c r="G1449" s="60"/>
      <c r="H1449" s="58" t="n">
        <v>6393</v>
      </c>
      <c r="I1449" s="39" t="str">
        <f aca="false">A1449&amp;"|"&amp;B1449&amp;"|"&amp;D1449&amp;"|"&amp;E1449&amp;F1449</f>
        <v>home|Lawton|scenario 3 (dwelling $300,000, deductible 1%)|masonry</v>
      </c>
      <c r="J1449" s="34" t="n">
        <f aca="false" t="array" ref="J1449:J1449">MEDIAN(IF($I$4:$I$1803=I1449,$H$4:$H$1803))</f>
        <v>5640.5</v>
      </c>
      <c r="K1449" s="59" t="n">
        <f aca="false">H1449/J1449</f>
        <v>1.13341015867388</v>
      </c>
    </row>
    <row r="1450" customFormat="false" ht="15" hidden="false" customHeight="false" outlineLevel="0" collapsed="false">
      <c r="A1450" s="39" t="s">
        <v>912</v>
      </c>
      <c r="B1450" s="39" t="s">
        <v>909</v>
      </c>
      <c r="C1450" s="39" t="s">
        <v>922</v>
      </c>
      <c r="D1450" s="39" t="s">
        <v>918</v>
      </c>
      <c r="E1450" s="39"/>
      <c r="F1450" s="39" t="s">
        <v>133</v>
      </c>
      <c r="G1450" s="60"/>
      <c r="H1450" s="58" t="n">
        <v>8263</v>
      </c>
      <c r="I1450" s="39" t="str">
        <f aca="false">A1450&amp;"|"&amp;B1450&amp;"|"&amp;D1450&amp;"|"&amp;E1450&amp;F1450</f>
        <v>home|Lawton|scenario 4 (dwelling $400,000, deductible 1%)|frame</v>
      </c>
      <c r="J1450" s="34" t="n">
        <f aca="false" t="array" ref="J1450:J1450">MEDIAN(IF($I$4:$I$1803=I1450,$H$4:$H$1803))</f>
        <v>6843</v>
      </c>
      <c r="K1450" s="59" t="n">
        <f aca="false">H1450/J1450</f>
        <v>1.20751132544206</v>
      </c>
    </row>
    <row r="1451" customFormat="false" ht="15" hidden="false" customHeight="false" outlineLevel="0" collapsed="false">
      <c r="A1451" s="39" t="s">
        <v>912</v>
      </c>
      <c r="B1451" s="39" t="s">
        <v>909</v>
      </c>
      <c r="C1451" s="39" t="s">
        <v>922</v>
      </c>
      <c r="D1451" s="39" t="s">
        <v>918</v>
      </c>
      <c r="E1451" s="39"/>
      <c r="F1451" s="39" t="s">
        <v>915</v>
      </c>
      <c r="G1451" s="60"/>
      <c r="H1451" s="58" t="n">
        <v>7866</v>
      </c>
      <c r="I1451" s="39" t="str">
        <f aca="false">A1451&amp;"|"&amp;B1451&amp;"|"&amp;D1451&amp;"|"&amp;E1451&amp;F1451</f>
        <v>home|Lawton|scenario 4 (dwelling $400,000, deductible 1%)|masonry</v>
      </c>
      <c r="J1451" s="34" t="n">
        <f aca="false" t="array" ref="J1451:J1451">MEDIAN(IF($I$4:$I$1803=I1451,$H$4:$H$1803))</f>
        <v>7053.5</v>
      </c>
      <c r="K1451" s="59" t="n">
        <f aca="false">H1451/J1451</f>
        <v>1.11519103990926</v>
      </c>
    </row>
    <row r="1452" customFormat="false" ht="15" hidden="false" customHeight="false" outlineLevel="0" collapsed="false">
      <c r="A1452" s="39" t="s">
        <v>912</v>
      </c>
      <c r="B1452" s="39" t="s">
        <v>909</v>
      </c>
      <c r="C1452" s="39" t="s">
        <v>922</v>
      </c>
      <c r="D1452" s="39" t="s">
        <v>919</v>
      </c>
      <c r="E1452" s="39"/>
      <c r="F1452" s="39" t="s">
        <v>133</v>
      </c>
      <c r="G1452" s="60"/>
      <c r="H1452" s="58" t="n">
        <v>8951</v>
      </c>
      <c r="I1452" s="39" t="str">
        <f aca="false">A1452&amp;"|"&amp;B1452&amp;"|"&amp;D1452&amp;"|"&amp;E1452&amp;F1452</f>
        <v>home|Lawton|scenario 5 (dwelling $500,000, deductible 1%)|frame</v>
      </c>
      <c r="J1452" s="34" t="n">
        <f aca="false" t="array" ref="J1452:J1452">MEDIAN(IF($I$4:$I$1803=I1452,$H$4:$H$1803))</f>
        <v>8289.5</v>
      </c>
      <c r="K1452" s="59" t="n">
        <f aca="false">H1452/J1452</f>
        <v>1.07979974666747</v>
      </c>
    </row>
    <row r="1453" customFormat="false" ht="15" hidden="false" customHeight="false" outlineLevel="0" collapsed="false">
      <c r="A1453" s="39" t="s">
        <v>912</v>
      </c>
      <c r="B1453" s="39" t="s">
        <v>909</v>
      </c>
      <c r="C1453" s="39" t="s">
        <v>922</v>
      </c>
      <c r="D1453" s="39" t="s">
        <v>919</v>
      </c>
      <c r="E1453" s="39"/>
      <c r="F1453" s="39" t="s">
        <v>915</v>
      </c>
      <c r="G1453" s="60"/>
      <c r="H1453" s="58" t="n">
        <v>8536</v>
      </c>
      <c r="I1453" s="39" t="str">
        <f aca="false">A1453&amp;"|"&amp;B1453&amp;"|"&amp;D1453&amp;"|"&amp;E1453&amp;F1453</f>
        <v>home|Lawton|scenario 5 (dwelling $500,000, deductible 1%)|masonry</v>
      </c>
      <c r="J1453" s="34" t="n">
        <f aca="false" t="array" ref="J1453:J1453">MEDIAN(IF($I$4:$I$1803=I1453,$H$4:$H$1803))</f>
        <v>7988.5</v>
      </c>
      <c r="K1453" s="59" t="n">
        <f aca="false">H1453/J1453</f>
        <v>1.06853602052951</v>
      </c>
    </row>
    <row r="1454" customFormat="false" ht="15" hidden="false" customHeight="false" outlineLevel="0" collapsed="false">
      <c r="A1454" s="39" t="s">
        <v>912</v>
      </c>
      <c r="B1454" s="39" t="s">
        <v>909</v>
      </c>
      <c r="C1454" s="39" t="s">
        <v>923</v>
      </c>
      <c r="D1454" s="39" t="s">
        <v>914</v>
      </c>
      <c r="E1454" s="39"/>
      <c r="F1454" s="39" t="s">
        <v>133</v>
      </c>
      <c r="G1454" s="60"/>
      <c r="H1454" s="58" t="n">
        <v>2684</v>
      </c>
      <c r="I1454" s="39" t="str">
        <f aca="false">A1454&amp;"|"&amp;B1454&amp;"|"&amp;D1454&amp;"|"&amp;E1454&amp;F1454</f>
        <v>home|Lawton|scenario 1 (dwelling $100,000, deductible 1%)|frame</v>
      </c>
      <c r="J1454" s="34" t="n">
        <f aca="false" t="array" ref="J1454:J1454">MEDIAN(IF($I$4:$I$1803=I1454,$H$4:$H$1803))</f>
        <v>2837.5</v>
      </c>
      <c r="K1454" s="59" t="n">
        <f aca="false">H1454/J1454</f>
        <v>0.945903083700441</v>
      </c>
    </row>
    <row r="1455" customFormat="false" ht="15" hidden="false" customHeight="false" outlineLevel="0" collapsed="false">
      <c r="A1455" s="39" t="s">
        <v>912</v>
      </c>
      <c r="B1455" s="39" t="s">
        <v>909</v>
      </c>
      <c r="C1455" s="39" t="s">
        <v>923</v>
      </c>
      <c r="D1455" s="39" t="s">
        <v>914</v>
      </c>
      <c r="E1455" s="39"/>
      <c r="F1455" s="39" t="s">
        <v>915</v>
      </c>
      <c r="G1455" s="60"/>
      <c r="H1455" s="58" t="n">
        <v>2679</v>
      </c>
      <c r="I1455" s="39" t="str">
        <f aca="false">A1455&amp;"|"&amp;B1455&amp;"|"&amp;D1455&amp;"|"&amp;E1455&amp;F1455</f>
        <v>home|Lawton|scenario 1 (dwelling $100,000, deductible 1%)|masonry</v>
      </c>
      <c r="J1455" s="34" t="n">
        <f aca="false" t="array" ref="J1455:J1455">MEDIAN(IF($I$4:$I$1803=I1455,$H$4:$H$1803))</f>
        <v>2724.5</v>
      </c>
      <c r="K1455" s="59" t="n">
        <f aca="false">H1455/J1455</f>
        <v>0.98329968801615</v>
      </c>
    </row>
    <row r="1456" customFormat="false" ht="15" hidden="false" customHeight="false" outlineLevel="0" collapsed="false">
      <c r="A1456" s="39" t="s">
        <v>912</v>
      </c>
      <c r="B1456" s="39" t="s">
        <v>909</v>
      </c>
      <c r="C1456" s="39" t="s">
        <v>923</v>
      </c>
      <c r="D1456" s="39" t="s">
        <v>916</v>
      </c>
      <c r="E1456" s="39"/>
      <c r="F1456" s="39" t="s">
        <v>133</v>
      </c>
      <c r="G1456" s="60"/>
      <c r="H1456" s="58" t="n">
        <v>3003</v>
      </c>
      <c r="I1456" s="39" t="str">
        <f aca="false">A1456&amp;"|"&amp;B1456&amp;"|"&amp;D1456&amp;"|"&amp;E1456&amp;F1456</f>
        <v>home|Lawton|scenario 2 (dwelling $200,000, deductible 1%)|frame</v>
      </c>
      <c r="J1456" s="34" t="n">
        <f aca="false" t="array" ref="J1456:J1456">MEDIAN(IF($I$4:$I$1803=I1456,$H$4:$H$1803))</f>
        <v>4045</v>
      </c>
      <c r="K1456" s="59" t="n">
        <f aca="false">H1456/J1456</f>
        <v>0.742398022249691</v>
      </c>
    </row>
    <row r="1457" customFormat="false" ht="15" hidden="false" customHeight="false" outlineLevel="0" collapsed="false">
      <c r="A1457" s="39" t="s">
        <v>912</v>
      </c>
      <c r="B1457" s="39" t="s">
        <v>909</v>
      </c>
      <c r="C1457" s="39" t="s">
        <v>923</v>
      </c>
      <c r="D1457" s="39" t="s">
        <v>916</v>
      </c>
      <c r="E1457" s="39"/>
      <c r="F1457" s="39" t="s">
        <v>915</v>
      </c>
      <c r="G1457" s="60"/>
      <c r="H1457" s="58" t="n">
        <v>2994</v>
      </c>
      <c r="I1457" s="39" t="str">
        <f aca="false">A1457&amp;"|"&amp;B1457&amp;"|"&amp;D1457&amp;"|"&amp;E1457&amp;F1457</f>
        <v>home|Lawton|scenario 2 (dwelling $200,000, deductible 1%)|masonry</v>
      </c>
      <c r="J1457" s="34" t="n">
        <f aca="false" t="array" ref="J1457:J1457">MEDIAN(IF($I$4:$I$1803=I1457,$H$4:$H$1803))</f>
        <v>4085.5</v>
      </c>
      <c r="K1457" s="59" t="n">
        <f aca="false">H1457/J1457</f>
        <v>0.732835638232774</v>
      </c>
    </row>
    <row r="1458" customFormat="false" ht="15" hidden="false" customHeight="false" outlineLevel="0" collapsed="false">
      <c r="A1458" s="39" t="s">
        <v>912</v>
      </c>
      <c r="B1458" s="39" t="s">
        <v>909</v>
      </c>
      <c r="C1458" s="39" t="s">
        <v>923</v>
      </c>
      <c r="D1458" s="39" t="s">
        <v>917</v>
      </c>
      <c r="E1458" s="39"/>
      <c r="F1458" s="39" t="s">
        <v>133</v>
      </c>
      <c r="G1458" s="60"/>
      <c r="H1458" s="58" t="n">
        <v>3373</v>
      </c>
      <c r="I1458" s="39" t="str">
        <f aca="false">A1458&amp;"|"&amp;B1458&amp;"|"&amp;D1458&amp;"|"&amp;E1458&amp;F1458</f>
        <v>home|Lawton|scenario 3 (dwelling $300,000, deductible 1%)|frame</v>
      </c>
      <c r="J1458" s="34" t="n">
        <f aca="false" t="array" ref="J1458:J1458">MEDIAN(IF($I$4:$I$1803=I1458,$H$4:$H$1803))</f>
        <v>5628.5</v>
      </c>
      <c r="K1458" s="59" t="n">
        <f aca="false">H1458/J1458</f>
        <v>0.599271564359954</v>
      </c>
    </row>
    <row r="1459" customFormat="false" ht="15" hidden="false" customHeight="false" outlineLevel="0" collapsed="false">
      <c r="A1459" s="39" t="s">
        <v>912</v>
      </c>
      <c r="B1459" s="39" t="s">
        <v>909</v>
      </c>
      <c r="C1459" s="39" t="s">
        <v>923</v>
      </c>
      <c r="D1459" s="39" t="s">
        <v>917</v>
      </c>
      <c r="E1459" s="39"/>
      <c r="F1459" s="39" t="s">
        <v>915</v>
      </c>
      <c r="G1459" s="60"/>
      <c r="H1459" s="58" t="n">
        <v>3359</v>
      </c>
      <c r="I1459" s="39" t="str">
        <f aca="false">A1459&amp;"|"&amp;B1459&amp;"|"&amp;D1459&amp;"|"&amp;E1459&amp;F1459</f>
        <v>home|Lawton|scenario 3 (dwelling $300,000, deductible 1%)|masonry</v>
      </c>
      <c r="J1459" s="34" t="n">
        <f aca="false" t="array" ref="J1459:J1459">MEDIAN(IF($I$4:$I$1803=I1459,$H$4:$H$1803))</f>
        <v>5640.5</v>
      </c>
      <c r="K1459" s="59" t="n">
        <f aca="false">H1459/J1459</f>
        <v>0.595514582040599</v>
      </c>
    </row>
    <row r="1460" customFormat="false" ht="15" hidden="false" customHeight="false" outlineLevel="0" collapsed="false">
      <c r="A1460" s="39" t="s">
        <v>912</v>
      </c>
      <c r="B1460" s="39" t="s">
        <v>909</v>
      </c>
      <c r="C1460" s="39" t="s">
        <v>923</v>
      </c>
      <c r="D1460" s="39" t="s">
        <v>918</v>
      </c>
      <c r="E1460" s="39"/>
      <c r="F1460" s="39" t="s">
        <v>133</v>
      </c>
      <c r="G1460" s="60"/>
      <c r="H1460" s="58" t="n">
        <v>3716</v>
      </c>
      <c r="I1460" s="39" t="str">
        <f aca="false">A1460&amp;"|"&amp;B1460&amp;"|"&amp;D1460&amp;"|"&amp;E1460&amp;F1460</f>
        <v>home|Lawton|scenario 4 (dwelling $400,000, deductible 1%)|frame</v>
      </c>
      <c r="J1460" s="34" t="n">
        <f aca="false" t="array" ref="J1460:J1460">MEDIAN(IF($I$4:$I$1803=I1460,$H$4:$H$1803))</f>
        <v>6843</v>
      </c>
      <c r="K1460" s="59" t="n">
        <f aca="false">H1460/J1460</f>
        <v>0.543036679818793</v>
      </c>
    </row>
    <row r="1461" customFormat="false" ht="15" hidden="false" customHeight="false" outlineLevel="0" collapsed="false">
      <c r="A1461" s="39" t="s">
        <v>912</v>
      </c>
      <c r="B1461" s="39" t="s">
        <v>909</v>
      </c>
      <c r="C1461" s="39" t="s">
        <v>923</v>
      </c>
      <c r="D1461" s="39" t="s">
        <v>918</v>
      </c>
      <c r="E1461" s="39"/>
      <c r="F1461" s="39" t="s">
        <v>915</v>
      </c>
      <c r="G1461" s="60"/>
      <c r="H1461" s="58" t="n">
        <v>3699</v>
      </c>
      <c r="I1461" s="39" t="str">
        <f aca="false">A1461&amp;"|"&amp;B1461&amp;"|"&amp;D1461&amp;"|"&amp;E1461&amp;F1461</f>
        <v>home|Lawton|scenario 4 (dwelling $400,000, deductible 1%)|masonry</v>
      </c>
      <c r="J1461" s="34" t="n">
        <f aca="false" t="array" ref="J1461:J1461">MEDIAN(IF($I$4:$I$1803=I1461,$H$4:$H$1803))</f>
        <v>7053.5</v>
      </c>
      <c r="K1461" s="59" t="n">
        <f aca="false">H1461/J1461</f>
        <v>0.524420500460764</v>
      </c>
    </row>
    <row r="1462" customFormat="false" ht="15" hidden="false" customHeight="false" outlineLevel="0" collapsed="false">
      <c r="A1462" s="39" t="s">
        <v>912</v>
      </c>
      <c r="B1462" s="39" t="s">
        <v>909</v>
      </c>
      <c r="C1462" s="39" t="s">
        <v>923</v>
      </c>
      <c r="D1462" s="39" t="s">
        <v>919</v>
      </c>
      <c r="E1462" s="39"/>
      <c r="F1462" s="39" t="s">
        <v>133</v>
      </c>
      <c r="G1462" s="60"/>
      <c r="H1462" s="58" t="n">
        <v>3743</v>
      </c>
      <c r="I1462" s="39" t="str">
        <f aca="false">A1462&amp;"|"&amp;B1462&amp;"|"&amp;D1462&amp;"|"&amp;E1462&amp;F1462</f>
        <v>home|Lawton|scenario 5 (dwelling $500,000, deductible 1%)|frame</v>
      </c>
      <c r="J1462" s="34" t="n">
        <f aca="false" t="array" ref="J1462:J1462">MEDIAN(IF($I$4:$I$1803=I1462,$H$4:$H$1803))</f>
        <v>8289.5</v>
      </c>
      <c r="K1462" s="59" t="n">
        <f aca="false">H1462/J1462</f>
        <v>0.451535074491827</v>
      </c>
    </row>
    <row r="1463" customFormat="false" ht="15" hidden="false" customHeight="false" outlineLevel="0" collapsed="false">
      <c r="A1463" s="39" t="s">
        <v>912</v>
      </c>
      <c r="B1463" s="39" t="s">
        <v>909</v>
      </c>
      <c r="C1463" s="39" t="s">
        <v>923</v>
      </c>
      <c r="D1463" s="39" t="s">
        <v>919</v>
      </c>
      <c r="E1463" s="39"/>
      <c r="F1463" s="39" t="s">
        <v>915</v>
      </c>
      <c r="G1463" s="60"/>
      <c r="H1463" s="58" t="n">
        <v>3722</v>
      </c>
      <c r="I1463" s="39" t="str">
        <f aca="false">A1463&amp;"|"&amp;B1463&amp;"|"&amp;D1463&amp;"|"&amp;E1463&amp;F1463</f>
        <v>home|Lawton|scenario 5 (dwelling $500,000, deductible 1%)|masonry</v>
      </c>
      <c r="J1463" s="34" t="n">
        <f aca="false" t="array" ref="J1463:J1463">MEDIAN(IF($I$4:$I$1803=I1463,$H$4:$H$1803))</f>
        <v>7988.5</v>
      </c>
      <c r="K1463" s="59" t="n">
        <f aca="false">H1463/J1463</f>
        <v>0.465919759654503</v>
      </c>
    </row>
    <row r="1464" customFormat="false" ht="15" hidden="false" customHeight="false" outlineLevel="0" collapsed="false">
      <c r="A1464" s="39" t="s">
        <v>912</v>
      </c>
      <c r="B1464" s="39" t="s">
        <v>909</v>
      </c>
      <c r="C1464" s="39" t="s">
        <v>924</v>
      </c>
      <c r="D1464" s="39" t="s">
        <v>914</v>
      </c>
      <c r="E1464" s="39"/>
      <c r="F1464" s="39" t="s">
        <v>133</v>
      </c>
      <c r="G1464" s="60"/>
      <c r="H1464" s="58" t="n">
        <v>1774</v>
      </c>
      <c r="I1464" s="39" t="str">
        <f aca="false">A1464&amp;"|"&amp;B1464&amp;"|"&amp;D1464&amp;"|"&amp;E1464&amp;F1464</f>
        <v>home|Lawton|scenario 1 (dwelling $100,000, deductible 1%)|frame</v>
      </c>
      <c r="J1464" s="34" t="n">
        <f aca="false" t="array" ref="J1464:J1464">MEDIAN(IF($I$4:$I$1803=I1464,$H$4:$H$1803))</f>
        <v>2837.5</v>
      </c>
      <c r="K1464" s="59" t="n">
        <f aca="false">H1464/J1464</f>
        <v>0.625198237885463</v>
      </c>
    </row>
    <row r="1465" customFormat="false" ht="15" hidden="false" customHeight="false" outlineLevel="0" collapsed="false">
      <c r="A1465" s="39" t="s">
        <v>912</v>
      </c>
      <c r="B1465" s="39" t="s">
        <v>909</v>
      </c>
      <c r="C1465" s="39" t="s">
        <v>924</v>
      </c>
      <c r="D1465" s="39" t="s">
        <v>914</v>
      </c>
      <c r="E1465" s="39"/>
      <c r="F1465" s="39" t="s">
        <v>915</v>
      </c>
      <c r="G1465" s="60"/>
      <c r="H1465" s="58" t="n">
        <v>1770</v>
      </c>
      <c r="I1465" s="39" t="str">
        <f aca="false">A1465&amp;"|"&amp;B1465&amp;"|"&amp;D1465&amp;"|"&amp;E1465&amp;F1465</f>
        <v>home|Lawton|scenario 1 (dwelling $100,000, deductible 1%)|masonry</v>
      </c>
      <c r="J1465" s="34" t="n">
        <f aca="false" t="array" ref="J1465:J1465">MEDIAN(IF($I$4:$I$1803=I1465,$H$4:$H$1803))</f>
        <v>2724.5</v>
      </c>
      <c r="K1465" s="59" t="n">
        <f aca="false">H1465/J1465</f>
        <v>0.649660488162966</v>
      </c>
    </row>
    <row r="1466" customFormat="false" ht="15" hidden="false" customHeight="false" outlineLevel="0" collapsed="false">
      <c r="A1466" s="39" t="s">
        <v>912</v>
      </c>
      <c r="B1466" s="39" t="s">
        <v>909</v>
      </c>
      <c r="C1466" s="39" t="s">
        <v>924</v>
      </c>
      <c r="D1466" s="39" t="s">
        <v>916</v>
      </c>
      <c r="E1466" s="39"/>
      <c r="F1466" s="39" t="s">
        <v>133</v>
      </c>
      <c r="G1466" s="60"/>
      <c r="H1466" s="58" t="n">
        <v>2797</v>
      </c>
      <c r="I1466" s="39" t="str">
        <f aca="false">A1466&amp;"|"&amp;B1466&amp;"|"&amp;D1466&amp;"|"&amp;E1466&amp;F1466</f>
        <v>home|Lawton|scenario 2 (dwelling $200,000, deductible 1%)|frame</v>
      </c>
      <c r="J1466" s="34" t="n">
        <f aca="false" t="array" ref="J1466:J1466">MEDIAN(IF($I$4:$I$1803=I1466,$H$4:$H$1803))</f>
        <v>4045</v>
      </c>
      <c r="K1466" s="59" t="n">
        <f aca="false">H1466/J1466</f>
        <v>0.691470951792336</v>
      </c>
    </row>
    <row r="1467" customFormat="false" ht="15" hidden="false" customHeight="false" outlineLevel="0" collapsed="false">
      <c r="A1467" s="39" t="s">
        <v>912</v>
      </c>
      <c r="B1467" s="39" t="s">
        <v>909</v>
      </c>
      <c r="C1467" s="39" t="s">
        <v>924</v>
      </c>
      <c r="D1467" s="39" t="s">
        <v>916</v>
      </c>
      <c r="E1467" s="39"/>
      <c r="F1467" s="39" t="s">
        <v>915</v>
      </c>
      <c r="G1467" s="60"/>
      <c r="H1467" s="58" t="n">
        <v>2789</v>
      </c>
      <c r="I1467" s="39" t="str">
        <f aca="false">A1467&amp;"|"&amp;B1467&amp;"|"&amp;D1467&amp;"|"&amp;E1467&amp;F1467</f>
        <v>home|Lawton|scenario 2 (dwelling $200,000, deductible 1%)|masonry</v>
      </c>
      <c r="J1467" s="34" t="n">
        <f aca="false" t="array" ref="J1467:J1467">MEDIAN(IF($I$4:$I$1803=I1467,$H$4:$H$1803))</f>
        <v>4085.5</v>
      </c>
      <c r="K1467" s="59" t="n">
        <f aca="false">H1467/J1467</f>
        <v>0.682658181373149</v>
      </c>
    </row>
    <row r="1468" customFormat="false" ht="15" hidden="false" customHeight="false" outlineLevel="0" collapsed="false">
      <c r="A1468" s="39" t="s">
        <v>912</v>
      </c>
      <c r="B1468" s="39" t="s">
        <v>909</v>
      </c>
      <c r="C1468" s="39" t="s">
        <v>924</v>
      </c>
      <c r="D1468" s="39" t="s">
        <v>917</v>
      </c>
      <c r="E1468" s="39"/>
      <c r="F1468" s="39" t="s">
        <v>133</v>
      </c>
      <c r="G1468" s="60"/>
      <c r="H1468" s="58" t="n">
        <v>3848</v>
      </c>
      <c r="I1468" s="39" t="str">
        <f aca="false">A1468&amp;"|"&amp;B1468&amp;"|"&amp;D1468&amp;"|"&amp;E1468&amp;F1468</f>
        <v>home|Lawton|scenario 3 (dwelling $300,000, deductible 1%)|frame</v>
      </c>
      <c r="J1468" s="34" t="n">
        <f aca="false" t="array" ref="J1468:J1468">MEDIAN(IF($I$4:$I$1803=I1468,$H$4:$H$1803))</f>
        <v>5628.5</v>
      </c>
      <c r="K1468" s="59" t="n">
        <f aca="false">H1468/J1468</f>
        <v>0.683663498267745</v>
      </c>
    </row>
    <row r="1469" customFormat="false" ht="15" hidden="false" customHeight="false" outlineLevel="0" collapsed="false">
      <c r="A1469" s="39" t="s">
        <v>912</v>
      </c>
      <c r="B1469" s="39" t="s">
        <v>909</v>
      </c>
      <c r="C1469" s="39" t="s">
        <v>924</v>
      </c>
      <c r="D1469" s="39" t="s">
        <v>917</v>
      </c>
      <c r="E1469" s="39"/>
      <c r="F1469" s="39" t="s">
        <v>915</v>
      </c>
      <c r="G1469" s="60"/>
      <c r="H1469" s="58" t="n">
        <v>3835</v>
      </c>
      <c r="I1469" s="39" t="str">
        <f aca="false">A1469&amp;"|"&amp;B1469&amp;"|"&amp;D1469&amp;"|"&amp;E1469&amp;F1469</f>
        <v>home|Lawton|scenario 3 (dwelling $300,000, deductible 1%)|masonry</v>
      </c>
      <c r="J1469" s="34" t="n">
        <f aca="false" t="array" ref="J1469:J1469">MEDIAN(IF($I$4:$I$1803=I1469,$H$4:$H$1803))</f>
        <v>5640.5</v>
      </c>
      <c r="K1469" s="59" t="n">
        <f aca="false">H1469/J1469</f>
        <v>0.6799042638064</v>
      </c>
    </row>
    <row r="1470" customFormat="false" ht="15" hidden="false" customHeight="false" outlineLevel="0" collapsed="false">
      <c r="A1470" s="39" t="s">
        <v>912</v>
      </c>
      <c r="B1470" s="39" t="s">
        <v>909</v>
      </c>
      <c r="C1470" s="39" t="s">
        <v>924</v>
      </c>
      <c r="D1470" s="39" t="s">
        <v>918</v>
      </c>
      <c r="E1470" s="39"/>
      <c r="F1470" s="39" t="s">
        <v>133</v>
      </c>
      <c r="G1470" s="60"/>
      <c r="H1470" s="58" t="n">
        <v>4867</v>
      </c>
      <c r="I1470" s="39" t="str">
        <f aca="false">A1470&amp;"|"&amp;B1470&amp;"|"&amp;D1470&amp;"|"&amp;E1470&amp;F1470</f>
        <v>home|Lawton|scenario 4 (dwelling $400,000, deductible 1%)|frame</v>
      </c>
      <c r="J1470" s="34" t="n">
        <f aca="false" t="array" ref="J1470:J1470">MEDIAN(IF($I$4:$I$1803=I1470,$H$4:$H$1803))</f>
        <v>6843</v>
      </c>
      <c r="K1470" s="59" t="n">
        <f aca="false">H1470/J1470</f>
        <v>0.711237761215841</v>
      </c>
    </row>
    <row r="1471" customFormat="false" ht="15" hidden="false" customHeight="false" outlineLevel="0" collapsed="false">
      <c r="A1471" s="39" t="s">
        <v>912</v>
      </c>
      <c r="B1471" s="39" t="s">
        <v>909</v>
      </c>
      <c r="C1471" s="39" t="s">
        <v>924</v>
      </c>
      <c r="D1471" s="39" t="s">
        <v>918</v>
      </c>
      <c r="E1471" s="39"/>
      <c r="F1471" s="39" t="s">
        <v>915</v>
      </c>
      <c r="G1471" s="60"/>
      <c r="H1471" s="58" t="n">
        <v>4850</v>
      </c>
      <c r="I1471" s="39" t="str">
        <f aca="false">A1471&amp;"|"&amp;B1471&amp;"|"&amp;D1471&amp;"|"&amp;E1471&amp;F1471</f>
        <v>home|Lawton|scenario 4 (dwelling $400,000, deductible 1%)|masonry</v>
      </c>
      <c r="J1471" s="34" t="n">
        <f aca="false" t="array" ref="J1471:J1471">MEDIAN(IF($I$4:$I$1803=I1471,$H$4:$H$1803))</f>
        <v>7053.5</v>
      </c>
      <c r="K1471" s="59" t="n">
        <f aca="false">H1471/J1471</f>
        <v>0.687601899766074</v>
      </c>
    </row>
    <row r="1472" customFormat="false" ht="15" hidden="false" customHeight="false" outlineLevel="0" collapsed="false">
      <c r="A1472" s="39" t="s">
        <v>912</v>
      </c>
      <c r="B1472" s="39" t="s">
        <v>909</v>
      </c>
      <c r="C1472" s="39" t="s">
        <v>924</v>
      </c>
      <c r="D1472" s="39" t="s">
        <v>919</v>
      </c>
      <c r="E1472" s="39"/>
      <c r="F1472" s="39" t="s">
        <v>133</v>
      </c>
      <c r="G1472" s="60"/>
      <c r="H1472" s="58" t="n">
        <v>5883</v>
      </c>
      <c r="I1472" s="39" t="str">
        <f aca="false">A1472&amp;"|"&amp;B1472&amp;"|"&amp;D1472&amp;"|"&amp;E1472&amp;F1472</f>
        <v>home|Lawton|scenario 5 (dwelling $500,000, deductible 1%)|frame</v>
      </c>
      <c r="J1472" s="34" t="n">
        <f aca="false" t="array" ref="J1472:J1472">MEDIAN(IF($I$4:$I$1803=I1472,$H$4:$H$1803))</f>
        <v>8289.5</v>
      </c>
      <c r="K1472" s="59" t="n">
        <f aca="false">H1472/J1472</f>
        <v>0.709692985101635</v>
      </c>
    </row>
    <row r="1473" customFormat="false" ht="15" hidden="false" customHeight="false" outlineLevel="0" collapsed="false">
      <c r="A1473" s="39" t="s">
        <v>912</v>
      </c>
      <c r="B1473" s="39" t="s">
        <v>909</v>
      </c>
      <c r="C1473" s="39" t="s">
        <v>924</v>
      </c>
      <c r="D1473" s="39" t="s">
        <v>919</v>
      </c>
      <c r="E1473" s="39"/>
      <c r="F1473" s="39" t="s">
        <v>915</v>
      </c>
      <c r="G1473" s="60"/>
      <c r="H1473" s="58" t="n">
        <v>5859</v>
      </c>
      <c r="I1473" s="39" t="str">
        <f aca="false">A1473&amp;"|"&amp;B1473&amp;"|"&amp;D1473&amp;"|"&amp;E1473&amp;F1473</f>
        <v>home|Lawton|scenario 5 (dwelling $500,000, deductible 1%)|masonry</v>
      </c>
      <c r="J1473" s="34" t="n">
        <f aca="false" t="array" ref="J1473:J1473">MEDIAN(IF($I$4:$I$1803=I1473,$H$4:$H$1803))</f>
        <v>7988.5</v>
      </c>
      <c r="K1473" s="59" t="n">
        <f aca="false">H1473/J1473</f>
        <v>0.733429304625399</v>
      </c>
    </row>
    <row r="1474" customFormat="false" ht="15" hidden="false" customHeight="false" outlineLevel="0" collapsed="false">
      <c r="A1474" s="39" t="s">
        <v>912</v>
      </c>
      <c r="B1474" s="39" t="s">
        <v>909</v>
      </c>
      <c r="C1474" s="39" t="s">
        <v>925</v>
      </c>
      <c r="D1474" s="39" t="s">
        <v>914</v>
      </c>
      <c r="E1474" s="39"/>
      <c r="F1474" s="39" t="s">
        <v>133</v>
      </c>
      <c r="G1474" s="60"/>
      <c r="H1474" s="58" t="n">
        <v>2767</v>
      </c>
      <c r="I1474" s="39" t="str">
        <f aca="false">A1474&amp;"|"&amp;B1474&amp;"|"&amp;D1474&amp;"|"&amp;E1474&amp;F1474</f>
        <v>home|Lawton|scenario 1 (dwelling $100,000, deductible 1%)|frame</v>
      </c>
      <c r="J1474" s="34" t="n">
        <f aca="false" t="array" ref="J1474:J1474">MEDIAN(IF($I$4:$I$1803=I1474,$H$4:$H$1803))</f>
        <v>2837.5</v>
      </c>
      <c r="K1474" s="59" t="n">
        <f aca="false">H1474/J1474</f>
        <v>0.975154185022026</v>
      </c>
    </row>
    <row r="1475" customFormat="false" ht="15" hidden="false" customHeight="false" outlineLevel="0" collapsed="false">
      <c r="A1475" s="39" t="s">
        <v>912</v>
      </c>
      <c r="B1475" s="39" t="s">
        <v>909</v>
      </c>
      <c r="C1475" s="39" t="s">
        <v>925</v>
      </c>
      <c r="D1475" s="39" t="s">
        <v>914</v>
      </c>
      <c r="E1475" s="39"/>
      <c r="F1475" s="39" t="s">
        <v>915</v>
      </c>
      <c r="G1475" s="60"/>
      <c r="H1475" s="58" t="n">
        <v>2671</v>
      </c>
      <c r="I1475" s="39" t="str">
        <f aca="false">A1475&amp;"|"&amp;B1475&amp;"|"&amp;D1475&amp;"|"&amp;E1475&amp;F1475</f>
        <v>home|Lawton|scenario 1 (dwelling $100,000, deductible 1%)|masonry</v>
      </c>
      <c r="J1475" s="34" t="n">
        <f aca="false" t="array" ref="J1475:J1475">MEDIAN(IF($I$4:$I$1803=I1475,$H$4:$H$1803))</f>
        <v>2724.5</v>
      </c>
      <c r="K1475" s="59" t="n">
        <f aca="false">H1475/J1475</f>
        <v>0.980363369425583</v>
      </c>
    </row>
    <row r="1476" customFormat="false" ht="15" hidden="false" customHeight="false" outlineLevel="0" collapsed="false">
      <c r="A1476" s="39" t="s">
        <v>912</v>
      </c>
      <c r="B1476" s="39" t="s">
        <v>909</v>
      </c>
      <c r="C1476" s="39" t="s">
        <v>925</v>
      </c>
      <c r="D1476" s="39" t="s">
        <v>916</v>
      </c>
      <c r="E1476" s="39"/>
      <c r="F1476" s="39" t="s">
        <v>133</v>
      </c>
      <c r="G1476" s="60"/>
      <c r="H1476" s="58" t="n">
        <v>3920</v>
      </c>
      <c r="I1476" s="39" t="str">
        <f aca="false">A1476&amp;"|"&amp;B1476&amp;"|"&amp;D1476&amp;"|"&amp;E1476&amp;F1476</f>
        <v>home|Lawton|scenario 2 (dwelling $200,000, deductible 1%)|frame</v>
      </c>
      <c r="J1476" s="34" t="n">
        <f aca="false" t="array" ref="J1476:J1476">MEDIAN(IF($I$4:$I$1803=I1476,$H$4:$H$1803))</f>
        <v>4045</v>
      </c>
      <c r="K1476" s="59" t="n">
        <f aca="false">H1476/J1476</f>
        <v>0.969097651421508</v>
      </c>
    </row>
    <row r="1477" customFormat="false" ht="15" hidden="false" customHeight="false" outlineLevel="0" collapsed="false">
      <c r="A1477" s="39" t="s">
        <v>912</v>
      </c>
      <c r="B1477" s="39" t="s">
        <v>909</v>
      </c>
      <c r="C1477" s="39" t="s">
        <v>925</v>
      </c>
      <c r="D1477" s="39" t="s">
        <v>916</v>
      </c>
      <c r="E1477" s="39"/>
      <c r="F1477" s="39" t="s">
        <v>915</v>
      </c>
      <c r="G1477" s="60"/>
      <c r="H1477" s="58" t="n">
        <v>3772</v>
      </c>
      <c r="I1477" s="39" t="str">
        <f aca="false">A1477&amp;"|"&amp;B1477&amp;"|"&amp;D1477&amp;"|"&amp;E1477&amp;F1477</f>
        <v>home|Lawton|scenario 2 (dwelling $200,000, deductible 1%)|masonry</v>
      </c>
      <c r="J1477" s="34" t="n">
        <f aca="false" t="array" ref="J1477:J1477">MEDIAN(IF($I$4:$I$1803=I1477,$H$4:$H$1803))</f>
        <v>4085.5</v>
      </c>
      <c r="K1477" s="59" t="n">
        <f aca="false">H1477/J1477</f>
        <v>0.923265206217109</v>
      </c>
    </row>
    <row r="1478" customFormat="false" ht="15" hidden="false" customHeight="false" outlineLevel="0" collapsed="false">
      <c r="A1478" s="39" t="s">
        <v>912</v>
      </c>
      <c r="B1478" s="39" t="s">
        <v>909</v>
      </c>
      <c r="C1478" s="39" t="s">
        <v>925</v>
      </c>
      <c r="D1478" s="39" t="s">
        <v>917</v>
      </c>
      <c r="E1478" s="39"/>
      <c r="F1478" s="39" t="s">
        <v>133</v>
      </c>
      <c r="G1478" s="60"/>
      <c r="H1478" s="58" t="n">
        <v>4768</v>
      </c>
      <c r="I1478" s="39" t="str">
        <f aca="false">A1478&amp;"|"&amp;B1478&amp;"|"&amp;D1478&amp;"|"&amp;E1478&amp;F1478</f>
        <v>home|Lawton|scenario 3 (dwelling $300,000, deductible 1%)|frame</v>
      </c>
      <c r="J1478" s="34" t="n">
        <f aca="false" t="array" ref="J1478:J1478">MEDIAN(IF($I$4:$I$1803=I1478,$H$4:$H$1803))</f>
        <v>5628.5</v>
      </c>
      <c r="K1478" s="59" t="n">
        <f aca="false">H1478/J1478</f>
        <v>0.847117349204939</v>
      </c>
    </row>
    <row r="1479" customFormat="false" ht="15" hidden="false" customHeight="false" outlineLevel="0" collapsed="false">
      <c r="A1479" s="39" t="s">
        <v>912</v>
      </c>
      <c r="B1479" s="39" t="s">
        <v>909</v>
      </c>
      <c r="C1479" s="39" t="s">
        <v>925</v>
      </c>
      <c r="D1479" s="39" t="s">
        <v>917</v>
      </c>
      <c r="E1479" s="39"/>
      <c r="F1479" s="39" t="s">
        <v>915</v>
      </c>
      <c r="G1479" s="60"/>
      <c r="H1479" s="58" t="n">
        <v>4579</v>
      </c>
      <c r="I1479" s="39" t="str">
        <f aca="false">A1479&amp;"|"&amp;B1479&amp;"|"&amp;D1479&amp;"|"&amp;E1479&amp;F1479</f>
        <v>home|Lawton|scenario 3 (dwelling $300,000, deductible 1%)|masonry</v>
      </c>
      <c r="J1479" s="34" t="n">
        <f aca="false" t="array" ref="J1479:J1479">MEDIAN(IF($I$4:$I$1803=I1479,$H$4:$H$1803))</f>
        <v>5640.5</v>
      </c>
      <c r="K1479" s="59" t="n">
        <f aca="false">H1479/J1479</f>
        <v>0.811807463877316</v>
      </c>
    </row>
    <row r="1480" customFormat="false" ht="15" hidden="false" customHeight="false" outlineLevel="0" collapsed="false">
      <c r="A1480" s="39" t="s">
        <v>912</v>
      </c>
      <c r="B1480" s="39" t="s">
        <v>909</v>
      </c>
      <c r="C1480" s="39" t="s">
        <v>925</v>
      </c>
      <c r="D1480" s="39" t="s">
        <v>918</v>
      </c>
      <c r="E1480" s="39"/>
      <c r="F1480" s="39" t="s">
        <v>133</v>
      </c>
      <c r="G1480" s="60"/>
      <c r="H1480" s="58" t="n">
        <v>5488</v>
      </c>
      <c r="I1480" s="39" t="str">
        <f aca="false">A1480&amp;"|"&amp;B1480&amp;"|"&amp;D1480&amp;"|"&amp;E1480&amp;F1480</f>
        <v>home|Lawton|scenario 4 (dwelling $400,000, deductible 1%)|frame</v>
      </c>
      <c r="J1480" s="34" t="n">
        <f aca="false" t="array" ref="J1480:J1480">MEDIAN(IF($I$4:$I$1803=I1480,$H$4:$H$1803))</f>
        <v>6843</v>
      </c>
      <c r="K1480" s="59" t="n">
        <f aca="false">H1480/J1480</f>
        <v>0.801987432412684</v>
      </c>
    </row>
    <row r="1481" customFormat="false" ht="15" hidden="false" customHeight="false" outlineLevel="0" collapsed="false">
      <c r="A1481" s="39" t="s">
        <v>912</v>
      </c>
      <c r="B1481" s="39" t="s">
        <v>909</v>
      </c>
      <c r="C1481" s="39" t="s">
        <v>925</v>
      </c>
      <c r="D1481" s="39" t="s">
        <v>918</v>
      </c>
      <c r="E1481" s="39"/>
      <c r="F1481" s="39" t="s">
        <v>915</v>
      </c>
      <c r="G1481" s="60"/>
      <c r="H1481" s="58" t="n">
        <v>5265</v>
      </c>
      <c r="I1481" s="39" t="str">
        <f aca="false">A1481&amp;"|"&amp;B1481&amp;"|"&amp;D1481&amp;"|"&amp;E1481&amp;F1481</f>
        <v>home|Lawton|scenario 4 (dwelling $400,000, deductible 1%)|masonry</v>
      </c>
      <c r="J1481" s="34" t="n">
        <f aca="false" t="array" ref="J1481:J1481">MEDIAN(IF($I$4:$I$1803=I1481,$H$4:$H$1803))</f>
        <v>7053.5</v>
      </c>
      <c r="K1481" s="59" t="n">
        <f aca="false">H1481/J1481</f>
        <v>0.746437938612037</v>
      </c>
    </row>
    <row r="1482" customFormat="false" ht="15" hidden="false" customHeight="false" outlineLevel="0" collapsed="false">
      <c r="A1482" s="39" t="s">
        <v>912</v>
      </c>
      <c r="B1482" s="39" t="s">
        <v>909</v>
      </c>
      <c r="C1482" s="39" t="s">
        <v>925</v>
      </c>
      <c r="D1482" s="39" t="s">
        <v>919</v>
      </c>
      <c r="E1482" s="39"/>
      <c r="F1482" s="39" t="s">
        <v>133</v>
      </c>
      <c r="G1482" s="60"/>
      <c r="H1482" s="58" t="n">
        <v>6061</v>
      </c>
      <c r="I1482" s="39" t="str">
        <f aca="false">A1482&amp;"|"&amp;B1482&amp;"|"&amp;D1482&amp;"|"&amp;E1482&amp;F1482</f>
        <v>home|Lawton|scenario 5 (dwelling $500,000, deductible 1%)|frame</v>
      </c>
      <c r="J1482" s="34" t="n">
        <f aca="false" t="array" ref="J1482:J1482">MEDIAN(IF($I$4:$I$1803=I1482,$H$4:$H$1803))</f>
        <v>8289.5</v>
      </c>
      <c r="K1482" s="59" t="n">
        <f aca="false">H1482/J1482</f>
        <v>0.731165932806563</v>
      </c>
    </row>
    <row r="1483" customFormat="false" ht="15" hidden="false" customHeight="false" outlineLevel="0" collapsed="false">
      <c r="A1483" s="39" t="s">
        <v>912</v>
      </c>
      <c r="B1483" s="39" t="s">
        <v>909</v>
      </c>
      <c r="C1483" s="39" t="s">
        <v>925</v>
      </c>
      <c r="D1483" s="39" t="s">
        <v>919</v>
      </c>
      <c r="E1483" s="39"/>
      <c r="F1483" s="39" t="s">
        <v>915</v>
      </c>
      <c r="G1483" s="60"/>
      <c r="H1483" s="58" t="n">
        <v>5808</v>
      </c>
      <c r="I1483" s="39" t="str">
        <f aca="false">A1483&amp;"|"&amp;B1483&amp;"|"&amp;D1483&amp;"|"&amp;E1483&amp;F1483</f>
        <v>home|Lawton|scenario 5 (dwelling $500,000, deductible 1%)|masonry</v>
      </c>
      <c r="J1483" s="34" t="n">
        <f aca="false" t="array" ref="J1483:J1483">MEDIAN(IF($I$4:$I$1803=I1483,$H$4:$H$1803))</f>
        <v>7988.5</v>
      </c>
      <c r="K1483" s="59" t="n">
        <f aca="false">H1483/J1483</f>
        <v>0.727045127370595</v>
      </c>
    </row>
    <row r="1484" customFormat="false" ht="15" hidden="false" customHeight="false" outlineLevel="0" collapsed="false">
      <c r="A1484" s="39" t="s">
        <v>912</v>
      </c>
      <c r="B1484" s="39" t="s">
        <v>909</v>
      </c>
      <c r="C1484" s="39" t="s">
        <v>926</v>
      </c>
      <c r="D1484" s="39" t="s">
        <v>914</v>
      </c>
      <c r="E1484" s="39"/>
      <c r="F1484" s="39" t="s">
        <v>133</v>
      </c>
      <c r="G1484" s="60"/>
      <c r="H1484" s="58" t="n">
        <v>3435</v>
      </c>
      <c r="I1484" s="39" t="str">
        <f aca="false">A1484&amp;"|"&amp;B1484&amp;"|"&amp;D1484&amp;"|"&amp;E1484&amp;F1484</f>
        <v>home|Lawton|scenario 1 (dwelling $100,000, deductible 1%)|frame</v>
      </c>
      <c r="J1484" s="34" t="n">
        <f aca="false" t="array" ref="J1484:J1484">MEDIAN(IF($I$4:$I$1803=I1484,$H$4:$H$1803))</f>
        <v>2837.5</v>
      </c>
      <c r="K1484" s="59" t="n">
        <f aca="false">H1484/J1484</f>
        <v>1.21057268722467</v>
      </c>
    </row>
    <row r="1485" customFormat="false" ht="15" hidden="false" customHeight="false" outlineLevel="0" collapsed="false">
      <c r="A1485" s="39" t="s">
        <v>912</v>
      </c>
      <c r="B1485" s="39" t="s">
        <v>909</v>
      </c>
      <c r="C1485" s="39" t="s">
        <v>926</v>
      </c>
      <c r="D1485" s="39" t="s">
        <v>914</v>
      </c>
      <c r="E1485" s="39"/>
      <c r="F1485" s="39" t="s">
        <v>915</v>
      </c>
      <c r="G1485" s="60"/>
      <c r="H1485" s="58" t="n">
        <v>3547</v>
      </c>
      <c r="I1485" s="39" t="str">
        <f aca="false">A1485&amp;"|"&amp;B1485&amp;"|"&amp;D1485&amp;"|"&amp;E1485&amp;F1485</f>
        <v>home|Lawton|scenario 1 (dwelling $100,000, deductible 1%)|masonry</v>
      </c>
      <c r="J1485" s="34" t="n">
        <f aca="false" t="array" ref="J1485:J1485">MEDIAN(IF($I$4:$I$1803=I1485,$H$4:$H$1803))</f>
        <v>2724.5</v>
      </c>
      <c r="K1485" s="59" t="n">
        <f aca="false">H1485/J1485</f>
        <v>1.30189025509268</v>
      </c>
    </row>
    <row r="1486" customFormat="false" ht="15" hidden="false" customHeight="false" outlineLevel="0" collapsed="false">
      <c r="A1486" s="39" t="s">
        <v>912</v>
      </c>
      <c r="B1486" s="39" t="s">
        <v>909</v>
      </c>
      <c r="C1486" s="39" t="s">
        <v>926</v>
      </c>
      <c r="D1486" s="39" t="s">
        <v>916</v>
      </c>
      <c r="E1486" s="39"/>
      <c r="F1486" s="39" t="s">
        <v>133</v>
      </c>
      <c r="G1486" s="60"/>
      <c r="H1486" s="58" t="n">
        <v>4257</v>
      </c>
      <c r="I1486" s="39" t="str">
        <f aca="false">A1486&amp;"|"&amp;B1486&amp;"|"&amp;D1486&amp;"|"&amp;E1486&amp;F1486</f>
        <v>home|Lawton|scenario 2 (dwelling $200,000, deductible 1%)|frame</v>
      </c>
      <c r="J1486" s="34" t="n">
        <f aca="false" t="array" ref="J1486:J1486">MEDIAN(IF($I$4:$I$1803=I1486,$H$4:$H$1803))</f>
        <v>4045</v>
      </c>
      <c r="K1486" s="59" t="n">
        <f aca="false">H1486/J1486</f>
        <v>1.05241038318912</v>
      </c>
    </row>
    <row r="1487" customFormat="false" ht="15" hidden="false" customHeight="false" outlineLevel="0" collapsed="false">
      <c r="A1487" s="39" t="s">
        <v>912</v>
      </c>
      <c r="B1487" s="39" t="s">
        <v>909</v>
      </c>
      <c r="C1487" s="39" t="s">
        <v>926</v>
      </c>
      <c r="D1487" s="39" t="s">
        <v>916</v>
      </c>
      <c r="E1487" s="39"/>
      <c r="F1487" s="39" t="s">
        <v>915</v>
      </c>
      <c r="G1487" s="60"/>
      <c r="H1487" s="58" t="n">
        <v>4399</v>
      </c>
      <c r="I1487" s="39" t="str">
        <f aca="false">A1487&amp;"|"&amp;B1487&amp;"|"&amp;D1487&amp;"|"&amp;E1487&amp;F1487</f>
        <v>home|Lawton|scenario 2 (dwelling $200,000, deductible 1%)|masonry</v>
      </c>
      <c r="J1487" s="34" t="n">
        <f aca="false" t="array" ref="J1487:J1487">MEDIAN(IF($I$4:$I$1803=I1487,$H$4:$H$1803))</f>
        <v>4085.5</v>
      </c>
      <c r="K1487" s="59" t="n">
        <f aca="false">H1487/J1487</f>
        <v>1.07673479378289</v>
      </c>
    </row>
    <row r="1488" customFormat="false" ht="15" hidden="false" customHeight="false" outlineLevel="0" collapsed="false">
      <c r="A1488" s="39" t="s">
        <v>912</v>
      </c>
      <c r="B1488" s="39" t="s">
        <v>909</v>
      </c>
      <c r="C1488" s="39" t="s">
        <v>926</v>
      </c>
      <c r="D1488" s="39" t="s">
        <v>917</v>
      </c>
      <c r="E1488" s="39"/>
      <c r="F1488" s="39" t="s">
        <v>133</v>
      </c>
      <c r="G1488" s="60"/>
      <c r="H1488" s="58" t="n">
        <v>5736</v>
      </c>
      <c r="I1488" s="39" t="str">
        <f aca="false">A1488&amp;"|"&amp;B1488&amp;"|"&amp;D1488&amp;"|"&amp;E1488&amp;F1488</f>
        <v>home|Lawton|scenario 3 (dwelling $300,000, deductible 1%)|frame</v>
      </c>
      <c r="J1488" s="34" t="n">
        <f aca="false" t="array" ref="J1488:J1488">MEDIAN(IF($I$4:$I$1803=I1488,$H$4:$H$1803))</f>
        <v>5628.5</v>
      </c>
      <c r="K1488" s="59" t="n">
        <f aca="false">H1488/J1488</f>
        <v>1.01909922714755</v>
      </c>
    </row>
    <row r="1489" customFormat="false" ht="15" hidden="false" customHeight="false" outlineLevel="0" collapsed="false">
      <c r="A1489" s="39" t="s">
        <v>912</v>
      </c>
      <c r="B1489" s="39" t="s">
        <v>909</v>
      </c>
      <c r="C1489" s="39" t="s">
        <v>926</v>
      </c>
      <c r="D1489" s="39" t="s">
        <v>917</v>
      </c>
      <c r="E1489" s="39"/>
      <c r="F1489" s="39" t="s">
        <v>915</v>
      </c>
      <c r="G1489" s="60"/>
      <c r="H1489" s="58" t="n">
        <v>5922</v>
      </c>
      <c r="I1489" s="39" t="str">
        <f aca="false">A1489&amp;"|"&amp;B1489&amp;"|"&amp;D1489&amp;"|"&amp;E1489&amp;F1489</f>
        <v>home|Lawton|scenario 3 (dwelling $300,000, deductible 1%)|masonry</v>
      </c>
      <c r="J1489" s="34" t="n">
        <f aca="false" t="array" ref="J1489:J1489">MEDIAN(IF($I$4:$I$1803=I1489,$H$4:$H$1803))</f>
        <v>5640.5</v>
      </c>
      <c r="K1489" s="59" t="n">
        <f aca="false">H1489/J1489</f>
        <v>1.04990692314511</v>
      </c>
    </row>
    <row r="1490" customFormat="false" ht="15" hidden="false" customHeight="false" outlineLevel="0" collapsed="false">
      <c r="A1490" s="39" t="s">
        <v>912</v>
      </c>
      <c r="B1490" s="39" t="s">
        <v>909</v>
      </c>
      <c r="C1490" s="39" t="s">
        <v>926</v>
      </c>
      <c r="D1490" s="39" t="s">
        <v>918</v>
      </c>
      <c r="E1490" s="39"/>
      <c r="F1490" s="39" t="s">
        <v>133</v>
      </c>
      <c r="G1490" s="60"/>
      <c r="H1490" s="58" t="n">
        <v>6720</v>
      </c>
      <c r="I1490" s="39" t="str">
        <f aca="false">A1490&amp;"|"&amp;B1490&amp;"|"&amp;D1490&amp;"|"&amp;E1490&amp;F1490</f>
        <v>home|Lawton|scenario 4 (dwelling $400,000, deductible 1%)|frame</v>
      </c>
      <c r="J1490" s="34" t="n">
        <f aca="false" t="array" ref="J1490:J1490">MEDIAN(IF($I$4:$I$1803=I1490,$H$4:$H$1803))</f>
        <v>6843</v>
      </c>
      <c r="K1490" s="59" t="n">
        <f aca="false">H1490/J1490</f>
        <v>0.982025427444104</v>
      </c>
    </row>
    <row r="1491" customFormat="false" ht="15" hidden="false" customHeight="false" outlineLevel="0" collapsed="false">
      <c r="A1491" s="39" t="s">
        <v>912</v>
      </c>
      <c r="B1491" s="39" t="s">
        <v>909</v>
      </c>
      <c r="C1491" s="39" t="s">
        <v>926</v>
      </c>
      <c r="D1491" s="39" t="s">
        <v>918</v>
      </c>
      <c r="E1491" s="39"/>
      <c r="F1491" s="39" t="s">
        <v>915</v>
      </c>
      <c r="G1491" s="60"/>
      <c r="H1491" s="58" t="n">
        <v>6944</v>
      </c>
      <c r="I1491" s="39" t="str">
        <f aca="false">A1491&amp;"|"&amp;B1491&amp;"|"&amp;D1491&amp;"|"&amp;E1491&amp;F1491</f>
        <v>home|Lawton|scenario 4 (dwelling $400,000, deductible 1%)|masonry</v>
      </c>
      <c r="J1491" s="34" t="n">
        <f aca="false" t="array" ref="J1491:J1491">MEDIAN(IF($I$4:$I$1803=I1491,$H$4:$H$1803))</f>
        <v>7053.5</v>
      </c>
      <c r="K1491" s="59" t="n">
        <f aca="false">H1491/J1491</f>
        <v>0.984475792159921</v>
      </c>
    </row>
    <row r="1492" customFormat="false" ht="15" hidden="false" customHeight="false" outlineLevel="0" collapsed="false">
      <c r="A1492" s="39" t="s">
        <v>912</v>
      </c>
      <c r="B1492" s="39" t="s">
        <v>909</v>
      </c>
      <c r="C1492" s="39" t="s">
        <v>926</v>
      </c>
      <c r="D1492" s="39" t="s">
        <v>919</v>
      </c>
      <c r="E1492" s="39"/>
      <c r="F1492" s="39" t="s">
        <v>133</v>
      </c>
      <c r="G1492" s="60"/>
      <c r="H1492" s="58" t="n">
        <v>7618</v>
      </c>
      <c r="I1492" s="39" t="str">
        <f aca="false">A1492&amp;"|"&amp;B1492&amp;"|"&amp;D1492&amp;"|"&amp;E1492&amp;F1492</f>
        <v>home|Lawton|scenario 5 (dwelling $500,000, deductible 1%)|frame</v>
      </c>
      <c r="J1492" s="34" t="n">
        <f aca="false" t="array" ref="J1492:J1492">MEDIAN(IF($I$4:$I$1803=I1492,$H$4:$H$1803))</f>
        <v>8289.5</v>
      </c>
      <c r="K1492" s="59" t="n">
        <f aca="false">H1492/J1492</f>
        <v>0.918993907955848</v>
      </c>
    </row>
    <row r="1493" customFormat="false" ht="15" hidden="false" customHeight="false" outlineLevel="0" collapsed="false">
      <c r="A1493" s="39" t="s">
        <v>912</v>
      </c>
      <c r="B1493" s="39" t="s">
        <v>909</v>
      </c>
      <c r="C1493" s="39" t="s">
        <v>926</v>
      </c>
      <c r="D1493" s="39" t="s">
        <v>919</v>
      </c>
      <c r="E1493" s="39"/>
      <c r="F1493" s="39" t="s">
        <v>915</v>
      </c>
      <c r="G1493" s="60"/>
      <c r="H1493" s="58" t="n">
        <v>7881</v>
      </c>
      <c r="I1493" s="39" t="str">
        <f aca="false">A1493&amp;"|"&amp;B1493&amp;"|"&amp;D1493&amp;"|"&amp;E1493&amp;F1493</f>
        <v>home|Lawton|scenario 5 (dwelling $500,000, deductible 1%)|masonry</v>
      </c>
      <c r="J1493" s="34" t="n">
        <f aca="false" t="array" ref="J1493:J1493">MEDIAN(IF($I$4:$I$1803=I1493,$H$4:$H$1803))</f>
        <v>7988.5</v>
      </c>
      <c r="K1493" s="59" t="n">
        <f aca="false">H1493/J1493</f>
        <v>0.986543155786443</v>
      </c>
    </row>
    <row r="1494" customFormat="false" ht="15" hidden="false" customHeight="false" outlineLevel="0" collapsed="false">
      <c r="A1494" s="39" t="s">
        <v>912</v>
      </c>
      <c r="B1494" s="39" t="s">
        <v>909</v>
      </c>
      <c r="C1494" s="39" t="s">
        <v>927</v>
      </c>
      <c r="D1494" s="39" t="s">
        <v>914</v>
      </c>
      <c r="E1494" s="39"/>
      <c r="F1494" s="39" t="s">
        <v>133</v>
      </c>
      <c r="G1494" s="60"/>
      <c r="H1494" s="58" t="n">
        <v>1690</v>
      </c>
      <c r="I1494" s="39" t="str">
        <f aca="false">A1494&amp;"|"&amp;B1494&amp;"|"&amp;D1494&amp;"|"&amp;E1494&amp;F1494</f>
        <v>home|Lawton|scenario 1 (dwelling $100,000, deductible 1%)|frame</v>
      </c>
      <c r="J1494" s="34" t="n">
        <f aca="false" t="array" ref="J1494:J1494">MEDIAN(IF($I$4:$I$1803=I1494,$H$4:$H$1803))</f>
        <v>2837.5</v>
      </c>
      <c r="K1494" s="59" t="n">
        <f aca="false">H1494/J1494</f>
        <v>0.595594713656388</v>
      </c>
    </row>
    <row r="1495" customFormat="false" ht="15" hidden="false" customHeight="false" outlineLevel="0" collapsed="false">
      <c r="A1495" s="39" t="s">
        <v>912</v>
      </c>
      <c r="B1495" s="39" t="s">
        <v>909</v>
      </c>
      <c r="C1495" s="39" t="s">
        <v>927</v>
      </c>
      <c r="D1495" s="39" t="s">
        <v>914</v>
      </c>
      <c r="E1495" s="39"/>
      <c r="F1495" s="39" t="s">
        <v>915</v>
      </c>
      <c r="G1495" s="60"/>
      <c r="H1495" s="58" t="n">
        <v>1644</v>
      </c>
      <c r="I1495" s="39" t="str">
        <f aca="false">A1495&amp;"|"&amp;B1495&amp;"|"&amp;D1495&amp;"|"&amp;E1495&amp;F1495</f>
        <v>home|Lawton|scenario 1 (dwelling $100,000, deductible 1%)|masonry</v>
      </c>
      <c r="J1495" s="34" t="n">
        <f aca="false" t="array" ref="J1495:J1495">MEDIAN(IF($I$4:$I$1803=I1495,$H$4:$H$1803))</f>
        <v>2724.5</v>
      </c>
      <c r="K1495" s="59" t="n">
        <f aca="false">H1495/J1495</f>
        <v>0.603413470361534</v>
      </c>
    </row>
    <row r="1496" customFormat="false" ht="15" hidden="false" customHeight="false" outlineLevel="0" collapsed="false">
      <c r="A1496" s="39" t="s">
        <v>912</v>
      </c>
      <c r="B1496" s="39" t="s">
        <v>909</v>
      </c>
      <c r="C1496" s="39" t="s">
        <v>927</v>
      </c>
      <c r="D1496" s="39" t="s">
        <v>916</v>
      </c>
      <c r="E1496" s="39"/>
      <c r="F1496" s="39" t="s">
        <v>133</v>
      </c>
      <c r="G1496" s="60"/>
      <c r="H1496" s="58" t="n">
        <v>2168</v>
      </c>
      <c r="I1496" s="39" t="str">
        <f aca="false">A1496&amp;"|"&amp;B1496&amp;"|"&amp;D1496&amp;"|"&amp;E1496&amp;F1496</f>
        <v>home|Lawton|scenario 2 (dwelling $200,000, deductible 1%)|frame</v>
      </c>
      <c r="J1496" s="34" t="n">
        <f aca="false" t="array" ref="J1496:J1496">MEDIAN(IF($I$4:$I$1803=I1496,$H$4:$H$1803))</f>
        <v>4045</v>
      </c>
      <c r="K1496" s="59" t="n">
        <f aca="false">H1496/J1496</f>
        <v>0.535970333745365</v>
      </c>
    </row>
    <row r="1497" customFormat="false" ht="15" hidden="false" customHeight="false" outlineLevel="0" collapsed="false">
      <c r="A1497" s="39" t="s">
        <v>912</v>
      </c>
      <c r="B1497" s="39" t="s">
        <v>909</v>
      </c>
      <c r="C1497" s="39" t="s">
        <v>927</v>
      </c>
      <c r="D1497" s="39" t="s">
        <v>916</v>
      </c>
      <c r="E1497" s="39"/>
      <c r="F1497" s="39" t="s">
        <v>915</v>
      </c>
      <c r="G1497" s="60"/>
      <c r="H1497" s="58" t="n">
        <v>2105</v>
      </c>
      <c r="I1497" s="39" t="str">
        <f aca="false">A1497&amp;"|"&amp;B1497&amp;"|"&amp;D1497&amp;"|"&amp;E1497&amp;F1497</f>
        <v>home|Lawton|scenario 2 (dwelling $200,000, deductible 1%)|masonry</v>
      </c>
      <c r="J1497" s="34" t="n">
        <f aca="false" t="array" ref="J1497:J1497">MEDIAN(IF($I$4:$I$1803=I1497,$H$4:$H$1803))</f>
        <v>4085.5</v>
      </c>
      <c r="K1497" s="59" t="n">
        <f aca="false">H1497/J1497</f>
        <v>0.515236813119569</v>
      </c>
    </row>
    <row r="1498" customFormat="false" ht="15" hidden="false" customHeight="false" outlineLevel="0" collapsed="false">
      <c r="A1498" s="39" t="s">
        <v>912</v>
      </c>
      <c r="B1498" s="39" t="s">
        <v>909</v>
      </c>
      <c r="C1498" s="39" t="s">
        <v>927</v>
      </c>
      <c r="D1498" s="39" t="s">
        <v>917</v>
      </c>
      <c r="E1498" s="39"/>
      <c r="F1498" s="39" t="s">
        <v>133</v>
      </c>
      <c r="G1498" s="60"/>
      <c r="H1498" s="58" t="n">
        <v>2828</v>
      </c>
      <c r="I1498" s="39" t="str">
        <f aca="false">A1498&amp;"|"&amp;B1498&amp;"|"&amp;D1498&amp;"|"&amp;E1498&amp;F1498</f>
        <v>home|Lawton|scenario 3 (dwelling $300,000, deductible 1%)|frame</v>
      </c>
      <c r="J1498" s="34" t="n">
        <f aca="false" t="array" ref="J1498:J1498">MEDIAN(IF($I$4:$I$1803=I1498,$H$4:$H$1803))</f>
        <v>5628.5</v>
      </c>
      <c r="K1498" s="59" t="n">
        <f aca="false">H1498/J1498</f>
        <v>0.502442924402594</v>
      </c>
    </row>
    <row r="1499" customFormat="false" ht="15" hidden="false" customHeight="false" outlineLevel="0" collapsed="false">
      <c r="A1499" s="39" t="s">
        <v>912</v>
      </c>
      <c r="B1499" s="39" t="s">
        <v>909</v>
      </c>
      <c r="C1499" s="39" t="s">
        <v>927</v>
      </c>
      <c r="D1499" s="39" t="s">
        <v>917</v>
      </c>
      <c r="E1499" s="39"/>
      <c r="F1499" s="39" t="s">
        <v>915</v>
      </c>
      <c r="G1499" s="60"/>
      <c r="H1499" s="58" t="n">
        <v>2746</v>
      </c>
      <c r="I1499" s="39" t="str">
        <f aca="false">A1499&amp;"|"&amp;B1499&amp;"|"&amp;D1499&amp;"|"&amp;E1499&amp;F1499</f>
        <v>home|Lawton|scenario 3 (dwelling $300,000, deductible 1%)|masonry</v>
      </c>
      <c r="J1499" s="34" t="n">
        <f aca="false" t="array" ref="J1499:J1499">MEDIAN(IF($I$4:$I$1803=I1499,$H$4:$H$1803))</f>
        <v>5640.5</v>
      </c>
      <c r="K1499" s="59" t="n">
        <f aca="false">H1499/J1499</f>
        <v>0.48683627338002</v>
      </c>
    </row>
    <row r="1500" customFormat="false" ht="15" hidden="false" customHeight="false" outlineLevel="0" collapsed="false">
      <c r="A1500" s="39" t="s">
        <v>912</v>
      </c>
      <c r="B1500" s="39" t="s">
        <v>909</v>
      </c>
      <c r="C1500" s="39" t="s">
        <v>927</v>
      </c>
      <c r="D1500" s="39" t="s">
        <v>918</v>
      </c>
      <c r="E1500" s="39"/>
      <c r="F1500" s="39" t="s">
        <v>133</v>
      </c>
      <c r="G1500" s="60"/>
      <c r="H1500" s="58" t="n">
        <v>3401</v>
      </c>
      <c r="I1500" s="39" t="str">
        <f aca="false">A1500&amp;"|"&amp;B1500&amp;"|"&amp;D1500&amp;"|"&amp;E1500&amp;F1500</f>
        <v>home|Lawton|scenario 4 (dwelling $400,000, deductible 1%)|frame</v>
      </c>
      <c r="J1500" s="34" t="n">
        <f aca="false" t="array" ref="J1500:J1500">MEDIAN(IF($I$4:$I$1803=I1500,$H$4:$H$1803))</f>
        <v>6843</v>
      </c>
      <c r="K1500" s="59" t="n">
        <f aca="false">H1500/J1500</f>
        <v>0.497004237907351</v>
      </c>
    </row>
    <row r="1501" customFormat="false" ht="15" hidden="false" customHeight="false" outlineLevel="0" collapsed="false">
      <c r="A1501" s="39" t="s">
        <v>912</v>
      </c>
      <c r="B1501" s="39" t="s">
        <v>909</v>
      </c>
      <c r="C1501" s="39" t="s">
        <v>927</v>
      </c>
      <c r="D1501" s="39" t="s">
        <v>918</v>
      </c>
      <c r="E1501" s="39"/>
      <c r="F1501" s="39" t="s">
        <v>915</v>
      </c>
      <c r="G1501" s="60"/>
      <c r="H1501" s="58" t="n">
        <v>3300</v>
      </c>
      <c r="I1501" s="39" t="str">
        <f aca="false">A1501&amp;"|"&amp;B1501&amp;"|"&amp;D1501&amp;"|"&amp;E1501&amp;F1501</f>
        <v>home|Lawton|scenario 4 (dwelling $400,000, deductible 1%)|masonry</v>
      </c>
      <c r="J1501" s="34" t="n">
        <f aca="false" t="array" ref="J1501:J1501">MEDIAN(IF($I$4:$I$1803=I1501,$H$4:$H$1803))</f>
        <v>7053.5</v>
      </c>
      <c r="K1501" s="59" t="n">
        <f aca="false">H1501/J1501</f>
        <v>0.467852839016091</v>
      </c>
    </row>
    <row r="1502" customFormat="false" ht="15" hidden="false" customHeight="false" outlineLevel="0" collapsed="false">
      <c r="A1502" s="39" t="s">
        <v>912</v>
      </c>
      <c r="B1502" s="39" t="s">
        <v>909</v>
      </c>
      <c r="C1502" s="39" t="s">
        <v>927</v>
      </c>
      <c r="D1502" s="39" t="s">
        <v>919</v>
      </c>
      <c r="E1502" s="39"/>
      <c r="F1502" s="39" t="s">
        <v>133</v>
      </c>
      <c r="G1502" s="60"/>
      <c r="H1502" s="58" t="n">
        <v>4035</v>
      </c>
      <c r="I1502" s="39" t="str">
        <f aca="false">A1502&amp;"|"&amp;B1502&amp;"|"&amp;D1502&amp;"|"&amp;E1502&amp;F1502</f>
        <v>home|Lawton|scenario 5 (dwelling $500,000, deductible 1%)|frame</v>
      </c>
      <c r="J1502" s="34" t="n">
        <f aca="false" t="array" ref="J1502:J1502">MEDIAN(IF($I$4:$I$1803=I1502,$H$4:$H$1803))</f>
        <v>8289.5</v>
      </c>
      <c r="K1502" s="59" t="n">
        <f aca="false">H1502/J1502</f>
        <v>0.486760359490922</v>
      </c>
    </row>
    <row r="1503" customFormat="false" ht="15" hidden="false" customHeight="false" outlineLevel="0" collapsed="false">
      <c r="A1503" s="39" t="s">
        <v>912</v>
      </c>
      <c r="B1503" s="39" t="s">
        <v>909</v>
      </c>
      <c r="C1503" s="39" t="s">
        <v>927</v>
      </c>
      <c r="D1503" s="39" t="s">
        <v>919</v>
      </c>
      <c r="E1503" s="39"/>
      <c r="F1503" s="39" t="s">
        <v>915</v>
      </c>
      <c r="G1503" s="60"/>
      <c r="H1503" s="58" t="n">
        <v>3914</v>
      </c>
      <c r="I1503" s="39" t="str">
        <f aca="false">A1503&amp;"|"&amp;B1503&amp;"|"&amp;D1503&amp;"|"&amp;E1503&amp;F1503</f>
        <v>home|Lawton|scenario 5 (dwelling $500,000, deductible 1%)|masonry</v>
      </c>
      <c r="J1503" s="34" t="n">
        <f aca="false" t="array" ref="J1503:J1503">MEDIAN(IF($I$4:$I$1803=I1503,$H$4:$H$1803))</f>
        <v>7988.5</v>
      </c>
      <c r="K1503" s="59" t="n">
        <f aca="false">H1503/J1503</f>
        <v>0.489954309319647</v>
      </c>
    </row>
    <row r="1504" customFormat="false" ht="15" hidden="false" customHeight="false" outlineLevel="0" collapsed="false">
      <c r="A1504" s="39" t="s">
        <v>912</v>
      </c>
      <c r="B1504" s="39" t="s">
        <v>909</v>
      </c>
      <c r="C1504" s="39" t="s">
        <v>928</v>
      </c>
      <c r="D1504" s="39" t="s">
        <v>914</v>
      </c>
      <c r="E1504" s="39"/>
      <c r="F1504" s="39" t="s">
        <v>133</v>
      </c>
      <c r="G1504" s="60"/>
      <c r="H1504" s="58" t="n">
        <v>1027</v>
      </c>
      <c r="I1504" s="39" t="str">
        <f aca="false">A1504&amp;"|"&amp;B1504&amp;"|"&amp;D1504&amp;"|"&amp;E1504&amp;F1504</f>
        <v>home|Lawton|scenario 1 (dwelling $100,000, deductible 1%)|frame</v>
      </c>
      <c r="J1504" s="34" t="n">
        <f aca="false" t="array" ref="J1504:J1504">MEDIAN(IF($I$4:$I$1803=I1504,$H$4:$H$1803))</f>
        <v>2837.5</v>
      </c>
      <c r="K1504" s="59" t="n">
        <f aca="false">H1504/J1504</f>
        <v>0.361938325991189</v>
      </c>
    </row>
    <row r="1505" customFormat="false" ht="15" hidden="false" customHeight="false" outlineLevel="0" collapsed="false">
      <c r="A1505" s="39" t="s">
        <v>912</v>
      </c>
      <c r="B1505" s="39" t="s">
        <v>909</v>
      </c>
      <c r="C1505" s="39" t="s">
        <v>928</v>
      </c>
      <c r="D1505" s="39" t="s">
        <v>914</v>
      </c>
      <c r="E1505" s="39"/>
      <c r="F1505" s="39" t="s">
        <v>915</v>
      </c>
      <c r="G1505" s="60"/>
      <c r="H1505" s="58" t="n">
        <v>1072</v>
      </c>
      <c r="I1505" s="39" t="str">
        <f aca="false">A1505&amp;"|"&amp;B1505&amp;"|"&amp;D1505&amp;"|"&amp;E1505&amp;F1505</f>
        <v>home|Lawton|scenario 1 (dwelling $100,000, deductible 1%)|masonry</v>
      </c>
      <c r="J1505" s="34" t="n">
        <f aca="false" t="array" ref="J1505:J1505">MEDIAN(IF($I$4:$I$1803=I1505,$H$4:$H$1803))</f>
        <v>2724.5</v>
      </c>
      <c r="K1505" s="59" t="n">
        <f aca="false">H1505/J1505</f>
        <v>0.393466691135988</v>
      </c>
    </row>
    <row r="1506" customFormat="false" ht="15" hidden="false" customHeight="false" outlineLevel="0" collapsed="false">
      <c r="A1506" s="39" t="s">
        <v>912</v>
      </c>
      <c r="B1506" s="39" t="s">
        <v>909</v>
      </c>
      <c r="C1506" s="39" t="s">
        <v>928</v>
      </c>
      <c r="D1506" s="39" t="s">
        <v>916</v>
      </c>
      <c r="E1506" s="39"/>
      <c r="F1506" s="39" t="s">
        <v>133</v>
      </c>
      <c r="G1506" s="60"/>
      <c r="H1506" s="58" t="n">
        <v>1613</v>
      </c>
      <c r="I1506" s="39" t="str">
        <f aca="false">A1506&amp;"|"&amp;B1506&amp;"|"&amp;D1506&amp;"|"&amp;E1506&amp;F1506</f>
        <v>home|Lawton|scenario 2 (dwelling $200,000, deductible 1%)|frame</v>
      </c>
      <c r="J1506" s="34" t="n">
        <f aca="false" t="array" ref="J1506:J1506">MEDIAN(IF($I$4:$I$1803=I1506,$H$4:$H$1803))</f>
        <v>4045</v>
      </c>
      <c r="K1506" s="59" t="n">
        <f aca="false">H1506/J1506</f>
        <v>0.39876390605686</v>
      </c>
    </row>
    <row r="1507" customFormat="false" ht="15" hidden="false" customHeight="false" outlineLevel="0" collapsed="false">
      <c r="A1507" s="39" t="s">
        <v>912</v>
      </c>
      <c r="B1507" s="39" t="s">
        <v>909</v>
      </c>
      <c r="C1507" s="39" t="s">
        <v>928</v>
      </c>
      <c r="D1507" s="39" t="s">
        <v>916</v>
      </c>
      <c r="E1507" s="39"/>
      <c r="F1507" s="39" t="s">
        <v>915</v>
      </c>
      <c r="G1507" s="60"/>
      <c r="H1507" s="58" t="n">
        <v>1704</v>
      </c>
      <c r="I1507" s="39" t="str">
        <f aca="false">A1507&amp;"|"&amp;B1507&amp;"|"&amp;D1507&amp;"|"&amp;E1507&amp;F1507</f>
        <v>home|Lawton|scenario 2 (dwelling $200,000, deductible 1%)|masonry</v>
      </c>
      <c r="J1507" s="34" t="n">
        <f aca="false" t="array" ref="J1507:J1507">MEDIAN(IF($I$4:$I$1803=I1507,$H$4:$H$1803))</f>
        <v>4085.5</v>
      </c>
      <c r="K1507" s="59" t="n">
        <f aca="false">H1507/J1507</f>
        <v>0.417084812140497</v>
      </c>
    </row>
    <row r="1508" customFormat="false" ht="15" hidden="false" customHeight="false" outlineLevel="0" collapsed="false">
      <c r="A1508" s="39" t="s">
        <v>912</v>
      </c>
      <c r="B1508" s="39" t="s">
        <v>909</v>
      </c>
      <c r="C1508" s="39" t="s">
        <v>928</v>
      </c>
      <c r="D1508" s="39" t="s">
        <v>917</v>
      </c>
      <c r="E1508" s="39"/>
      <c r="F1508" s="39" t="s">
        <v>133</v>
      </c>
      <c r="G1508" s="60"/>
      <c r="H1508" s="58" t="n">
        <v>2198</v>
      </c>
      <c r="I1508" s="39" t="str">
        <f aca="false">A1508&amp;"|"&amp;B1508&amp;"|"&amp;D1508&amp;"|"&amp;E1508&amp;F1508</f>
        <v>home|Lawton|scenario 3 (dwelling $300,000, deductible 1%)|frame</v>
      </c>
      <c r="J1508" s="34" t="n">
        <f aca="false" t="array" ref="J1508:J1508">MEDIAN(IF($I$4:$I$1803=I1508,$H$4:$H$1803))</f>
        <v>5628.5</v>
      </c>
      <c r="K1508" s="59" t="n">
        <f aca="false">H1508/J1508</f>
        <v>0.390512569956472</v>
      </c>
    </row>
    <row r="1509" customFormat="false" ht="15" hidden="false" customHeight="false" outlineLevel="0" collapsed="false">
      <c r="A1509" s="39" t="s">
        <v>912</v>
      </c>
      <c r="B1509" s="39" t="s">
        <v>909</v>
      </c>
      <c r="C1509" s="39" t="s">
        <v>928</v>
      </c>
      <c r="D1509" s="39" t="s">
        <v>917</v>
      </c>
      <c r="E1509" s="39"/>
      <c r="F1509" s="39" t="s">
        <v>915</v>
      </c>
      <c r="G1509" s="60"/>
      <c r="H1509" s="58" t="n">
        <v>2335</v>
      </c>
      <c r="I1509" s="39" t="str">
        <f aca="false">A1509&amp;"|"&amp;B1509&amp;"|"&amp;D1509&amp;"|"&amp;E1509&amp;F1509</f>
        <v>home|Lawton|scenario 3 (dwelling $300,000, deductible 1%)|masonry</v>
      </c>
      <c r="J1509" s="34" t="n">
        <f aca="false" t="array" ref="J1509:J1509">MEDIAN(IF($I$4:$I$1803=I1509,$H$4:$H$1803))</f>
        <v>5640.5</v>
      </c>
      <c r="K1509" s="59" t="n">
        <f aca="false">H1509/J1509</f>
        <v>0.413970392695683</v>
      </c>
    </row>
    <row r="1510" customFormat="false" ht="15" hidden="false" customHeight="false" outlineLevel="0" collapsed="false">
      <c r="A1510" s="39" t="s">
        <v>912</v>
      </c>
      <c r="B1510" s="39" t="s">
        <v>909</v>
      </c>
      <c r="C1510" s="39" t="s">
        <v>928</v>
      </c>
      <c r="D1510" s="39" t="s">
        <v>918</v>
      </c>
      <c r="E1510" s="39"/>
      <c r="F1510" s="39" t="s">
        <v>133</v>
      </c>
      <c r="G1510" s="60"/>
      <c r="H1510" s="58" t="n">
        <v>2784</v>
      </c>
      <c r="I1510" s="39" t="str">
        <f aca="false">A1510&amp;"|"&amp;B1510&amp;"|"&amp;D1510&amp;"|"&amp;E1510&amp;F1510</f>
        <v>home|Lawton|scenario 4 (dwelling $400,000, deductible 1%)|frame</v>
      </c>
      <c r="J1510" s="34" t="n">
        <f aca="false" t="array" ref="J1510:J1510">MEDIAN(IF($I$4:$I$1803=I1510,$H$4:$H$1803))</f>
        <v>6843</v>
      </c>
      <c r="K1510" s="59" t="n">
        <f aca="false">H1510/J1510</f>
        <v>0.406839105655414</v>
      </c>
    </row>
    <row r="1511" customFormat="false" ht="15" hidden="false" customHeight="false" outlineLevel="0" collapsed="false">
      <c r="A1511" s="39" t="s">
        <v>912</v>
      </c>
      <c r="B1511" s="39" t="s">
        <v>909</v>
      </c>
      <c r="C1511" s="39" t="s">
        <v>928</v>
      </c>
      <c r="D1511" s="39" t="s">
        <v>918</v>
      </c>
      <c r="E1511" s="39"/>
      <c r="F1511" s="39" t="s">
        <v>915</v>
      </c>
      <c r="G1511" s="60"/>
      <c r="H1511" s="58" t="n">
        <v>2966</v>
      </c>
      <c r="I1511" s="39" t="str">
        <f aca="false">A1511&amp;"|"&amp;B1511&amp;"|"&amp;D1511&amp;"|"&amp;E1511&amp;F1511</f>
        <v>home|Lawton|scenario 4 (dwelling $400,000, deductible 1%)|masonry</v>
      </c>
      <c r="J1511" s="34" t="n">
        <f aca="false" t="array" ref="J1511:J1511">MEDIAN(IF($I$4:$I$1803=I1511,$H$4:$H$1803))</f>
        <v>7053.5</v>
      </c>
      <c r="K1511" s="59" t="n">
        <f aca="false">H1511/J1511</f>
        <v>0.42050046076416</v>
      </c>
    </row>
    <row r="1512" customFormat="false" ht="15" hidden="false" customHeight="false" outlineLevel="0" collapsed="false">
      <c r="A1512" s="39" t="s">
        <v>912</v>
      </c>
      <c r="B1512" s="39" t="s">
        <v>909</v>
      </c>
      <c r="C1512" s="39" t="s">
        <v>928</v>
      </c>
      <c r="D1512" s="39" t="s">
        <v>919</v>
      </c>
      <c r="E1512" s="39"/>
      <c r="F1512" s="39" t="s">
        <v>133</v>
      </c>
      <c r="G1512" s="60"/>
      <c r="H1512" s="58" t="n">
        <v>3370</v>
      </c>
      <c r="I1512" s="39" t="str">
        <f aca="false">A1512&amp;"|"&amp;B1512&amp;"|"&amp;D1512&amp;"|"&amp;E1512&amp;F1512</f>
        <v>home|Lawton|scenario 5 (dwelling $500,000, deductible 1%)|frame</v>
      </c>
      <c r="J1512" s="34" t="n">
        <f aca="false" t="array" ref="J1512:J1512">MEDIAN(IF($I$4:$I$1803=I1512,$H$4:$H$1803))</f>
        <v>8289.5</v>
      </c>
      <c r="K1512" s="59" t="n">
        <f aca="false">H1512/J1512</f>
        <v>0.406538391941613</v>
      </c>
    </row>
    <row r="1513" customFormat="false" ht="15" hidden="false" customHeight="false" outlineLevel="0" collapsed="false">
      <c r="A1513" s="39" t="s">
        <v>912</v>
      </c>
      <c r="B1513" s="39" t="s">
        <v>909</v>
      </c>
      <c r="C1513" s="39" t="s">
        <v>928</v>
      </c>
      <c r="D1513" s="39" t="s">
        <v>919</v>
      </c>
      <c r="E1513" s="39"/>
      <c r="F1513" s="39" t="s">
        <v>915</v>
      </c>
      <c r="G1513" s="60"/>
      <c r="H1513" s="58" t="n">
        <v>3596</v>
      </c>
      <c r="I1513" s="39" t="str">
        <f aca="false">A1513&amp;"|"&amp;B1513&amp;"|"&amp;D1513&amp;"|"&amp;E1513&amp;F1513</f>
        <v>home|Lawton|scenario 5 (dwelling $500,000, deductible 1%)|masonry</v>
      </c>
      <c r="J1513" s="34" t="n">
        <f aca="false" t="array" ref="J1513:J1513">MEDIAN(IF($I$4:$I$1803=I1513,$H$4:$H$1803))</f>
        <v>7988.5</v>
      </c>
      <c r="K1513" s="59" t="n">
        <f aca="false">H1513/J1513</f>
        <v>0.450147086436753</v>
      </c>
    </row>
    <row r="1514" customFormat="false" ht="15" hidden="false" customHeight="false" outlineLevel="0" collapsed="false">
      <c r="A1514" s="39" t="s">
        <v>912</v>
      </c>
      <c r="B1514" s="39" t="s">
        <v>909</v>
      </c>
      <c r="C1514" s="39" t="s">
        <v>929</v>
      </c>
      <c r="D1514" s="39" t="s">
        <v>914</v>
      </c>
      <c r="E1514" s="39"/>
      <c r="F1514" s="39" t="s">
        <v>133</v>
      </c>
      <c r="G1514" s="60"/>
      <c r="H1514" s="58" t="n">
        <v>3320</v>
      </c>
      <c r="I1514" s="39" t="str">
        <f aca="false">A1514&amp;"|"&amp;B1514&amp;"|"&amp;D1514&amp;"|"&amp;E1514&amp;F1514</f>
        <v>home|Lawton|scenario 1 (dwelling $100,000, deductible 1%)|frame</v>
      </c>
      <c r="J1514" s="34" t="n">
        <f aca="false" t="array" ref="J1514:J1514">MEDIAN(IF($I$4:$I$1803=I1514,$H$4:$H$1803))</f>
        <v>2837.5</v>
      </c>
      <c r="K1514" s="59" t="n">
        <f aca="false">H1514/J1514</f>
        <v>1.17004405286344</v>
      </c>
    </row>
    <row r="1515" customFormat="false" ht="15" hidden="false" customHeight="false" outlineLevel="0" collapsed="false">
      <c r="A1515" s="39" t="s">
        <v>912</v>
      </c>
      <c r="B1515" s="39" t="s">
        <v>909</v>
      </c>
      <c r="C1515" s="39" t="s">
        <v>929</v>
      </c>
      <c r="D1515" s="39" t="s">
        <v>914</v>
      </c>
      <c r="E1515" s="39"/>
      <c r="F1515" s="39" t="s">
        <v>915</v>
      </c>
      <c r="G1515" s="60"/>
      <c r="H1515" s="58" t="n">
        <v>3763</v>
      </c>
      <c r="I1515" s="39" t="str">
        <f aca="false">A1515&amp;"|"&amp;B1515&amp;"|"&amp;D1515&amp;"|"&amp;E1515&amp;F1515</f>
        <v>home|Lawton|scenario 1 (dwelling $100,000, deductible 1%)|masonry</v>
      </c>
      <c r="J1515" s="34" t="n">
        <f aca="false" t="array" ref="J1515:J1515">MEDIAN(IF($I$4:$I$1803=I1515,$H$4:$H$1803))</f>
        <v>2724.5</v>
      </c>
      <c r="K1515" s="59" t="n">
        <f aca="false">H1515/J1515</f>
        <v>1.38117085703799</v>
      </c>
    </row>
    <row r="1516" customFormat="false" ht="15" hidden="false" customHeight="false" outlineLevel="0" collapsed="false">
      <c r="A1516" s="39" t="s">
        <v>912</v>
      </c>
      <c r="B1516" s="39" t="s">
        <v>909</v>
      </c>
      <c r="C1516" s="39" t="s">
        <v>929</v>
      </c>
      <c r="D1516" s="39" t="s">
        <v>916</v>
      </c>
      <c r="E1516" s="39"/>
      <c r="F1516" s="39" t="s">
        <v>133</v>
      </c>
      <c r="G1516" s="60"/>
      <c r="H1516" s="58" t="n">
        <v>4170</v>
      </c>
      <c r="I1516" s="39" t="str">
        <f aca="false">A1516&amp;"|"&amp;B1516&amp;"|"&amp;D1516&amp;"|"&amp;E1516&amp;F1516</f>
        <v>home|Lawton|scenario 2 (dwelling $200,000, deductible 1%)|frame</v>
      </c>
      <c r="J1516" s="34" t="n">
        <f aca="false" t="array" ref="J1516:J1516">MEDIAN(IF($I$4:$I$1803=I1516,$H$4:$H$1803))</f>
        <v>4045</v>
      </c>
      <c r="K1516" s="59" t="n">
        <f aca="false">H1516/J1516</f>
        <v>1.03090234857849</v>
      </c>
    </row>
    <row r="1517" customFormat="false" ht="15" hidden="false" customHeight="false" outlineLevel="0" collapsed="false">
      <c r="A1517" s="39" t="s">
        <v>912</v>
      </c>
      <c r="B1517" s="39" t="s">
        <v>909</v>
      </c>
      <c r="C1517" s="39" t="s">
        <v>929</v>
      </c>
      <c r="D1517" s="39" t="s">
        <v>916</v>
      </c>
      <c r="E1517" s="39"/>
      <c r="F1517" s="39" t="s">
        <v>915</v>
      </c>
      <c r="G1517" s="60"/>
      <c r="H1517" s="58" t="n">
        <v>4681</v>
      </c>
      <c r="I1517" s="39" t="str">
        <f aca="false">A1517&amp;"|"&amp;B1517&amp;"|"&amp;D1517&amp;"|"&amp;E1517&amp;F1517</f>
        <v>home|Lawton|scenario 2 (dwelling $200,000, deductible 1%)|masonry</v>
      </c>
      <c r="J1517" s="34" t="n">
        <f aca="false" t="array" ref="J1517:J1517">MEDIAN(IF($I$4:$I$1803=I1517,$H$4:$H$1803))</f>
        <v>4085.5</v>
      </c>
      <c r="K1517" s="59" t="n">
        <f aca="false">H1517/J1517</f>
        <v>1.14575939297516</v>
      </c>
    </row>
    <row r="1518" customFormat="false" ht="15" hidden="false" customHeight="false" outlineLevel="0" collapsed="false">
      <c r="A1518" s="39" t="s">
        <v>912</v>
      </c>
      <c r="B1518" s="39" t="s">
        <v>909</v>
      </c>
      <c r="C1518" s="39" t="s">
        <v>929</v>
      </c>
      <c r="D1518" s="39" t="s">
        <v>917</v>
      </c>
      <c r="E1518" s="39"/>
      <c r="F1518" s="39" t="s">
        <v>133</v>
      </c>
      <c r="G1518" s="60"/>
      <c r="H1518" s="58" t="n">
        <v>5521</v>
      </c>
      <c r="I1518" s="39" t="str">
        <f aca="false">A1518&amp;"|"&amp;B1518&amp;"|"&amp;D1518&amp;"|"&amp;E1518&amp;F1518</f>
        <v>home|Lawton|scenario 3 (dwelling $300,000, deductible 1%)|frame</v>
      </c>
      <c r="J1518" s="34" t="n">
        <f aca="false" t="array" ref="J1518:J1518">MEDIAN(IF($I$4:$I$1803=I1518,$H$4:$H$1803))</f>
        <v>5628.5</v>
      </c>
      <c r="K1518" s="59" t="n">
        <f aca="false">H1518/J1518</f>
        <v>0.980900772852447</v>
      </c>
    </row>
    <row r="1519" customFormat="false" ht="15" hidden="false" customHeight="false" outlineLevel="0" collapsed="false">
      <c r="A1519" s="39" t="s">
        <v>912</v>
      </c>
      <c r="B1519" s="39" t="s">
        <v>909</v>
      </c>
      <c r="C1519" s="39" t="s">
        <v>929</v>
      </c>
      <c r="D1519" s="39" t="s">
        <v>917</v>
      </c>
      <c r="E1519" s="39"/>
      <c r="F1519" s="39" t="s">
        <v>915</v>
      </c>
      <c r="G1519" s="60"/>
      <c r="H1519" s="58" t="n">
        <v>6209</v>
      </c>
      <c r="I1519" s="39" t="str">
        <f aca="false">A1519&amp;"|"&amp;B1519&amp;"|"&amp;D1519&amp;"|"&amp;E1519&amp;F1519</f>
        <v>home|Lawton|scenario 3 (dwelling $300,000, deductible 1%)|masonry</v>
      </c>
      <c r="J1519" s="34" t="n">
        <f aca="false" t="array" ref="J1519:J1519">MEDIAN(IF($I$4:$I$1803=I1519,$H$4:$H$1803))</f>
        <v>5640.5</v>
      </c>
      <c r="K1519" s="59" t="n">
        <f aca="false">H1519/J1519</f>
        <v>1.10078893715096</v>
      </c>
    </row>
    <row r="1520" customFormat="false" ht="15" hidden="false" customHeight="false" outlineLevel="0" collapsed="false">
      <c r="A1520" s="39" t="s">
        <v>912</v>
      </c>
      <c r="B1520" s="39" t="s">
        <v>909</v>
      </c>
      <c r="C1520" s="39" t="s">
        <v>929</v>
      </c>
      <c r="D1520" s="39" t="s">
        <v>918</v>
      </c>
      <c r="E1520" s="39"/>
      <c r="F1520" s="39" t="s">
        <v>133</v>
      </c>
      <c r="G1520" s="60"/>
      <c r="H1520" s="58" t="n">
        <v>6610</v>
      </c>
      <c r="I1520" s="39" t="str">
        <f aca="false">A1520&amp;"|"&amp;B1520&amp;"|"&amp;D1520&amp;"|"&amp;E1520&amp;F1520</f>
        <v>home|Lawton|scenario 4 (dwelling $400,000, deductible 1%)|frame</v>
      </c>
      <c r="J1520" s="34" t="n">
        <f aca="false" t="array" ref="J1520:J1520">MEDIAN(IF($I$4:$I$1803=I1520,$H$4:$H$1803))</f>
        <v>6843</v>
      </c>
      <c r="K1520" s="59" t="n">
        <f aca="false">H1520/J1520</f>
        <v>0.965950606459155</v>
      </c>
    </row>
    <row r="1521" customFormat="false" ht="15" hidden="false" customHeight="false" outlineLevel="0" collapsed="false">
      <c r="A1521" s="39" t="s">
        <v>912</v>
      </c>
      <c r="B1521" s="39" t="s">
        <v>909</v>
      </c>
      <c r="C1521" s="39" t="s">
        <v>929</v>
      </c>
      <c r="D1521" s="39" t="s">
        <v>918</v>
      </c>
      <c r="E1521" s="39"/>
      <c r="F1521" s="39" t="s">
        <v>915</v>
      </c>
      <c r="G1521" s="60"/>
      <c r="H1521" s="58" t="n">
        <v>7366</v>
      </c>
      <c r="I1521" s="39" t="str">
        <f aca="false">A1521&amp;"|"&amp;B1521&amp;"|"&amp;D1521&amp;"|"&amp;E1521&amp;F1521</f>
        <v>home|Lawton|scenario 4 (dwelling $400,000, deductible 1%)|masonry</v>
      </c>
      <c r="J1521" s="34" t="n">
        <f aca="false" t="array" ref="J1521:J1521">MEDIAN(IF($I$4:$I$1803=I1521,$H$4:$H$1803))</f>
        <v>7053.5</v>
      </c>
      <c r="K1521" s="59" t="n">
        <f aca="false">H1521/J1521</f>
        <v>1.04430424611895</v>
      </c>
    </row>
    <row r="1522" customFormat="false" ht="15" hidden="false" customHeight="false" outlineLevel="0" collapsed="false">
      <c r="A1522" s="39" t="s">
        <v>912</v>
      </c>
      <c r="B1522" s="39" t="s">
        <v>909</v>
      </c>
      <c r="C1522" s="39" t="s">
        <v>929</v>
      </c>
      <c r="D1522" s="39" t="s">
        <v>919</v>
      </c>
      <c r="E1522" s="39"/>
      <c r="F1522" s="39" t="s">
        <v>133</v>
      </c>
      <c r="G1522" s="60"/>
      <c r="H1522" s="58" t="n">
        <v>7670</v>
      </c>
      <c r="I1522" s="39" t="str">
        <f aca="false">A1522&amp;"|"&amp;B1522&amp;"|"&amp;D1522&amp;"|"&amp;E1522&amp;F1522</f>
        <v>home|Lawton|scenario 5 (dwelling $500,000, deductible 1%)|frame</v>
      </c>
      <c r="J1522" s="34" t="n">
        <f aca="false" t="array" ref="J1522:J1522">MEDIAN(IF($I$4:$I$1803=I1522,$H$4:$H$1803))</f>
        <v>8289.5</v>
      </c>
      <c r="K1522" s="59" t="n">
        <f aca="false">H1522/J1522</f>
        <v>0.925266903914591</v>
      </c>
    </row>
    <row r="1523" customFormat="false" ht="15" hidden="false" customHeight="false" outlineLevel="0" collapsed="false">
      <c r="A1523" s="39" t="s">
        <v>912</v>
      </c>
      <c r="B1523" s="39" t="s">
        <v>909</v>
      </c>
      <c r="C1523" s="39" t="s">
        <v>929</v>
      </c>
      <c r="D1523" s="39" t="s">
        <v>919</v>
      </c>
      <c r="E1523" s="39"/>
      <c r="F1523" s="39" t="s">
        <v>915</v>
      </c>
      <c r="G1523" s="60"/>
      <c r="H1523" s="58" t="n">
        <v>8455</v>
      </c>
      <c r="I1523" s="39" t="str">
        <f aca="false">A1523&amp;"|"&amp;B1523&amp;"|"&amp;D1523&amp;"|"&amp;E1523&amp;F1523</f>
        <v>home|Lawton|scenario 5 (dwelling $500,000, deductible 1%)|masonry</v>
      </c>
      <c r="J1523" s="34" t="n">
        <f aca="false" t="array" ref="J1523:J1523">MEDIAN(IF($I$4:$I$1803=I1523,$H$4:$H$1803))</f>
        <v>7988.5</v>
      </c>
      <c r="K1523" s="59" t="n">
        <f aca="false">H1523/J1523</f>
        <v>1.05839644488953</v>
      </c>
    </row>
    <row r="1524" customFormat="false" ht="15" hidden="false" customHeight="false" outlineLevel="0" collapsed="false">
      <c r="A1524" s="39" t="s">
        <v>912</v>
      </c>
      <c r="B1524" s="39" t="s">
        <v>909</v>
      </c>
      <c r="C1524" s="39" t="s">
        <v>930</v>
      </c>
      <c r="D1524" s="39" t="s">
        <v>914</v>
      </c>
      <c r="E1524" s="39"/>
      <c r="F1524" s="39" t="s">
        <v>133</v>
      </c>
      <c r="G1524" s="60"/>
      <c r="H1524" s="58" t="n">
        <v>2550</v>
      </c>
      <c r="I1524" s="39" t="str">
        <f aca="false">A1524&amp;"|"&amp;B1524&amp;"|"&amp;D1524&amp;"|"&amp;E1524&amp;F1524</f>
        <v>home|Lawton|scenario 1 (dwelling $100,000, deductible 1%)|frame</v>
      </c>
      <c r="J1524" s="34" t="n">
        <f aca="false" t="array" ref="J1524:J1524">MEDIAN(IF($I$4:$I$1803=I1524,$H$4:$H$1803))</f>
        <v>2837.5</v>
      </c>
      <c r="K1524" s="59" t="n">
        <f aca="false">H1524/J1524</f>
        <v>0.898678414096916</v>
      </c>
    </row>
    <row r="1525" customFormat="false" ht="15" hidden="false" customHeight="false" outlineLevel="0" collapsed="false">
      <c r="A1525" s="39" t="s">
        <v>912</v>
      </c>
      <c r="B1525" s="39" t="s">
        <v>909</v>
      </c>
      <c r="C1525" s="39" t="s">
        <v>930</v>
      </c>
      <c r="D1525" s="39" t="s">
        <v>914</v>
      </c>
      <c r="E1525" s="39"/>
      <c r="F1525" s="39" t="s">
        <v>915</v>
      </c>
      <c r="G1525" s="60"/>
      <c r="H1525" s="58" t="n">
        <v>2294</v>
      </c>
      <c r="I1525" s="39" t="str">
        <f aca="false">A1525&amp;"|"&amp;B1525&amp;"|"&amp;D1525&amp;"|"&amp;E1525&amp;F1525</f>
        <v>home|Lawton|scenario 1 (dwelling $100,000, deductible 1%)|masonry</v>
      </c>
      <c r="J1525" s="34" t="n">
        <f aca="false" t="array" ref="J1525:J1525">MEDIAN(IF($I$4:$I$1803=I1525,$H$4:$H$1803))</f>
        <v>2724.5</v>
      </c>
      <c r="K1525" s="59" t="n">
        <f aca="false">H1525/J1525</f>
        <v>0.841989355845109</v>
      </c>
    </row>
    <row r="1526" customFormat="false" ht="15" hidden="false" customHeight="false" outlineLevel="0" collapsed="false">
      <c r="A1526" s="39" t="s">
        <v>912</v>
      </c>
      <c r="B1526" s="39" t="s">
        <v>909</v>
      </c>
      <c r="C1526" s="39" t="s">
        <v>930</v>
      </c>
      <c r="D1526" s="39" t="s">
        <v>916</v>
      </c>
      <c r="E1526" s="39"/>
      <c r="F1526" s="39" t="s">
        <v>133</v>
      </c>
      <c r="G1526" s="60"/>
      <c r="H1526" s="58" t="n">
        <v>3594</v>
      </c>
      <c r="I1526" s="39" t="str">
        <f aca="false">A1526&amp;"|"&amp;B1526&amp;"|"&amp;D1526&amp;"|"&amp;E1526&amp;F1526</f>
        <v>home|Lawton|scenario 2 (dwelling $200,000, deductible 1%)|frame</v>
      </c>
      <c r="J1526" s="34" t="n">
        <f aca="false" t="array" ref="J1526:J1526">MEDIAN(IF($I$4:$I$1803=I1526,$H$4:$H$1803))</f>
        <v>4045</v>
      </c>
      <c r="K1526" s="59" t="n">
        <f aca="false">H1526/J1526</f>
        <v>0.888504326328801</v>
      </c>
    </row>
    <row r="1527" customFormat="false" ht="15" hidden="false" customHeight="false" outlineLevel="0" collapsed="false">
      <c r="A1527" s="39" t="s">
        <v>912</v>
      </c>
      <c r="B1527" s="39" t="s">
        <v>909</v>
      </c>
      <c r="C1527" s="39" t="s">
        <v>930</v>
      </c>
      <c r="D1527" s="39" t="s">
        <v>916</v>
      </c>
      <c r="E1527" s="39"/>
      <c r="F1527" s="39" t="s">
        <v>915</v>
      </c>
      <c r="G1527" s="60"/>
      <c r="H1527" s="58" t="n">
        <v>3233</v>
      </c>
      <c r="I1527" s="39" t="str">
        <f aca="false">A1527&amp;"|"&amp;B1527&amp;"|"&amp;D1527&amp;"|"&amp;E1527&amp;F1527</f>
        <v>home|Lawton|scenario 2 (dwelling $200,000, deductible 1%)|masonry</v>
      </c>
      <c r="J1527" s="34" t="n">
        <f aca="false" t="array" ref="J1527:J1527">MEDIAN(IF($I$4:$I$1803=I1527,$H$4:$H$1803))</f>
        <v>4085.5</v>
      </c>
      <c r="K1527" s="59" t="n">
        <f aca="false">H1527/J1527</f>
        <v>0.791335209888631</v>
      </c>
    </row>
    <row r="1528" customFormat="false" ht="15" hidden="false" customHeight="false" outlineLevel="0" collapsed="false">
      <c r="A1528" s="39" t="s">
        <v>912</v>
      </c>
      <c r="B1528" s="39" t="s">
        <v>909</v>
      </c>
      <c r="C1528" s="39" t="s">
        <v>930</v>
      </c>
      <c r="D1528" s="39" t="s">
        <v>917</v>
      </c>
      <c r="E1528" s="39"/>
      <c r="F1528" s="39" t="s">
        <v>133</v>
      </c>
      <c r="G1528" s="60"/>
      <c r="H1528" s="58" t="n">
        <v>4897</v>
      </c>
      <c r="I1528" s="39" t="str">
        <f aca="false">A1528&amp;"|"&amp;B1528&amp;"|"&amp;D1528&amp;"|"&amp;E1528&amp;F1528</f>
        <v>home|Lawton|scenario 3 (dwelling $300,000, deductible 1%)|frame</v>
      </c>
      <c r="J1528" s="34" t="n">
        <f aca="false" t="array" ref="J1528:J1528">MEDIAN(IF($I$4:$I$1803=I1528,$H$4:$H$1803))</f>
        <v>5628.5</v>
      </c>
      <c r="K1528" s="59" t="n">
        <f aca="false">H1528/J1528</f>
        <v>0.870036421782002</v>
      </c>
    </row>
    <row r="1529" customFormat="false" ht="15" hidden="false" customHeight="false" outlineLevel="0" collapsed="false">
      <c r="A1529" s="39" t="s">
        <v>912</v>
      </c>
      <c r="B1529" s="39" t="s">
        <v>909</v>
      </c>
      <c r="C1529" s="39" t="s">
        <v>930</v>
      </c>
      <c r="D1529" s="39" t="s">
        <v>917</v>
      </c>
      <c r="E1529" s="39"/>
      <c r="F1529" s="39" t="s">
        <v>915</v>
      </c>
      <c r="G1529" s="60"/>
      <c r="H1529" s="58" t="n">
        <v>4405</v>
      </c>
      <c r="I1529" s="39" t="str">
        <f aca="false">A1529&amp;"|"&amp;B1529&amp;"|"&amp;D1529&amp;"|"&amp;E1529&amp;F1529</f>
        <v>home|Lawton|scenario 3 (dwelling $300,000, deductible 1%)|masonry</v>
      </c>
      <c r="J1529" s="34" t="n">
        <f aca="false" t="array" ref="J1529:J1529">MEDIAN(IF($I$4:$I$1803=I1529,$H$4:$H$1803))</f>
        <v>5640.5</v>
      </c>
      <c r="K1529" s="59" t="n">
        <f aca="false">H1529/J1529</f>
        <v>0.780959134828473</v>
      </c>
    </row>
    <row r="1530" customFormat="false" ht="15" hidden="false" customHeight="false" outlineLevel="0" collapsed="false">
      <c r="A1530" s="39" t="s">
        <v>912</v>
      </c>
      <c r="B1530" s="39" t="s">
        <v>909</v>
      </c>
      <c r="C1530" s="39" t="s">
        <v>930</v>
      </c>
      <c r="D1530" s="39" t="s">
        <v>918</v>
      </c>
      <c r="E1530" s="39"/>
      <c r="F1530" s="39" t="s">
        <v>133</v>
      </c>
      <c r="G1530" s="60"/>
      <c r="H1530" s="58" t="n">
        <v>6826</v>
      </c>
      <c r="I1530" s="39" t="str">
        <f aca="false">A1530&amp;"|"&amp;B1530&amp;"|"&amp;D1530&amp;"|"&amp;E1530&amp;F1530</f>
        <v>home|Lawton|scenario 4 (dwelling $400,000, deductible 1%)|frame</v>
      </c>
      <c r="J1530" s="34" t="n">
        <f aca="false" t="array" ref="J1530:J1530">MEDIAN(IF($I$4:$I$1803=I1530,$H$4:$H$1803))</f>
        <v>6843</v>
      </c>
      <c r="K1530" s="59" t="n">
        <f aca="false">H1530/J1530</f>
        <v>0.997515709484144</v>
      </c>
    </row>
    <row r="1531" customFormat="false" ht="15" hidden="false" customHeight="false" outlineLevel="0" collapsed="false">
      <c r="A1531" s="39" t="s">
        <v>912</v>
      </c>
      <c r="B1531" s="39" t="s">
        <v>909</v>
      </c>
      <c r="C1531" s="39" t="s">
        <v>930</v>
      </c>
      <c r="D1531" s="39" t="s">
        <v>918</v>
      </c>
      <c r="E1531" s="39"/>
      <c r="F1531" s="39" t="s">
        <v>915</v>
      </c>
      <c r="G1531" s="60"/>
      <c r="H1531" s="58" t="n">
        <v>6140</v>
      </c>
      <c r="I1531" s="39" t="str">
        <f aca="false">A1531&amp;"|"&amp;B1531&amp;"|"&amp;D1531&amp;"|"&amp;E1531&amp;F1531</f>
        <v>home|Lawton|scenario 4 (dwelling $400,000, deductible 1%)|masonry</v>
      </c>
      <c r="J1531" s="34" t="n">
        <f aca="false" t="array" ref="J1531:J1531">MEDIAN(IF($I$4:$I$1803=I1531,$H$4:$H$1803))</f>
        <v>7053.5</v>
      </c>
      <c r="K1531" s="59" t="n">
        <f aca="false">H1531/J1531</f>
        <v>0.870489827745091</v>
      </c>
    </row>
    <row r="1532" customFormat="false" ht="15" hidden="false" customHeight="false" outlineLevel="0" collapsed="false">
      <c r="A1532" s="39" t="s">
        <v>912</v>
      </c>
      <c r="B1532" s="39" t="s">
        <v>909</v>
      </c>
      <c r="C1532" s="39" t="s">
        <v>930</v>
      </c>
      <c r="D1532" s="39" t="s">
        <v>919</v>
      </c>
      <c r="E1532" s="39"/>
      <c r="F1532" s="39" t="s">
        <v>133</v>
      </c>
      <c r="G1532" s="60"/>
      <c r="H1532" s="58" t="n">
        <v>8785</v>
      </c>
      <c r="I1532" s="39" t="str">
        <f aca="false">A1532&amp;"|"&amp;B1532&amp;"|"&amp;D1532&amp;"|"&amp;E1532&amp;F1532</f>
        <v>home|Lawton|scenario 5 (dwelling $500,000, deductible 1%)|frame</v>
      </c>
      <c r="J1532" s="34" t="n">
        <f aca="false" t="array" ref="J1532:J1532">MEDIAN(IF($I$4:$I$1803=I1532,$H$4:$H$1803))</f>
        <v>8289.5</v>
      </c>
      <c r="K1532" s="59" t="n">
        <f aca="false">H1532/J1532</f>
        <v>1.05977441341456</v>
      </c>
    </row>
    <row r="1533" customFormat="false" ht="15" hidden="false" customHeight="false" outlineLevel="0" collapsed="false">
      <c r="A1533" s="39" t="s">
        <v>912</v>
      </c>
      <c r="B1533" s="39" t="s">
        <v>909</v>
      </c>
      <c r="C1533" s="39" t="s">
        <v>930</v>
      </c>
      <c r="D1533" s="39" t="s">
        <v>919</v>
      </c>
      <c r="E1533" s="39"/>
      <c r="F1533" s="39" t="s">
        <v>915</v>
      </c>
      <c r="G1533" s="60"/>
      <c r="H1533" s="58" t="n">
        <v>7902</v>
      </c>
      <c r="I1533" s="39" t="str">
        <f aca="false">A1533&amp;"|"&amp;B1533&amp;"|"&amp;D1533&amp;"|"&amp;E1533&amp;F1533</f>
        <v>home|Lawton|scenario 5 (dwelling $500,000, deductible 1%)|masonry</v>
      </c>
      <c r="J1533" s="34" t="n">
        <f aca="false" t="array" ref="J1533:J1533">MEDIAN(IF($I$4:$I$1803=I1533,$H$4:$H$1803))</f>
        <v>7988.5</v>
      </c>
      <c r="K1533" s="59" t="n">
        <f aca="false">H1533/J1533</f>
        <v>0.989171934656068</v>
      </c>
    </row>
    <row r="1534" customFormat="false" ht="15" hidden="false" customHeight="false" outlineLevel="0" collapsed="false">
      <c r="A1534" s="39" t="s">
        <v>912</v>
      </c>
      <c r="B1534" s="39" t="s">
        <v>909</v>
      </c>
      <c r="C1534" s="39" t="s">
        <v>931</v>
      </c>
      <c r="D1534" s="39" t="s">
        <v>914</v>
      </c>
      <c r="E1534" s="39"/>
      <c r="F1534" s="39" t="s">
        <v>133</v>
      </c>
      <c r="G1534" s="60"/>
      <c r="H1534" s="58" t="n">
        <v>3099</v>
      </c>
      <c r="I1534" s="39" t="str">
        <f aca="false">A1534&amp;"|"&amp;B1534&amp;"|"&amp;D1534&amp;"|"&amp;E1534&amp;F1534</f>
        <v>home|Lawton|scenario 1 (dwelling $100,000, deductible 1%)|frame</v>
      </c>
      <c r="J1534" s="34" t="n">
        <f aca="false" t="array" ref="J1534:J1534">MEDIAN(IF($I$4:$I$1803=I1534,$H$4:$H$1803))</f>
        <v>2837.5</v>
      </c>
      <c r="K1534" s="59" t="n">
        <f aca="false">H1534/J1534</f>
        <v>1.09215859030837</v>
      </c>
    </row>
    <row r="1535" customFormat="false" ht="15" hidden="false" customHeight="false" outlineLevel="0" collapsed="false">
      <c r="A1535" s="39" t="s">
        <v>912</v>
      </c>
      <c r="B1535" s="39" t="s">
        <v>909</v>
      </c>
      <c r="C1535" s="39" t="s">
        <v>931</v>
      </c>
      <c r="D1535" s="39" t="s">
        <v>914</v>
      </c>
      <c r="E1535" s="39"/>
      <c r="F1535" s="39" t="s">
        <v>915</v>
      </c>
      <c r="G1535" s="60"/>
      <c r="H1535" s="58" t="n">
        <v>2911</v>
      </c>
      <c r="I1535" s="39" t="str">
        <f aca="false">A1535&amp;"|"&amp;B1535&amp;"|"&amp;D1535&amp;"|"&amp;E1535&amp;F1535</f>
        <v>home|Lawton|scenario 1 (dwelling $100,000, deductible 1%)|masonry</v>
      </c>
      <c r="J1535" s="34" t="n">
        <f aca="false" t="array" ref="J1535:J1535">MEDIAN(IF($I$4:$I$1803=I1535,$H$4:$H$1803))</f>
        <v>2724.5</v>
      </c>
      <c r="K1535" s="59" t="n">
        <f aca="false">H1535/J1535</f>
        <v>1.06845292714259</v>
      </c>
    </row>
    <row r="1536" customFormat="false" ht="15" hidden="false" customHeight="false" outlineLevel="0" collapsed="false">
      <c r="A1536" s="39" t="s">
        <v>912</v>
      </c>
      <c r="B1536" s="39" t="s">
        <v>909</v>
      </c>
      <c r="C1536" s="39" t="s">
        <v>931</v>
      </c>
      <c r="D1536" s="39" t="s">
        <v>916</v>
      </c>
      <c r="E1536" s="39"/>
      <c r="F1536" s="39" t="s">
        <v>133</v>
      </c>
      <c r="G1536" s="60"/>
      <c r="H1536" s="58" t="n">
        <v>4747</v>
      </c>
      <c r="I1536" s="39" t="str">
        <f aca="false">A1536&amp;"|"&amp;B1536&amp;"|"&amp;D1536&amp;"|"&amp;E1536&amp;F1536</f>
        <v>home|Lawton|scenario 2 (dwelling $200,000, deductible 1%)|frame</v>
      </c>
      <c r="J1536" s="34" t="n">
        <f aca="false" t="array" ref="J1536:J1536">MEDIAN(IF($I$4:$I$1803=I1536,$H$4:$H$1803))</f>
        <v>4045</v>
      </c>
      <c r="K1536" s="59" t="n">
        <f aca="false">H1536/J1536</f>
        <v>1.17354758961681</v>
      </c>
    </row>
    <row r="1537" customFormat="false" ht="15" hidden="false" customHeight="false" outlineLevel="0" collapsed="false">
      <c r="A1537" s="39" t="s">
        <v>912</v>
      </c>
      <c r="B1537" s="39" t="s">
        <v>909</v>
      </c>
      <c r="C1537" s="39" t="s">
        <v>931</v>
      </c>
      <c r="D1537" s="39" t="s">
        <v>916</v>
      </c>
      <c r="E1537" s="39"/>
      <c r="F1537" s="39" t="s">
        <v>915</v>
      </c>
      <c r="G1537" s="60"/>
      <c r="H1537" s="58" t="n">
        <v>4460</v>
      </c>
      <c r="I1537" s="39" t="str">
        <f aca="false">A1537&amp;"|"&amp;B1537&amp;"|"&amp;D1537&amp;"|"&amp;E1537&amp;F1537</f>
        <v>home|Lawton|scenario 2 (dwelling $200,000, deductible 1%)|masonry</v>
      </c>
      <c r="J1537" s="34" t="n">
        <f aca="false" t="array" ref="J1537:J1537">MEDIAN(IF($I$4:$I$1803=I1537,$H$4:$H$1803))</f>
        <v>4085.5</v>
      </c>
      <c r="K1537" s="59" t="n">
        <f aca="false">H1537/J1537</f>
        <v>1.09166564679966</v>
      </c>
    </row>
    <row r="1538" customFormat="false" ht="15" hidden="false" customHeight="false" outlineLevel="0" collapsed="false">
      <c r="A1538" s="39" t="s">
        <v>912</v>
      </c>
      <c r="B1538" s="39" t="s">
        <v>909</v>
      </c>
      <c r="C1538" s="39" t="s">
        <v>931</v>
      </c>
      <c r="D1538" s="39" t="s">
        <v>917</v>
      </c>
      <c r="E1538" s="39"/>
      <c r="F1538" s="39" t="s">
        <v>133</v>
      </c>
      <c r="G1538" s="60"/>
      <c r="H1538" s="58" t="n">
        <v>6602</v>
      </c>
      <c r="I1538" s="39" t="str">
        <f aca="false">A1538&amp;"|"&amp;B1538&amp;"|"&amp;D1538&amp;"|"&amp;E1538&amp;F1538</f>
        <v>home|Lawton|scenario 3 (dwelling $300,000, deductible 1%)|frame</v>
      </c>
      <c r="J1538" s="34" t="n">
        <f aca="false" t="array" ref="J1538:J1538">MEDIAN(IF($I$4:$I$1803=I1538,$H$4:$H$1803))</f>
        <v>5628.5</v>
      </c>
      <c r="K1538" s="59" t="n">
        <f aca="false">H1538/J1538</f>
        <v>1.17295904770365</v>
      </c>
    </row>
    <row r="1539" customFormat="false" ht="15" hidden="false" customHeight="false" outlineLevel="0" collapsed="false">
      <c r="A1539" s="39" t="s">
        <v>912</v>
      </c>
      <c r="B1539" s="39" t="s">
        <v>909</v>
      </c>
      <c r="C1539" s="39" t="s">
        <v>931</v>
      </c>
      <c r="D1539" s="39" t="s">
        <v>917</v>
      </c>
      <c r="E1539" s="39"/>
      <c r="F1539" s="39" t="s">
        <v>915</v>
      </c>
      <c r="G1539" s="60"/>
      <c r="H1539" s="58" t="n">
        <v>6203</v>
      </c>
      <c r="I1539" s="39" t="str">
        <f aca="false">A1539&amp;"|"&amp;B1539&amp;"|"&amp;D1539&amp;"|"&amp;E1539&amp;F1539</f>
        <v>home|Lawton|scenario 3 (dwelling $300,000, deductible 1%)|masonry</v>
      </c>
      <c r="J1539" s="34" t="n">
        <f aca="false" t="array" ref="J1539:J1539">MEDIAN(IF($I$4:$I$1803=I1539,$H$4:$H$1803))</f>
        <v>5640.5</v>
      </c>
      <c r="K1539" s="59" t="n">
        <f aca="false">H1539/J1539</f>
        <v>1.09972520166652</v>
      </c>
    </row>
    <row r="1540" customFormat="false" ht="15" hidden="false" customHeight="false" outlineLevel="0" collapsed="false">
      <c r="A1540" s="39" t="s">
        <v>912</v>
      </c>
      <c r="B1540" s="39" t="s">
        <v>909</v>
      </c>
      <c r="C1540" s="39" t="s">
        <v>931</v>
      </c>
      <c r="D1540" s="39" t="s">
        <v>918</v>
      </c>
      <c r="E1540" s="39"/>
      <c r="F1540" s="39" t="s">
        <v>133</v>
      </c>
      <c r="G1540" s="60"/>
      <c r="H1540" s="58" t="n">
        <v>8457</v>
      </c>
      <c r="I1540" s="39" t="str">
        <f aca="false">A1540&amp;"|"&amp;B1540&amp;"|"&amp;D1540&amp;"|"&amp;E1540&amp;F1540</f>
        <v>home|Lawton|scenario 4 (dwelling $400,000, deductible 1%)|frame</v>
      </c>
      <c r="J1540" s="34" t="n">
        <f aca="false" t="array" ref="J1540:J1540">MEDIAN(IF($I$4:$I$1803=I1540,$H$4:$H$1803))</f>
        <v>6843</v>
      </c>
      <c r="K1540" s="59" t="n">
        <f aca="false">H1540/J1540</f>
        <v>1.23586146427006</v>
      </c>
    </row>
    <row r="1541" customFormat="false" ht="15" hidden="false" customHeight="false" outlineLevel="0" collapsed="false">
      <c r="A1541" s="39" t="s">
        <v>912</v>
      </c>
      <c r="B1541" s="39" t="s">
        <v>909</v>
      </c>
      <c r="C1541" s="39" t="s">
        <v>931</v>
      </c>
      <c r="D1541" s="39" t="s">
        <v>918</v>
      </c>
      <c r="E1541" s="39"/>
      <c r="F1541" s="39" t="s">
        <v>915</v>
      </c>
      <c r="G1541" s="60"/>
      <c r="H1541" s="58" t="n">
        <v>7946</v>
      </c>
      <c r="I1541" s="39" t="str">
        <f aca="false">A1541&amp;"|"&amp;B1541&amp;"|"&amp;D1541&amp;"|"&amp;E1541&amp;F1541</f>
        <v>home|Lawton|scenario 4 (dwelling $400,000, deductible 1%)|masonry</v>
      </c>
      <c r="J1541" s="34" t="n">
        <f aca="false" t="array" ref="J1541:J1541">MEDIAN(IF($I$4:$I$1803=I1541,$H$4:$H$1803))</f>
        <v>7053.5</v>
      </c>
      <c r="K1541" s="59" t="n">
        <f aca="false">H1541/J1541</f>
        <v>1.12653292691572</v>
      </c>
    </row>
    <row r="1542" customFormat="false" ht="15" hidden="false" customHeight="false" outlineLevel="0" collapsed="false">
      <c r="A1542" s="39" t="s">
        <v>912</v>
      </c>
      <c r="B1542" s="39" t="s">
        <v>909</v>
      </c>
      <c r="C1542" s="39" t="s">
        <v>931</v>
      </c>
      <c r="D1542" s="39" t="s">
        <v>919</v>
      </c>
      <c r="E1542" s="39"/>
      <c r="F1542" s="39" t="s">
        <v>133</v>
      </c>
      <c r="G1542" s="60"/>
      <c r="H1542" s="58" t="n">
        <v>10088</v>
      </c>
      <c r="I1542" s="39" t="str">
        <f aca="false">A1542&amp;"|"&amp;B1542&amp;"|"&amp;D1542&amp;"|"&amp;E1542&amp;F1542</f>
        <v>home|Lawton|scenario 5 (dwelling $500,000, deductible 1%)|frame</v>
      </c>
      <c r="J1542" s="34" t="n">
        <f aca="false" t="array" ref="J1542:J1542">MEDIAN(IF($I$4:$I$1803=I1542,$H$4:$H$1803))</f>
        <v>8289.5</v>
      </c>
      <c r="K1542" s="59" t="n">
        <f aca="false">H1542/J1542</f>
        <v>1.21696121599614</v>
      </c>
    </row>
    <row r="1543" customFormat="false" ht="15" hidden="false" customHeight="false" outlineLevel="0" collapsed="false">
      <c r="A1543" s="39" t="s">
        <v>912</v>
      </c>
      <c r="B1543" s="39" t="s">
        <v>909</v>
      </c>
      <c r="C1543" s="39" t="s">
        <v>931</v>
      </c>
      <c r="D1543" s="39" t="s">
        <v>919</v>
      </c>
      <c r="E1543" s="39"/>
      <c r="F1543" s="39" t="s">
        <v>915</v>
      </c>
      <c r="G1543" s="60"/>
      <c r="H1543" s="58" t="n">
        <v>9479</v>
      </c>
      <c r="I1543" s="39" t="str">
        <f aca="false">A1543&amp;"|"&amp;B1543&amp;"|"&amp;D1543&amp;"|"&amp;E1543&amp;F1543</f>
        <v>home|Lawton|scenario 5 (dwelling $500,000, deductible 1%)|masonry</v>
      </c>
      <c r="J1543" s="34" t="n">
        <f aca="false" t="array" ref="J1543:J1543">MEDIAN(IF($I$4:$I$1803=I1543,$H$4:$H$1803))</f>
        <v>7988.5</v>
      </c>
      <c r="K1543" s="59" t="n">
        <f aca="false">H1543/J1543</f>
        <v>1.18658070977029</v>
      </c>
    </row>
    <row r="1544" customFormat="false" ht="15" hidden="false" customHeight="false" outlineLevel="0" collapsed="false">
      <c r="A1544" s="39" t="s">
        <v>912</v>
      </c>
      <c r="B1544" s="39" t="s">
        <v>909</v>
      </c>
      <c r="C1544" s="39" t="s">
        <v>899</v>
      </c>
      <c r="D1544" s="39" t="s">
        <v>914</v>
      </c>
      <c r="E1544" s="39"/>
      <c r="F1544" s="39" t="s">
        <v>133</v>
      </c>
      <c r="G1544" s="60"/>
      <c r="H1544" s="58" t="n">
        <v>4594</v>
      </c>
      <c r="I1544" s="39" t="str">
        <f aca="false">A1544&amp;"|"&amp;B1544&amp;"|"&amp;D1544&amp;"|"&amp;E1544&amp;F1544</f>
        <v>home|Lawton|scenario 1 (dwelling $100,000, deductible 1%)|frame</v>
      </c>
      <c r="J1544" s="34" t="n">
        <f aca="false" t="array" ref="J1544:J1544">MEDIAN(IF($I$4:$I$1803=I1544,$H$4:$H$1803))</f>
        <v>2837.5</v>
      </c>
      <c r="K1544" s="59" t="n">
        <f aca="false">H1544/J1544</f>
        <v>1.61903083700441</v>
      </c>
    </row>
    <row r="1545" customFormat="false" ht="15" hidden="false" customHeight="false" outlineLevel="0" collapsed="false">
      <c r="A1545" s="39" t="s">
        <v>912</v>
      </c>
      <c r="B1545" s="39" t="s">
        <v>909</v>
      </c>
      <c r="C1545" s="39" t="s">
        <v>899</v>
      </c>
      <c r="D1545" s="39" t="s">
        <v>914</v>
      </c>
      <c r="E1545" s="39"/>
      <c r="F1545" s="39" t="s">
        <v>915</v>
      </c>
      <c r="G1545" s="60"/>
      <c r="H1545" s="58" t="n">
        <v>4502</v>
      </c>
      <c r="I1545" s="39" t="str">
        <f aca="false">A1545&amp;"|"&amp;B1545&amp;"|"&amp;D1545&amp;"|"&amp;E1545&amp;F1545</f>
        <v>home|Lawton|scenario 1 (dwelling $100,000, deductible 1%)|masonry</v>
      </c>
      <c r="J1545" s="34" t="n">
        <f aca="false" t="array" ref="J1545:J1545">MEDIAN(IF($I$4:$I$1803=I1545,$H$4:$H$1803))</f>
        <v>2724.5</v>
      </c>
      <c r="K1545" s="59" t="n">
        <f aca="false">H1545/J1545</f>
        <v>1.65241328684162</v>
      </c>
    </row>
    <row r="1546" customFormat="false" ht="15" hidden="false" customHeight="false" outlineLevel="0" collapsed="false">
      <c r="A1546" s="39" t="s">
        <v>912</v>
      </c>
      <c r="B1546" s="39" t="s">
        <v>909</v>
      </c>
      <c r="C1546" s="39" t="s">
        <v>899</v>
      </c>
      <c r="D1546" s="39" t="s">
        <v>916</v>
      </c>
      <c r="E1546" s="39"/>
      <c r="F1546" s="39" t="s">
        <v>133</v>
      </c>
      <c r="G1546" s="60"/>
      <c r="H1546" s="58" t="n">
        <v>6567</v>
      </c>
      <c r="I1546" s="39" t="str">
        <f aca="false">A1546&amp;"|"&amp;B1546&amp;"|"&amp;D1546&amp;"|"&amp;E1546&amp;F1546</f>
        <v>home|Lawton|scenario 2 (dwelling $200,000, deductible 1%)|frame</v>
      </c>
      <c r="J1546" s="34" t="n">
        <f aca="false" t="array" ref="J1546:J1546">MEDIAN(IF($I$4:$I$1803=I1546,$H$4:$H$1803))</f>
        <v>4045</v>
      </c>
      <c r="K1546" s="59" t="n">
        <f aca="false">H1546/J1546</f>
        <v>1.62348578491965</v>
      </c>
    </row>
    <row r="1547" customFormat="false" ht="15" hidden="false" customHeight="false" outlineLevel="0" collapsed="false">
      <c r="A1547" s="39" t="s">
        <v>912</v>
      </c>
      <c r="B1547" s="39" t="s">
        <v>909</v>
      </c>
      <c r="C1547" s="39" t="s">
        <v>899</v>
      </c>
      <c r="D1547" s="39" t="s">
        <v>916</v>
      </c>
      <c r="E1547" s="39"/>
      <c r="F1547" s="39" t="s">
        <v>915</v>
      </c>
      <c r="G1547" s="60"/>
      <c r="H1547" s="58" t="n">
        <v>6437</v>
      </c>
      <c r="I1547" s="39" t="str">
        <f aca="false">A1547&amp;"|"&amp;B1547&amp;"|"&amp;D1547&amp;"|"&amp;E1547&amp;F1547</f>
        <v>home|Lawton|scenario 2 (dwelling $200,000, deductible 1%)|masonry</v>
      </c>
      <c r="J1547" s="34" t="n">
        <f aca="false" t="array" ref="J1547:J1547">MEDIAN(IF($I$4:$I$1803=I1547,$H$4:$H$1803))</f>
        <v>4085.5</v>
      </c>
      <c r="K1547" s="59" t="n">
        <f aca="false">H1547/J1547</f>
        <v>1.57557214539224</v>
      </c>
    </row>
    <row r="1548" customFormat="false" ht="15" hidden="false" customHeight="false" outlineLevel="0" collapsed="false">
      <c r="A1548" s="39" t="s">
        <v>912</v>
      </c>
      <c r="B1548" s="39" t="s">
        <v>909</v>
      </c>
      <c r="C1548" s="39" t="s">
        <v>899</v>
      </c>
      <c r="D1548" s="39" t="s">
        <v>917</v>
      </c>
      <c r="E1548" s="39"/>
      <c r="F1548" s="39" t="s">
        <v>133</v>
      </c>
      <c r="G1548" s="60"/>
      <c r="H1548" s="58" t="n">
        <v>7718</v>
      </c>
      <c r="I1548" s="39" t="str">
        <f aca="false">A1548&amp;"|"&amp;B1548&amp;"|"&amp;D1548&amp;"|"&amp;E1548&amp;F1548</f>
        <v>home|Lawton|scenario 3 (dwelling $300,000, deductible 1%)|frame</v>
      </c>
      <c r="J1548" s="34" t="n">
        <f aca="false" t="array" ref="J1548:J1548">MEDIAN(IF($I$4:$I$1803=I1548,$H$4:$H$1803))</f>
        <v>5628.5</v>
      </c>
      <c r="K1548" s="59" t="n">
        <f aca="false">H1548/J1548</f>
        <v>1.37123567557964</v>
      </c>
    </row>
    <row r="1549" customFormat="false" ht="15" hidden="false" customHeight="false" outlineLevel="0" collapsed="false">
      <c r="A1549" s="39" t="s">
        <v>912</v>
      </c>
      <c r="B1549" s="39" t="s">
        <v>909</v>
      </c>
      <c r="C1549" s="39" t="s">
        <v>899</v>
      </c>
      <c r="D1549" s="39" t="s">
        <v>917</v>
      </c>
      <c r="E1549" s="39"/>
      <c r="F1549" s="39" t="s">
        <v>915</v>
      </c>
      <c r="G1549" s="60"/>
      <c r="H1549" s="58" t="n">
        <v>7565</v>
      </c>
      <c r="I1549" s="39" t="str">
        <f aca="false">A1549&amp;"|"&amp;B1549&amp;"|"&amp;D1549&amp;"|"&amp;E1549&amp;F1549</f>
        <v>home|Lawton|scenario 3 (dwelling $300,000, deductible 1%)|masonry</v>
      </c>
      <c r="J1549" s="34" t="n">
        <f aca="false" t="array" ref="J1549:J1549">MEDIAN(IF($I$4:$I$1803=I1549,$H$4:$H$1803))</f>
        <v>5640.5</v>
      </c>
      <c r="K1549" s="59" t="n">
        <f aca="false">H1549/J1549</f>
        <v>1.34119315663505</v>
      </c>
    </row>
    <row r="1550" customFormat="false" ht="15" hidden="false" customHeight="false" outlineLevel="0" collapsed="false">
      <c r="A1550" s="39" t="s">
        <v>912</v>
      </c>
      <c r="B1550" s="39" t="s">
        <v>909</v>
      </c>
      <c r="C1550" s="39" t="s">
        <v>899</v>
      </c>
      <c r="D1550" s="39" t="s">
        <v>918</v>
      </c>
      <c r="E1550" s="39"/>
      <c r="F1550" s="39" t="s">
        <v>133</v>
      </c>
      <c r="G1550" s="60"/>
      <c r="H1550" s="58" t="n">
        <v>9109</v>
      </c>
      <c r="I1550" s="39" t="str">
        <f aca="false">A1550&amp;"|"&amp;B1550&amp;"|"&amp;D1550&amp;"|"&amp;E1550&amp;F1550</f>
        <v>home|Lawton|scenario 4 (dwelling $400,000, deductible 1%)|frame</v>
      </c>
      <c r="J1550" s="34" t="n">
        <f aca="false" t="array" ref="J1550:J1550">MEDIAN(IF($I$4:$I$1803=I1550,$H$4:$H$1803))</f>
        <v>6843</v>
      </c>
      <c r="K1550" s="59" t="n">
        <f aca="false">H1550/J1550</f>
        <v>1.33114131228993</v>
      </c>
    </row>
    <row r="1551" customFormat="false" ht="15" hidden="false" customHeight="false" outlineLevel="0" collapsed="false">
      <c r="A1551" s="39" t="s">
        <v>912</v>
      </c>
      <c r="B1551" s="39" t="s">
        <v>909</v>
      </c>
      <c r="C1551" s="39" t="s">
        <v>899</v>
      </c>
      <c r="D1551" s="39" t="s">
        <v>918</v>
      </c>
      <c r="E1551" s="39"/>
      <c r="F1551" s="39" t="s">
        <v>915</v>
      </c>
      <c r="G1551" s="60"/>
      <c r="H1551" s="58" t="n">
        <v>8925</v>
      </c>
      <c r="I1551" s="39" t="str">
        <f aca="false">A1551&amp;"|"&amp;B1551&amp;"|"&amp;D1551&amp;"|"&amp;E1551&amp;F1551</f>
        <v>home|Lawton|scenario 4 (dwelling $400,000, deductible 1%)|masonry</v>
      </c>
      <c r="J1551" s="34" t="n">
        <f aca="false" t="array" ref="J1551:J1551">MEDIAN(IF($I$4:$I$1803=I1551,$H$4:$H$1803))</f>
        <v>7053.5</v>
      </c>
      <c r="K1551" s="59" t="n">
        <f aca="false">H1551/J1551</f>
        <v>1.26532926915716</v>
      </c>
    </row>
    <row r="1552" customFormat="false" ht="15" hidden="false" customHeight="false" outlineLevel="0" collapsed="false">
      <c r="A1552" s="39" t="s">
        <v>912</v>
      </c>
      <c r="B1552" s="39" t="s">
        <v>909</v>
      </c>
      <c r="C1552" s="39" t="s">
        <v>899</v>
      </c>
      <c r="D1552" s="39" t="s">
        <v>919</v>
      </c>
      <c r="E1552" s="39"/>
      <c r="F1552" s="39" t="s">
        <v>133</v>
      </c>
      <c r="G1552" s="60"/>
      <c r="H1552" s="58" t="n">
        <v>10447</v>
      </c>
      <c r="I1552" s="39" t="str">
        <f aca="false">A1552&amp;"|"&amp;B1552&amp;"|"&amp;D1552&amp;"|"&amp;E1552&amp;F1552</f>
        <v>home|Lawton|scenario 5 (dwelling $500,000, deductible 1%)|frame</v>
      </c>
      <c r="J1552" s="34" t="n">
        <f aca="false" t="array" ref="J1552:J1552">MEDIAN(IF($I$4:$I$1803=I1552,$H$4:$H$1803))</f>
        <v>8289.5</v>
      </c>
      <c r="K1552" s="59" t="n">
        <f aca="false">H1552/J1552</f>
        <v>1.260269015019</v>
      </c>
    </row>
    <row r="1553" customFormat="false" ht="15" hidden="false" customHeight="false" outlineLevel="0" collapsed="false">
      <c r="A1553" s="39" t="s">
        <v>912</v>
      </c>
      <c r="B1553" s="39" t="s">
        <v>909</v>
      </c>
      <c r="C1553" s="39" t="s">
        <v>899</v>
      </c>
      <c r="D1553" s="39" t="s">
        <v>919</v>
      </c>
      <c r="E1553" s="39"/>
      <c r="F1553" s="39" t="s">
        <v>915</v>
      </c>
      <c r="G1553" s="60"/>
      <c r="H1553" s="58" t="n">
        <v>10238</v>
      </c>
      <c r="I1553" s="39" t="str">
        <f aca="false">A1553&amp;"|"&amp;B1553&amp;"|"&amp;D1553&amp;"|"&amp;E1553&amp;F1553</f>
        <v>home|Lawton|scenario 5 (dwelling $500,000, deductible 1%)|masonry</v>
      </c>
      <c r="J1553" s="34" t="n">
        <f aca="false" t="array" ref="J1553:J1553">MEDIAN(IF($I$4:$I$1803=I1553,$H$4:$H$1803))</f>
        <v>7988.5</v>
      </c>
      <c r="K1553" s="59" t="n">
        <f aca="false">H1553/J1553</f>
        <v>1.28159228891532</v>
      </c>
    </row>
    <row r="1554" customFormat="false" ht="15" hidden="false" customHeight="false" outlineLevel="0" collapsed="false">
      <c r="A1554" s="39" t="s">
        <v>912</v>
      </c>
      <c r="B1554" s="39" t="s">
        <v>909</v>
      </c>
      <c r="C1554" s="39" t="s">
        <v>900</v>
      </c>
      <c r="D1554" s="39" t="s">
        <v>914</v>
      </c>
      <c r="E1554" s="39"/>
      <c r="F1554" s="39" t="s">
        <v>133</v>
      </c>
      <c r="G1554" s="60"/>
      <c r="H1554" s="58" t="n">
        <v>2147</v>
      </c>
      <c r="I1554" s="39" t="str">
        <f aca="false">A1554&amp;"|"&amp;B1554&amp;"|"&amp;D1554&amp;"|"&amp;E1554&amp;F1554</f>
        <v>home|Lawton|scenario 1 (dwelling $100,000, deductible 1%)|frame</v>
      </c>
      <c r="J1554" s="34" t="n">
        <f aca="false" t="array" ref="J1554:J1554">MEDIAN(IF($I$4:$I$1803=I1554,$H$4:$H$1803))</f>
        <v>2837.5</v>
      </c>
      <c r="K1554" s="59" t="n">
        <f aca="false">H1554/J1554</f>
        <v>0.756651982378855</v>
      </c>
    </row>
    <row r="1555" customFormat="false" ht="15" hidden="false" customHeight="false" outlineLevel="0" collapsed="false">
      <c r="A1555" s="39" t="s">
        <v>912</v>
      </c>
      <c r="B1555" s="39" t="s">
        <v>909</v>
      </c>
      <c r="C1555" s="39" t="s">
        <v>900</v>
      </c>
      <c r="D1555" s="39" t="s">
        <v>914</v>
      </c>
      <c r="E1555" s="39"/>
      <c r="F1555" s="39" t="s">
        <v>915</v>
      </c>
      <c r="G1555" s="60"/>
      <c r="H1555" s="58" t="n">
        <v>2106</v>
      </c>
      <c r="I1555" s="39" t="str">
        <f aca="false">A1555&amp;"|"&amp;B1555&amp;"|"&amp;D1555&amp;"|"&amp;E1555&amp;F1555</f>
        <v>home|Lawton|scenario 1 (dwelling $100,000, deductible 1%)|masonry</v>
      </c>
      <c r="J1555" s="34" t="n">
        <f aca="false" t="array" ref="J1555:J1555">MEDIAN(IF($I$4:$I$1803=I1555,$H$4:$H$1803))</f>
        <v>2724.5</v>
      </c>
      <c r="K1555" s="59" t="n">
        <f aca="false">H1555/J1555</f>
        <v>0.772985868966783</v>
      </c>
    </row>
    <row r="1556" customFormat="false" ht="15" hidden="false" customHeight="false" outlineLevel="0" collapsed="false">
      <c r="A1556" s="39" t="s">
        <v>912</v>
      </c>
      <c r="B1556" s="39" t="s">
        <v>909</v>
      </c>
      <c r="C1556" s="39" t="s">
        <v>900</v>
      </c>
      <c r="D1556" s="39" t="s">
        <v>916</v>
      </c>
      <c r="E1556" s="39"/>
      <c r="F1556" s="39" t="s">
        <v>133</v>
      </c>
      <c r="G1556" s="60"/>
      <c r="H1556" s="58" t="n">
        <v>3704</v>
      </c>
      <c r="I1556" s="39" t="str">
        <f aca="false">A1556&amp;"|"&amp;B1556&amp;"|"&amp;D1556&amp;"|"&amp;E1556&amp;F1556</f>
        <v>home|Lawton|scenario 2 (dwelling $200,000, deductible 1%)|frame</v>
      </c>
      <c r="J1556" s="34" t="n">
        <f aca="false" t="array" ref="J1556:J1556">MEDIAN(IF($I$4:$I$1803=I1556,$H$4:$H$1803))</f>
        <v>4045</v>
      </c>
      <c r="K1556" s="59" t="n">
        <f aca="false">H1556/J1556</f>
        <v>0.915698393077874</v>
      </c>
    </row>
    <row r="1557" customFormat="false" ht="15" hidden="false" customHeight="false" outlineLevel="0" collapsed="false">
      <c r="A1557" s="39" t="s">
        <v>912</v>
      </c>
      <c r="B1557" s="39" t="s">
        <v>909</v>
      </c>
      <c r="C1557" s="39" t="s">
        <v>900</v>
      </c>
      <c r="D1557" s="39" t="s">
        <v>916</v>
      </c>
      <c r="E1557" s="39"/>
      <c r="F1557" s="39" t="s">
        <v>915</v>
      </c>
      <c r="G1557" s="60"/>
      <c r="H1557" s="58" t="n">
        <v>3633</v>
      </c>
      <c r="I1557" s="39" t="str">
        <f aca="false">A1557&amp;"|"&amp;B1557&amp;"|"&amp;D1557&amp;"|"&amp;E1557&amp;F1557</f>
        <v>home|Lawton|scenario 2 (dwelling $200,000, deductible 1%)|masonry</v>
      </c>
      <c r="J1557" s="34" t="n">
        <f aca="false" t="array" ref="J1557:J1557">MEDIAN(IF($I$4:$I$1803=I1557,$H$4:$H$1803))</f>
        <v>4085.5</v>
      </c>
      <c r="K1557" s="59" t="n">
        <f aca="false">H1557/J1557</f>
        <v>0.889242442785461</v>
      </c>
    </row>
    <row r="1558" customFormat="false" ht="15" hidden="false" customHeight="false" outlineLevel="0" collapsed="false">
      <c r="A1558" s="39" t="s">
        <v>912</v>
      </c>
      <c r="B1558" s="39" t="s">
        <v>909</v>
      </c>
      <c r="C1558" s="39" t="s">
        <v>900</v>
      </c>
      <c r="D1558" s="39" t="s">
        <v>917</v>
      </c>
      <c r="E1558" s="39"/>
      <c r="F1558" s="39" t="s">
        <v>133</v>
      </c>
      <c r="G1558" s="60"/>
      <c r="H1558" s="58" t="n">
        <v>5220</v>
      </c>
      <c r="I1558" s="39" t="str">
        <f aca="false">A1558&amp;"|"&amp;B1558&amp;"|"&amp;D1558&amp;"|"&amp;E1558&amp;F1558</f>
        <v>home|Lawton|scenario 3 (dwelling $300,000, deductible 1%)|frame</v>
      </c>
      <c r="J1558" s="34" t="n">
        <f aca="false" t="array" ref="J1558:J1558">MEDIAN(IF($I$4:$I$1803=I1558,$H$4:$H$1803))</f>
        <v>5628.5</v>
      </c>
      <c r="K1558" s="59" t="n">
        <f aca="false">H1558/J1558</f>
        <v>0.9274229368393</v>
      </c>
    </row>
    <row r="1559" customFormat="false" ht="15" hidden="false" customHeight="false" outlineLevel="0" collapsed="false">
      <c r="A1559" s="39" t="s">
        <v>912</v>
      </c>
      <c r="B1559" s="39" t="s">
        <v>909</v>
      </c>
      <c r="C1559" s="39" t="s">
        <v>900</v>
      </c>
      <c r="D1559" s="39" t="s">
        <v>917</v>
      </c>
      <c r="E1559" s="39"/>
      <c r="F1559" s="39" t="s">
        <v>915</v>
      </c>
      <c r="G1559" s="60"/>
      <c r="H1559" s="58" t="n">
        <v>5119</v>
      </c>
      <c r="I1559" s="39" t="str">
        <f aca="false">A1559&amp;"|"&amp;B1559&amp;"|"&amp;D1559&amp;"|"&amp;E1559&amp;F1559</f>
        <v>home|Lawton|scenario 3 (dwelling $300,000, deductible 1%)|masonry</v>
      </c>
      <c r="J1559" s="34" t="n">
        <f aca="false" t="array" ref="J1559:J1559">MEDIAN(IF($I$4:$I$1803=I1559,$H$4:$H$1803))</f>
        <v>5640.5</v>
      </c>
      <c r="K1559" s="59" t="n">
        <f aca="false">H1559/J1559</f>
        <v>0.907543657477174</v>
      </c>
    </row>
    <row r="1560" customFormat="false" ht="15" hidden="false" customHeight="false" outlineLevel="0" collapsed="false">
      <c r="A1560" s="39" t="s">
        <v>912</v>
      </c>
      <c r="B1560" s="39" t="s">
        <v>909</v>
      </c>
      <c r="C1560" s="39" t="s">
        <v>900</v>
      </c>
      <c r="D1560" s="39" t="s">
        <v>918</v>
      </c>
      <c r="E1560" s="39"/>
      <c r="F1560" s="39" t="s">
        <v>133</v>
      </c>
      <c r="G1560" s="60"/>
      <c r="H1560" s="58" t="n">
        <v>6860</v>
      </c>
      <c r="I1560" s="39" t="str">
        <f aca="false">A1560&amp;"|"&amp;B1560&amp;"|"&amp;D1560&amp;"|"&amp;E1560&amp;F1560</f>
        <v>home|Lawton|scenario 4 (dwelling $400,000, deductible 1%)|frame</v>
      </c>
      <c r="J1560" s="34" t="n">
        <f aca="false" t="array" ref="J1560:J1560">MEDIAN(IF($I$4:$I$1803=I1560,$H$4:$H$1803))</f>
        <v>6843</v>
      </c>
      <c r="K1560" s="59" t="n">
        <f aca="false">H1560/J1560</f>
        <v>1.00248429051586</v>
      </c>
    </row>
    <row r="1561" customFormat="false" ht="15" hidden="false" customHeight="false" outlineLevel="0" collapsed="false">
      <c r="A1561" s="39" t="s">
        <v>912</v>
      </c>
      <c r="B1561" s="39" t="s">
        <v>909</v>
      </c>
      <c r="C1561" s="39" t="s">
        <v>900</v>
      </c>
      <c r="D1561" s="39" t="s">
        <v>918</v>
      </c>
      <c r="E1561" s="39"/>
      <c r="F1561" s="39" t="s">
        <v>915</v>
      </c>
      <c r="G1561" s="60"/>
      <c r="H1561" s="58" t="n">
        <v>6726</v>
      </c>
      <c r="I1561" s="39" t="str">
        <f aca="false">A1561&amp;"|"&amp;B1561&amp;"|"&amp;D1561&amp;"|"&amp;E1561&amp;F1561</f>
        <v>home|Lawton|scenario 4 (dwelling $400,000, deductible 1%)|masonry</v>
      </c>
      <c r="J1561" s="34" t="n">
        <f aca="false" t="array" ref="J1561:J1561">MEDIAN(IF($I$4:$I$1803=I1561,$H$4:$H$1803))</f>
        <v>7053.5</v>
      </c>
      <c r="K1561" s="59" t="n">
        <f aca="false">H1561/J1561</f>
        <v>0.953569150067342</v>
      </c>
    </row>
    <row r="1562" customFormat="false" ht="15" hidden="false" customHeight="false" outlineLevel="0" collapsed="false">
      <c r="A1562" s="39" t="s">
        <v>912</v>
      </c>
      <c r="B1562" s="39" t="s">
        <v>909</v>
      </c>
      <c r="C1562" s="39" t="s">
        <v>900</v>
      </c>
      <c r="D1562" s="39" t="s">
        <v>919</v>
      </c>
      <c r="E1562" s="39"/>
      <c r="F1562" s="39" t="s">
        <v>133</v>
      </c>
      <c r="G1562" s="60"/>
      <c r="H1562" s="58" t="n">
        <v>8102</v>
      </c>
      <c r="I1562" s="39" t="str">
        <f aca="false">A1562&amp;"|"&amp;B1562&amp;"|"&amp;D1562&amp;"|"&amp;E1562&amp;F1562</f>
        <v>home|Lawton|scenario 5 (dwelling $500,000, deductible 1%)|frame</v>
      </c>
      <c r="J1562" s="34" t="n">
        <f aca="false" t="array" ref="J1562:J1562">MEDIAN(IF($I$4:$I$1803=I1562,$H$4:$H$1803))</f>
        <v>8289.5</v>
      </c>
      <c r="K1562" s="59" t="n">
        <f aca="false">H1562/J1562</f>
        <v>0.977381024187225</v>
      </c>
    </row>
    <row r="1563" customFormat="false" ht="15" hidden="false" customHeight="false" outlineLevel="0" collapsed="false">
      <c r="A1563" s="39" t="s">
        <v>912</v>
      </c>
      <c r="B1563" s="39" t="s">
        <v>909</v>
      </c>
      <c r="C1563" s="39" t="s">
        <v>900</v>
      </c>
      <c r="D1563" s="39" t="s">
        <v>919</v>
      </c>
      <c r="E1563" s="39"/>
      <c r="F1563" s="39" t="s">
        <v>915</v>
      </c>
      <c r="G1563" s="60"/>
      <c r="H1563" s="58" t="n">
        <v>7945</v>
      </c>
      <c r="I1563" s="39" t="str">
        <f aca="false">A1563&amp;"|"&amp;B1563&amp;"|"&amp;D1563&amp;"|"&amp;E1563&amp;F1563</f>
        <v>home|Lawton|scenario 5 (dwelling $500,000, deductible 1%)|masonry</v>
      </c>
      <c r="J1563" s="34" t="n">
        <f aca="false" t="array" ref="J1563:J1563">MEDIAN(IF($I$4:$I$1803=I1563,$H$4:$H$1803))</f>
        <v>7988.5</v>
      </c>
      <c r="K1563" s="59" t="n">
        <f aca="false">H1563/J1563</f>
        <v>0.994554672341491</v>
      </c>
    </row>
    <row r="1564" customFormat="false" ht="15" hidden="false" customHeight="false" outlineLevel="0" collapsed="false">
      <c r="A1564" s="39" t="s">
        <v>912</v>
      </c>
      <c r="B1564" s="39" t="s">
        <v>909</v>
      </c>
      <c r="C1564" s="39" t="s">
        <v>932</v>
      </c>
      <c r="D1564" s="39" t="s">
        <v>914</v>
      </c>
      <c r="E1564" s="39"/>
      <c r="F1564" s="39" t="s">
        <v>133</v>
      </c>
      <c r="G1564" s="60"/>
      <c r="H1564" s="58" t="n">
        <v>3731</v>
      </c>
      <c r="I1564" s="39" t="str">
        <f aca="false">A1564&amp;"|"&amp;B1564&amp;"|"&amp;D1564&amp;"|"&amp;E1564&amp;F1564</f>
        <v>home|Lawton|scenario 1 (dwelling $100,000, deductible 1%)|frame</v>
      </c>
      <c r="J1564" s="34" t="n">
        <f aca="false" t="array" ref="J1564:J1564">MEDIAN(IF($I$4:$I$1803=I1564,$H$4:$H$1803))</f>
        <v>2837.5</v>
      </c>
      <c r="K1564" s="59" t="n">
        <f aca="false">H1564/J1564</f>
        <v>1.31488986784141</v>
      </c>
    </row>
    <row r="1565" customFormat="false" ht="15" hidden="false" customHeight="false" outlineLevel="0" collapsed="false">
      <c r="A1565" s="39" t="s">
        <v>912</v>
      </c>
      <c r="B1565" s="39" t="s">
        <v>909</v>
      </c>
      <c r="C1565" s="39" t="s">
        <v>932</v>
      </c>
      <c r="D1565" s="39" t="s">
        <v>914</v>
      </c>
      <c r="E1565" s="39"/>
      <c r="F1565" s="39" t="s">
        <v>915</v>
      </c>
      <c r="G1565" s="60"/>
      <c r="H1565" s="58" t="n">
        <v>3306</v>
      </c>
      <c r="I1565" s="39" t="str">
        <f aca="false">A1565&amp;"|"&amp;B1565&amp;"|"&amp;D1565&amp;"|"&amp;E1565&amp;F1565</f>
        <v>home|Lawton|scenario 1 (dwelling $100,000, deductible 1%)|masonry</v>
      </c>
      <c r="J1565" s="34" t="n">
        <f aca="false" t="array" ref="J1565:J1565">MEDIAN(IF($I$4:$I$1803=I1565,$H$4:$H$1803))</f>
        <v>2724.5</v>
      </c>
      <c r="K1565" s="59" t="n">
        <f aca="false">H1565/J1565</f>
        <v>1.21343365755184</v>
      </c>
    </row>
    <row r="1566" customFormat="false" ht="15" hidden="false" customHeight="false" outlineLevel="0" collapsed="false">
      <c r="A1566" s="39" t="s">
        <v>912</v>
      </c>
      <c r="B1566" s="39" t="s">
        <v>909</v>
      </c>
      <c r="C1566" s="39" t="s">
        <v>932</v>
      </c>
      <c r="D1566" s="39" t="s">
        <v>916</v>
      </c>
      <c r="E1566" s="39"/>
      <c r="F1566" s="39" t="s">
        <v>133</v>
      </c>
      <c r="G1566" s="60"/>
      <c r="H1566" s="58" t="n">
        <v>5683</v>
      </c>
      <c r="I1566" s="39" t="str">
        <f aca="false">A1566&amp;"|"&amp;B1566&amp;"|"&amp;D1566&amp;"|"&amp;E1566&amp;F1566</f>
        <v>home|Lawton|scenario 2 (dwelling $200,000, deductible 1%)|frame</v>
      </c>
      <c r="J1566" s="34" t="n">
        <f aca="false" t="array" ref="J1566:J1566">MEDIAN(IF($I$4:$I$1803=I1566,$H$4:$H$1803))</f>
        <v>4045</v>
      </c>
      <c r="K1566" s="59" t="n">
        <f aca="false">H1566/J1566</f>
        <v>1.40494437577256</v>
      </c>
    </row>
    <row r="1567" customFormat="false" ht="15" hidden="false" customHeight="false" outlineLevel="0" collapsed="false">
      <c r="A1567" s="39" t="s">
        <v>912</v>
      </c>
      <c r="B1567" s="39" t="s">
        <v>909</v>
      </c>
      <c r="C1567" s="39" t="s">
        <v>932</v>
      </c>
      <c r="D1567" s="39" t="s">
        <v>916</v>
      </c>
      <c r="E1567" s="39"/>
      <c r="F1567" s="39" t="s">
        <v>915</v>
      </c>
      <c r="G1567" s="60"/>
      <c r="H1567" s="58" t="n">
        <v>4964</v>
      </c>
      <c r="I1567" s="39" t="str">
        <f aca="false">A1567&amp;"|"&amp;B1567&amp;"|"&amp;D1567&amp;"|"&amp;E1567&amp;F1567</f>
        <v>home|Lawton|scenario 2 (dwelling $200,000, deductible 1%)|masonry</v>
      </c>
      <c r="J1567" s="34" t="n">
        <f aca="false" t="array" ref="J1567:J1567">MEDIAN(IF($I$4:$I$1803=I1567,$H$4:$H$1803))</f>
        <v>4085.5</v>
      </c>
      <c r="K1567" s="59" t="n">
        <f aca="false">H1567/J1567</f>
        <v>1.21502876024966</v>
      </c>
    </row>
    <row r="1568" customFormat="false" ht="15" hidden="false" customHeight="false" outlineLevel="0" collapsed="false">
      <c r="A1568" s="39" t="s">
        <v>912</v>
      </c>
      <c r="B1568" s="39" t="s">
        <v>909</v>
      </c>
      <c r="C1568" s="39" t="s">
        <v>932</v>
      </c>
      <c r="D1568" s="39" t="s">
        <v>917</v>
      </c>
      <c r="E1568" s="39"/>
      <c r="F1568" s="39" t="s">
        <v>133</v>
      </c>
      <c r="G1568" s="60"/>
      <c r="H1568" s="58" t="n">
        <v>7071</v>
      </c>
      <c r="I1568" s="39" t="str">
        <f aca="false">A1568&amp;"|"&amp;B1568&amp;"|"&amp;D1568&amp;"|"&amp;E1568&amp;F1568</f>
        <v>home|Lawton|scenario 3 (dwelling $300,000, deductible 1%)|frame</v>
      </c>
      <c r="J1568" s="34" t="n">
        <f aca="false" t="array" ref="J1568:J1568">MEDIAN(IF($I$4:$I$1803=I1568,$H$4:$H$1803))</f>
        <v>5628.5</v>
      </c>
      <c r="K1568" s="59" t="n">
        <f aca="false">H1568/J1568</f>
        <v>1.25628497823576</v>
      </c>
    </row>
    <row r="1569" customFormat="false" ht="15" hidden="false" customHeight="false" outlineLevel="0" collapsed="false">
      <c r="A1569" s="39" t="s">
        <v>912</v>
      </c>
      <c r="B1569" s="39" t="s">
        <v>909</v>
      </c>
      <c r="C1569" s="39" t="s">
        <v>932</v>
      </c>
      <c r="D1569" s="39" t="s">
        <v>917</v>
      </c>
      <c r="E1569" s="39"/>
      <c r="F1569" s="39" t="s">
        <v>915</v>
      </c>
      <c r="G1569" s="60"/>
      <c r="H1569" s="58" t="n">
        <v>6146</v>
      </c>
      <c r="I1569" s="39" t="str">
        <f aca="false">A1569&amp;"|"&amp;B1569&amp;"|"&amp;D1569&amp;"|"&amp;E1569&amp;F1569</f>
        <v>home|Lawton|scenario 3 (dwelling $300,000, deductible 1%)|masonry</v>
      </c>
      <c r="J1569" s="34" t="n">
        <f aca="false" t="array" ref="J1569:J1569">MEDIAN(IF($I$4:$I$1803=I1569,$H$4:$H$1803))</f>
        <v>5640.5</v>
      </c>
      <c r="K1569" s="59" t="n">
        <f aca="false">H1569/J1569</f>
        <v>1.08961971456431</v>
      </c>
    </row>
    <row r="1570" customFormat="false" ht="15" hidden="false" customHeight="false" outlineLevel="0" collapsed="false">
      <c r="A1570" s="39" t="s">
        <v>912</v>
      </c>
      <c r="B1570" s="39" t="s">
        <v>909</v>
      </c>
      <c r="C1570" s="39" t="s">
        <v>932</v>
      </c>
      <c r="D1570" s="39" t="s">
        <v>918</v>
      </c>
      <c r="E1570" s="39"/>
      <c r="F1570" s="39" t="s">
        <v>133</v>
      </c>
      <c r="G1570" s="60"/>
      <c r="H1570" s="58" t="n">
        <v>8264</v>
      </c>
      <c r="I1570" s="39" t="str">
        <f aca="false">A1570&amp;"|"&amp;B1570&amp;"|"&amp;D1570&amp;"|"&amp;E1570&amp;F1570</f>
        <v>home|Lawton|scenario 4 (dwelling $400,000, deductible 1%)|frame</v>
      </c>
      <c r="J1570" s="34" t="n">
        <f aca="false" t="array" ref="J1570:J1570">MEDIAN(IF($I$4:$I$1803=I1570,$H$4:$H$1803))</f>
        <v>6843</v>
      </c>
      <c r="K1570" s="59" t="n">
        <f aca="false">H1570/J1570</f>
        <v>1.20765746017828</v>
      </c>
    </row>
    <row r="1571" customFormat="false" ht="15" hidden="false" customHeight="false" outlineLevel="0" collapsed="false">
      <c r="A1571" s="39" t="s">
        <v>912</v>
      </c>
      <c r="B1571" s="39" t="s">
        <v>909</v>
      </c>
      <c r="C1571" s="39" t="s">
        <v>932</v>
      </c>
      <c r="D1571" s="39" t="s">
        <v>918</v>
      </c>
      <c r="E1571" s="39"/>
      <c r="F1571" s="39" t="s">
        <v>915</v>
      </c>
      <c r="G1571" s="60"/>
      <c r="H1571" s="58" t="n">
        <v>7163</v>
      </c>
      <c r="I1571" s="39" t="str">
        <f aca="false">A1571&amp;"|"&amp;B1571&amp;"|"&amp;D1571&amp;"|"&amp;E1571&amp;F1571</f>
        <v>home|Lawton|scenario 4 (dwelling $400,000, deductible 1%)|masonry</v>
      </c>
      <c r="J1571" s="34" t="n">
        <f aca="false" t="array" ref="J1571:J1571">MEDIAN(IF($I$4:$I$1803=I1571,$H$4:$H$1803))</f>
        <v>7053.5</v>
      </c>
      <c r="K1571" s="59" t="n">
        <f aca="false">H1571/J1571</f>
        <v>1.01552420784008</v>
      </c>
    </row>
    <row r="1572" customFormat="false" ht="15" hidden="false" customHeight="false" outlineLevel="0" collapsed="false">
      <c r="A1572" s="39" t="s">
        <v>912</v>
      </c>
      <c r="B1572" s="39" t="s">
        <v>909</v>
      </c>
      <c r="C1572" s="39" t="s">
        <v>932</v>
      </c>
      <c r="D1572" s="39" t="s">
        <v>919</v>
      </c>
      <c r="E1572" s="39"/>
      <c r="F1572" s="39" t="s">
        <v>133</v>
      </c>
      <c r="G1572" s="60"/>
      <c r="H1572" s="58" t="n">
        <v>9281</v>
      </c>
      <c r="I1572" s="39" t="str">
        <f aca="false">A1572&amp;"|"&amp;B1572&amp;"|"&amp;D1572&amp;"|"&amp;E1572&amp;F1572</f>
        <v>home|Lawton|scenario 5 (dwelling $500,000, deductible 1%)|frame</v>
      </c>
      <c r="J1572" s="34" t="n">
        <f aca="false" t="array" ref="J1572:J1572">MEDIAN(IF($I$4:$I$1803=I1572,$H$4:$H$1803))</f>
        <v>8289.5</v>
      </c>
      <c r="K1572" s="59" t="n">
        <f aca="false">H1572/J1572</f>
        <v>1.11960914409796</v>
      </c>
    </row>
    <row r="1573" customFormat="false" ht="15" hidden="false" customHeight="false" outlineLevel="0" collapsed="false">
      <c r="A1573" s="39" t="s">
        <v>912</v>
      </c>
      <c r="B1573" s="39" t="s">
        <v>909</v>
      </c>
      <c r="C1573" s="39" t="s">
        <v>932</v>
      </c>
      <c r="D1573" s="39" t="s">
        <v>919</v>
      </c>
      <c r="E1573" s="39"/>
      <c r="F1573" s="39" t="s">
        <v>915</v>
      </c>
      <c r="G1573" s="60"/>
      <c r="H1573" s="58" t="n">
        <v>8032</v>
      </c>
      <c r="I1573" s="39" t="str">
        <f aca="false">A1573&amp;"|"&amp;B1573&amp;"|"&amp;D1573&amp;"|"&amp;E1573&amp;F1573</f>
        <v>home|Lawton|scenario 5 (dwelling $500,000, deductible 1%)|masonry</v>
      </c>
      <c r="J1573" s="34" t="n">
        <f aca="false" t="array" ref="J1573:J1573">MEDIAN(IF($I$4:$I$1803=I1573,$H$4:$H$1803))</f>
        <v>7988.5</v>
      </c>
      <c r="K1573" s="59" t="n">
        <f aca="false">H1573/J1573</f>
        <v>1.00544532765851</v>
      </c>
    </row>
    <row r="1574" customFormat="false" ht="15" hidden="false" customHeight="false" outlineLevel="0" collapsed="false">
      <c r="A1574" s="39" t="s">
        <v>912</v>
      </c>
      <c r="B1574" s="39" t="s">
        <v>909</v>
      </c>
      <c r="C1574" s="39" t="s">
        <v>933</v>
      </c>
      <c r="D1574" s="39" t="s">
        <v>914</v>
      </c>
      <c r="E1574" s="39"/>
      <c r="F1574" s="39" t="s">
        <v>133</v>
      </c>
      <c r="G1574" s="60"/>
      <c r="H1574" s="58" t="n">
        <v>3407</v>
      </c>
      <c r="I1574" s="39" t="str">
        <f aca="false">A1574&amp;"|"&amp;B1574&amp;"|"&amp;D1574&amp;"|"&amp;E1574&amp;F1574</f>
        <v>home|Lawton|scenario 1 (dwelling $100,000, deductible 1%)|frame</v>
      </c>
      <c r="J1574" s="34" t="n">
        <f aca="false" t="array" ref="J1574:J1574">MEDIAN(IF($I$4:$I$1803=I1574,$H$4:$H$1803))</f>
        <v>2837.5</v>
      </c>
      <c r="K1574" s="59" t="n">
        <f aca="false">H1574/J1574</f>
        <v>1.20070484581498</v>
      </c>
    </row>
    <row r="1575" customFormat="false" ht="15" hidden="false" customHeight="false" outlineLevel="0" collapsed="false">
      <c r="A1575" s="39" t="s">
        <v>912</v>
      </c>
      <c r="B1575" s="39" t="s">
        <v>909</v>
      </c>
      <c r="C1575" s="39" t="s">
        <v>933</v>
      </c>
      <c r="D1575" s="39" t="s">
        <v>914</v>
      </c>
      <c r="E1575" s="39"/>
      <c r="F1575" s="39" t="s">
        <v>915</v>
      </c>
      <c r="G1575" s="60"/>
      <c r="H1575" s="58" t="n">
        <v>3456</v>
      </c>
      <c r="I1575" s="39" t="str">
        <f aca="false">A1575&amp;"|"&amp;B1575&amp;"|"&amp;D1575&amp;"|"&amp;E1575&amp;F1575</f>
        <v>home|Lawton|scenario 1 (dwelling $100,000, deductible 1%)|masonry</v>
      </c>
      <c r="J1575" s="34" t="n">
        <f aca="false" t="array" ref="J1575:J1575">MEDIAN(IF($I$4:$I$1803=I1575,$H$4:$H$1803))</f>
        <v>2724.5</v>
      </c>
      <c r="K1575" s="59" t="n">
        <f aca="false">H1575/J1575</f>
        <v>1.26848963112498</v>
      </c>
    </row>
    <row r="1576" customFormat="false" ht="15" hidden="false" customHeight="false" outlineLevel="0" collapsed="false">
      <c r="A1576" s="39" t="s">
        <v>912</v>
      </c>
      <c r="B1576" s="39" t="s">
        <v>909</v>
      </c>
      <c r="C1576" s="39" t="s">
        <v>933</v>
      </c>
      <c r="D1576" s="39" t="s">
        <v>916</v>
      </c>
      <c r="E1576" s="39"/>
      <c r="F1576" s="39" t="s">
        <v>133</v>
      </c>
      <c r="G1576" s="60"/>
      <c r="H1576" s="58" t="n">
        <v>4940</v>
      </c>
      <c r="I1576" s="39" t="str">
        <f aca="false">A1576&amp;"|"&amp;B1576&amp;"|"&amp;D1576&amp;"|"&amp;E1576&amp;F1576</f>
        <v>home|Lawton|scenario 2 (dwelling $200,000, deductible 1%)|frame</v>
      </c>
      <c r="J1576" s="34" t="n">
        <f aca="false" t="array" ref="J1576:J1576">MEDIAN(IF($I$4:$I$1803=I1576,$H$4:$H$1803))</f>
        <v>4045</v>
      </c>
      <c r="K1576" s="59" t="n">
        <f aca="false">H1576/J1576</f>
        <v>1.221260815822</v>
      </c>
    </row>
    <row r="1577" customFormat="false" ht="15" hidden="false" customHeight="false" outlineLevel="0" collapsed="false">
      <c r="A1577" s="39" t="s">
        <v>912</v>
      </c>
      <c r="B1577" s="39" t="s">
        <v>909</v>
      </c>
      <c r="C1577" s="39" t="s">
        <v>933</v>
      </c>
      <c r="D1577" s="39" t="s">
        <v>916</v>
      </c>
      <c r="E1577" s="39"/>
      <c r="F1577" s="39" t="s">
        <v>915</v>
      </c>
      <c r="G1577" s="60"/>
      <c r="H1577" s="58" t="n">
        <v>5007</v>
      </c>
      <c r="I1577" s="39" t="str">
        <f aca="false">A1577&amp;"|"&amp;B1577&amp;"|"&amp;D1577&amp;"|"&amp;E1577&amp;F1577</f>
        <v>home|Lawton|scenario 2 (dwelling $200,000, deductible 1%)|masonry</v>
      </c>
      <c r="J1577" s="34" t="n">
        <f aca="false" t="array" ref="J1577:J1577">MEDIAN(IF($I$4:$I$1803=I1577,$H$4:$H$1803))</f>
        <v>4085.5</v>
      </c>
      <c r="K1577" s="59" t="n">
        <f aca="false">H1577/J1577</f>
        <v>1.22555378778607</v>
      </c>
    </row>
    <row r="1578" customFormat="false" ht="15" hidden="false" customHeight="false" outlineLevel="0" collapsed="false">
      <c r="A1578" s="39" t="s">
        <v>912</v>
      </c>
      <c r="B1578" s="39" t="s">
        <v>909</v>
      </c>
      <c r="C1578" s="39" t="s">
        <v>933</v>
      </c>
      <c r="D1578" s="39" t="s">
        <v>917</v>
      </c>
      <c r="E1578" s="39"/>
      <c r="F1578" s="39" t="s">
        <v>133</v>
      </c>
      <c r="G1578" s="60"/>
      <c r="H1578" s="58" t="n">
        <v>6376</v>
      </c>
      <c r="I1578" s="39" t="str">
        <f aca="false">A1578&amp;"|"&amp;B1578&amp;"|"&amp;D1578&amp;"|"&amp;E1578&amp;F1578</f>
        <v>home|Lawton|scenario 3 (dwelling $300,000, deductible 1%)|frame</v>
      </c>
      <c r="J1578" s="34" t="n">
        <f aca="false" t="array" ref="J1578:J1578">MEDIAN(IF($I$4:$I$1803=I1578,$H$4:$H$1803))</f>
        <v>5628.5</v>
      </c>
      <c r="K1578" s="59" t="n">
        <f aca="false">H1578/J1578</f>
        <v>1.13280625388647</v>
      </c>
    </row>
    <row r="1579" customFormat="false" ht="15" hidden="false" customHeight="false" outlineLevel="0" collapsed="false">
      <c r="A1579" s="39" t="s">
        <v>912</v>
      </c>
      <c r="B1579" s="39" t="s">
        <v>909</v>
      </c>
      <c r="C1579" s="39" t="s">
        <v>933</v>
      </c>
      <c r="D1579" s="39" t="s">
        <v>917</v>
      </c>
      <c r="E1579" s="39"/>
      <c r="F1579" s="39" t="s">
        <v>915</v>
      </c>
      <c r="G1579" s="60"/>
      <c r="H1579" s="58" t="n">
        <v>6459</v>
      </c>
      <c r="I1579" s="39" t="str">
        <f aca="false">A1579&amp;"|"&amp;B1579&amp;"|"&amp;D1579&amp;"|"&amp;E1579&amp;F1579</f>
        <v>home|Lawton|scenario 3 (dwelling $300,000, deductible 1%)|masonry</v>
      </c>
      <c r="J1579" s="34" t="n">
        <f aca="false" t="array" ref="J1579:J1579">MEDIAN(IF($I$4:$I$1803=I1579,$H$4:$H$1803))</f>
        <v>5640.5</v>
      </c>
      <c r="K1579" s="59" t="n">
        <f aca="false">H1579/J1579</f>
        <v>1.14511124900275</v>
      </c>
    </row>
    <row r="1580" customFormat="false" ht="15" hidden="false" customHeight="false" outlineLevel="0" collapsed="false">
      <c r="A1580" s="39" t="s">
        <v>912</v>
      </c>
      <c r="B1580" s="39" t="s">
        <v>909</v>
      </c>
      <c r="C1580" s="39" t="s">
        <v>933</v>
      </c>
      <c r="D1580" s="39" t="s">
        <v>918</v>
      </c>
      <c r="E1580" s="39"/>
      <c r="F1580" s="39" t="s">
        <v>133</v>
      </c>
      <c r="G1580" s="60"/>
      <c r="H1580" s="58" t="n">
        <v>7692</v>
      </c>
      <c r="I1580" s="39" t="str">
        <f aca="false">A1580&amp;"|"&amp;B1580&amp;"|"&amp;D1580&amp;"|"&amp;E1580&amp;F1580</f>
        <v>home|Lawton|scenario 4 (dwelling $400,000, deductible 1%)|frame</v>
      </c>
      <c r="J1580" s="34" t="n">
        <f aca="false" t="array" ref="J1580:J1580">MEDIAN(IF($I$4:$I$1803=I1580,$H$4:$H$1803))</f>
        <v>6843</v>
      </c>
      <c r="K1580" s="59" t="n">
        <f aca="false">H1580/J1580</f>
        <v>1.12406839105655</v>
      </c>
    </row>
    <row r="1581" customFormat="false" ht="15" hidden="false" customHeight="false" outlineLevel="0" collapsed="false">
      <c r="A1581" s="39" t="s">
        <v>912</v>
      </c>
      <c r="B1581" s="39" t="s">
        <v>909</v>
      </c>
      <c r="C1581" s="39" t="s">
        <v>933</v>
      </c>
      <c r="D1581" s="39" t="s">
        <v>918</v>
      </c>
      <c r="E1581" s="39"/>
      <c r="F1581" s="39" t="s">
        <v>915</v>
      </c>
      <c r="G1581" s="60"/>
      <c r="H1581" s="58" t="n">
        <v>7790</v>
      </c>
      <c r="I1581" s="39" t="str">
        <f aca="false">A1581&amp;"|"&amp;B1581&amp;"|"&amp;D1581&amp;"|"&amp;E1581&amp;F1581</f>
        <v>home|Lawton|scenario 4 (dwelling $400,000, deductible 1%)|masonry</v>
      </c>
      <c r="J1581" s="34" t="n">
        <f aca="false" t="array" ref="J1581:J1581">MEDIAN(IF($I$4:$I$1803=I1581,$H$4:$H$1803))</f>
        <v>7053.5</v>
      </c>
      <c r="K1581" s="59" t="n">
        <f aca="false">H1581/J1581</f>
        <v>1.10441624725314</v>
      </c>
    </row>
    <row r="1582" customFormat="false" ht="15" hidden="false" customHeight="false" outlineLevel="0" collapsed="false">
      <c r="A1582" s="39" t="s">
        <v>912</v>
      </c>
      <c r="B1582" s="39" t="s">
        <v>909</v>
      </c>
      <c r="C1582" s="39" t="s">
        <v>933</v>
      </c>
      <c r="D1582" s="39" t="s">
        <v>919</v>
      </c>
      <c r="E1582" s="39"/>
      <c r="F1582" s="39" t="s">
        <v>133</v>
      </c>
      <c r="G1582" s="60"/>
      <c r="H1582" s="58" t="n">
        <v>8747</v>
      </c>
      <c r="I1582" s="39" t="str">
        <f aca="false">A1582&amp;"|"&amp;B1582&amp;"|"&amp;D1582&amp;"|"&amp;E1582&amp;F1582</f>
        <v>home|Lawton|scenario 5 (dwelling $500,000, deductible 1%)|frame</v>
      </c>
      <c r="J1582" s="34" t="n">
        <f aca="false" t="array" ref="J1582:J1582">MEDIAN(IF($I$4:$I$1803=I1582,$H$4:$H$1803))</f>
        <v>8289.5</v>
      </c>
      <c r="K1582" s="59" t="n">
        <f aca="false">H1582/J1582</f>
        <v>1.05519030098317</v>
      </c>
    </row>
    <row r="1583" customFormat="false" ht="15" hidden="false" customHeight="false" outlineLevel="0" collapsed="false">
      <c r="A1583" s="39" t="s">
        <v>912</v>
      </c>
      <c r="B1583" s="39" t="s">
        <v>909</v>
      </c>
      <c r="C1583" s="39" t="s">
        <v>933</v>
      </c>
      <c r="D1583" s="39" t="s">
        <v>919</v>
      </c>
      <c r="E1583" s="39"/>
      <c r="F1583" s="39" t="s">
        <v>915</v>
      </c>
      <c r="G1583" s="60"/>
      <c r="H1583" s="58" t="n">
        <v>8859</v>
      </c>
      <c r="I1583" s="39" t="str">
        <f aca="false">A1583&amp;"|"&amp;B1583&amp;"|"&amp;D1583&amp;"|"&amp;E1583&amp;F1583</f>
        <v>home|Lawton|scenario 5 (dwelling $500,000, deductible 1%)|masonry</v>
      </c>
      <c r="J1583" s="34" t="n">
        <f aca="false" t="array" ref="J1583:J1583">MEDIAN(IF($I$4:$I$1803=I1583,$H$4:$H$1803))</f>
        <v>7988.5</v>
      </c>
      <c r="K1583" s="59" t="n">
        <f aca="false">H1583/J1583</f>
        <v>1.10896914314327</v>
      </c>
    </row>
    <row r="1584" customFormat="false" ht="15" hidden="false" customHeight="false" outlineLevel="0" collapsed="false">
      <c r="A1584" s="39" t="s">
        <v>912</v>
      </c>
      <c r="B1584" s="39" t="s">
        <v>909</v>
      </c>
      <c r="C1584" s="39" t="s">
        <v>934</v>
      </c>
      <c r="D1584" s="39" t="s">
        <v>914</v>
      </c>
      <c r="E1584" s="39"/>
      <c r="F1584" s="39" t="s">
        <v>133</v>
      </c>
      <c r="G1584" s="60"/>
      <c r="H1584" s="58" t="n">
        <v>3225</v>
      </c>
      <c r="I1584" s="39" t="str">
        <f aca="false">A1584&amp;"|"&amp;B1584&amp;"|"&amp;D1584&amp;"|"&amp;E1584&amp;F1584</f>
        <v>home|Lawton|scenario 1 (dwelling $100,000, deductible 1%)|frame</v>
      </c>
      <c r="J1584" s="34" t="n">
        <f aca="false" t="array" ref="J1584:J1584">MEDIAN(IF($I$4:$I$1803=I1584,$H$4:$H$1803))</f>
        <v>2837.5</v>
      </c>
      <c r="K1584" s="59" t="n">
        <f aca="false">H1584/J1584</f>
        <v>1.13656387665198</v>
      </c>
    </row>
    <row r="1585" customFormat="false" ht="15" hidden="false" customHeight="false" outlineLevel="0" collapsed="false">
      <c r="A1585" s="39" t="s">
        <v>912</v>
      </c>
      <c r="B1585" s="39" t="s">
        <v>909</v>
      </c>
      <c r="C1585" s="39" t="s">
        <v>934</v>
      </c>
      <c r="D1585" s="39" t="s">
        <v>914</v>
      </c>
      <c r="E1585" s="39"/>
      <c r="F1585" s="39" t="s">
        <v>915</v>
      </c>
      <c r="G1585" s="60"/>
      <c r="H1585" s="58" t="n">
        <v>3301</v>
      </c>
      <c r="I1585" s="39" t="str">
        <f aca="false">A1585&amp;"|"&amp;B1585&amp;"|"&amp;D1585&amp;"|"&amp;E1585&amp;F1585</f>
        <v>home|Lawton|scenario 1 (dwelling $100,000, deductible 1%)|masonry</v>
      </c>
      <c r="J1585" s="34" t="n">
        <f aca="false" t="array" ref="J1585:J1585">MEDIAN(IF($I$4:$I$1803=I1585,$H$4:$H$1803))</f>
        <v>2724.5</v>
      </c>
      <c r="K1585" s="59" t="n">
        <f aca="false">H1585/J1585</f>
        <v>1.21159845843274</v>
      </c>
    </row>
    <row r="1586" customFormat="false" ht="15" hidden="false" customHeight="false" outlineLevel="0" collapsed="false">
      <c r="A1586" s="39" t="s">
        <v>912</v>
      </c>
      <c r="B1586" s="39" t="s">
        <v>909</v>
      </c>
      <c r="C1586" s="39" t="s">
        <v>934</v>
      </c>
      <c r="D1586" s="39" t="s">
        <v>916</v>
      </c>
      <c r="E1586" s="39"/>
      <c r="F1586" s="39" t="s">
        <v>133</v>
      </c>
      <c r="G1586" s="60"/>
      <c r="H1586" s="58" t="n">
        <v>4748</v>
      </c>
      <c r="I1586" s="39" t="str">
        <f aca="false">A1586&amp;"|"&amp;B1586&amp;"|"&amp;D1586&amp;"|"&amp;E1586&amp;F1586</f>
        <v>home|Lawton|scenario 2 (dwelling $200,000, deductible 1%)|frame</v>
      </c>
      <c r="J1586" s="34" t="n">
        <f aca="false" t="array" ref="J1586:J1586">MEDIAN(IF($I$4:$I$1803=I1586,$H$4:$H$1803))</f>
        <v>4045</v>
      </c>
      <c r="K1586" s="59" t="n">
        <f aca="false">H1586/J1586</f>
        <v>1.17379480840544</v>
      </c>
    </row>
    <row r="1587" customFormat="false" ht="15" hidden="false" customHeight="false" outlineLevel="0" collapsed="false">
      <c r="A1587" s="39" t="s">
        <v>912</v>
      </c>
      <c r="B1587" s="39" t="s">
        <v>909</v>
      </c>
      <c r="C1587" s="39" t="s">
        <v>934</v>
      </c>
      <c r="D1587" s="39" t="s">
        <v>916</v>
      </c>
      <c r="E1587" s="39"/>
      <c r="F1587" s="39" t="s">
        <v>915</v>
      </c>
      <c r="G1587" s="60"/>
      <c r="H1587" s="58" t="n">
        <v>4812</v>
      </c>
      <c r="I1587" s="39" t="str">
        <f aca="false">A1587&amp;"|"&amp;B1587&amp;"|"&amp;D1587&amp;"|"&amp;E1587&amp;F1587</f>
        <v>home|Lawton|scenario 2 (dwelling $200,000, deductible 1%)|masonry</v>
      </c>
      <c r="J1587" s="34" t="n">
        <f aca="false" t="array" ref="J1587:J1587">MEDIAN(IF($I$4:$I$1803=I1587,$H$4:$H$1803))</f>
        <v>4085.5</v>
      </c>
      <c r="K1587" s="59" t="n">
        <f aca="false">H1587/J1587</f>
        <v>1.17782401174887</v>
      </c>
    </row>
    <row r="1588" customFormat="false" ht="15" hidden="false" customHeight="false" outlineLevel="0" collapsed="false">
      <c r="A1588" s="39" t="s">
        <v>912</v>
      </c>
      <c r="B1588" s="39" t="s">
        <v>909</v>
      </c>
      <c r="C1588" s="39" t="s">
        <v>934</v>
      </c>
      <c r="D1588" s="39" t="s">
        <v>917</v>
      </c>
      <c r="E1588" s="39"/>
      <c r="F1588" s="39" t="s">
        <v>133</v>
      </c>
      <c r="G1588" s="60"/>
      <c r="H1588" s="58" t="n">
        <v>6151</v>
      </c>
      <c r="I1588" s="39" t="str">
        <f aca="false">A1588&amp;"|"&amp;B1588&amp;"|"&amp;D1588&amp;"|"&amp;E1588&amp;F1588</f>
        <v>home|Lawton|scenario 3 (dwelling $300,000, deductible 1%)|frame</v>
      </c>
      <c r="J1588" s="34" t="n">
        <f aca="false" t="array" ref="J1588:J1588">MEDIAN(IF($I$4:$I$1803=I1588,$H$4:$H$1803))</f>
        <v>5628.5</v>
      </c>
      <c r="K1588" s="59" t="n">
        <f aca="false">H1588/J1588</f>
        <v>1.09283112729857</v>
      </c>
    </row>
    <row r="1589" customFormat="false" ht="15" hidden="false" customHeight="false" outlineLevel="0" collapsed="false">
      <c r="A1589" s="39" t="s">
        <v>912</v>
      </c>
      <c r="B1589" s="39" t="s">
        <v>909</v>
      </c>
      <c r="C1589" s="39" t="s">
        <v>934</v>
      </c>
      <c r="D1589" s="39" t="s">
        <v>917</v>
      </c>
      <c r="E1589" s="39"/>
      <c r="F1589" s="39" t="s">
        <v>915</v>
      </c>
      <c r="G1589" s="60"/>
      <c r="H1589" s="58" t="n">
        <v>6230</v>
      </c>
      <c r="I1589" s="39" t="str">
        <f aca="false">A1589&amp;"|"&amp;B1589&amp;"|"&amp;D1589&amp;"|"&amp;E1589&amp;F1589</f>
        <v>home|Lawton|scenario 3 (dwelling $300,000, deductible 1%)|masonry</v>
      </c>
      <c r="J1589" s="34" t="n">
        <f aca="false" t="array" ref="J1589:J1589">MEDIAN(IF($I$4:$I$1803=I1589,$H$4:$H$1803))</f>
        <v>5640.5</v>
      </c>
      <c r="K1589" s="59" t="n">
        <f aca="false">H1589/J1589</f>
        <v>1.10451201134651</v>
      </c>
    </row>
    <row r="1590" customFormat="false" ht="15" hidden="false" customHeight="false" outlineLevel="0" collapsed="false">
      <c r="A1590" s="39" t="s">
        <v>912</v>
      </c>
      <c r="B1590" s="39" t="s">
        <v>909</v>
      </c>
      <c r="C1590" s="39" t="s">
        <v>934</v>
      </c>
      <c r="D1590" s="39" t="s">
        <v>918</v>
      </c>
      <c r="E1590" s="39"/>
      <c r="F1590" s="39" t="s">
        <v>133</v>
      </c>
      <c r="G1590" s="60"/>
      <c r="H1590" s="58" t="n">
        <v>7440</v>
      </c>
      <c r="I1590" s="39" t="str">
        <f aca="false">A1590&amp;"|"&amp;B1590&amp;"|"&amp;D1590&amp;"|"&amp;E1590&amp;F1590</f>
        <v>home|Lawton|scenario 4 (dwelling $400,000, deductible 1%)|frame</v>
      </c>
      <c r="J1590" s="34" t="n">
        <f aca="false" t="array" ref="J1590:J1590">MEDIAN(IF($I$4:$I$1803=I1590,$H$4:$H$1803))</f>
        <v>6843</v>
      </c>
      <c r="K1590" s="59" t="n">
        <f aca="false">H1590/J1590</f>
        <v>1.0872424375274</v>
      </c>
    </row>
    <row r="1591" customFormat="false" ht="15" hidden="false" customHeight="false" outlineLevel="0" collapsed="false">
      <c r="A1591" s="39" t="s">
        <v>912</v>
      </c>
      <c r="B1591" s="39" t="s">
        <v>909</v>
      </c>
      <c r="C1591" s="39" t="s">
        <v>934</v>
      </c>
      <c r="D1591" s="39" t="s">
        <v>918</v>
      </c>
      <c r="E1591" s="39"/>
      <c r="F1591" s="39" t="s">
        <v>915</v>
      </c>
      <c r="G1591" s="60"/>
      <c r="H1591" s="58" t="n">
        <v>7535</v>
      </c>
      <c r="I1591" s="39" t="str">
        <f aca="false">A1591&amp;"|"&amp;B1591&amp;"|"&amp;D1591&amp;"|"&amp;E1591&amp;F1591</f>
        <v>home|Lawton|scenario 4 (dwelling $400,000, deductible 1%)|masonry</v>
      </c>
      <c r="J1591" s="34" t="n">
        <f aca="false" t="array" ref="J1591:J1591">MEDIAN(IF($I$4:$I$1803=I1591,$H$4:$H$1803))</f>
        <v>7053.5</v>
      </c>
      <c r="K1591" s="59" t="n">
        <f aca="false">H1591/J1591</f>
        <v>1.06826398242008</v>
      </c>
    </row>
    <row r="1592" customFormat="false" ht="15" hidden="false" customHeight="false" outlineLevel="0" collapsed="false">
      <c r="A1592" s="39" t="s">
        <v>912</v>
      </c>
      <c r="B1592" s="39" t="s">
        <v>909</v>
      </c>
      <c r="C1592" s="39" t="s">
        <v>934</v>
      </c>
      <c r="D1592" s="39" t="s">
        <v>919</v>
      </c>
      <c r="E1592" s="39"/>
      <c r="F1592" s="39" t="s">
        <v>133</v>
      </c>
      <c r="G1592" s="60"/>
      <c r="H1592" s="58" t="n">
        <v>8477</v>
      </c>
      <c r="I1592" s="39" t="str">
        <f aca="false">A1592&amp;"|"&amp;B1592&amp;"|"&amp;D1592&amp;"|"&amp;E1592&amp;F1592</f>
        <v>home|Lawton|scenario 5 (dwelling $500,000, deductible 1%)|frame</v>
      </c>
      <c r="J1592" s="34" t="n">
        <f aca="false" t="array" ref="J1592:J1592">MEDIAN(IF($I$4:$I$1803=I1592,$H$4:$H$1803))</f>
        <v>8289.5</v>
      </c>
      <c r="K1592" s="59" t="n">
        <f aca="false">H1592/J1592</f>
        <v>1.02261897581278</v>
      </c>
    </row>
    <row r="1593" customFormat="false" ht="15" hidden="false" customHeight="false" outlineLevel="0" collapsed="false">
      <c r="A1593" s="39" t="s">
        <v>912</v>
      </c>
      <c r="B1593" s="39" t="s">
        <v>909</v>
      </c>
      <c r="C1593" s="39" t="s">
        <v>934</v>
      </c>
      <c r="D1593" s="39" t="s">
        <v>919</v>
      </c>
      <c r="E1593" s="39"/>
      <c r="F1593" s="39" t="s">
        <v>915</v>
      </c>
      <c r="G1593" s="60"/>
      <c r="H1593" s="58" t="n">
        <v>8587</v>
      </c>
      <c r="I1593" s="39" t="str">
        <f aca="false">A1593&amp;"|"&amp;B1593&amp;"|"&amp;D1593&amp;"|"&amp;E1593&amp;F1593</f>
        <v>home|Lawton|scenario 5 (dwelling $500,000, deductible 1%)|masonry</v>
      </c>
      <c r="J1593" s="34" t="n">
        <f aca="false" t="array" ref="J1593:J1593">MEDIAN(IF($I$4:$I$1803=I1593,$H$4:$H$1803))</f>
        <v>7988.5</v>
      </c>
      <c r="K1593" s="59" t="n">
        <f aca="false">H1593/J1593</f>
        <v>1.07492019778432</v>
      </c>
    </row>
    <row r="1594" customFormat="false" ht="15" hidden="false" customHeight="false" outlineLevel="0" collapsed="false">
      <c r="A1594" s="39" t="s">
        <v>912</v>
      </c>
      <c r="B1594" s="39" t="s">
        <v>909</v>
      </c>
      <c r="C1594" s="39" t="s">
        <v>907</v>
      </c>
      <c r="D1594" s="39" t="s">
        <v>914</v>
      </c>
      <c r="E1594" s="39"/>
      <c r="F1594" s="39" t="s">
        <v>133</v>
      </c>
      <c r="G1594" s="60"/>
      <c r="H1594" s="58" t="n">
        <v>3660</v>
      </c>
      <c r="I1594" s="39" t="str">
        <f aca="false">A1594&amp;"|"&amp;B1594&amp;"|"&amp;D1594&amp;"|"&amp;E1594&amp;F1594</f>
        <v>home|Lawton|scenario 1 (dwelling $100,000, deductible 1%)|frame</v>
      </c>
      <c r="J1594" s="34" t="n">
        <f aca="false" t="array" ref="J1594:J1594">MEDIAN(IF($I$4:$I$1803=I1594,$H$4:$H$1803))</f>
        <v>2837.5</v>
      </c>
      <c r="K1594" s="59" t="n">
        <f aca="false">H1594/J1594</f>
        <v>1.28986784140969</v>
      </c>
    </row>
    <row r="1595" customFormat="false" ht="15" hidden="false" customHeight="false" outlineLevel="0" collapsed="false">
      <c r="A1595" s="39" t="s">
        <v>912</v>
      </c>
      <c r="B1595" s="39" t="s">
        <v>909</v>
      </c>
      <c r="C1595" s="39" t="s">
        <v>907</v>
      </c>
      <c r="D1595" s="39" t="s">
        <v>914</v>
      </c>
      <c r="E1595" s="39"/>
      <c r="F1595" s="39" t="s">
        <v>915</v>
      </c>
      <c r="G1595" s="60"/>
      <c r="H1595" s="58" t="n">
        <v>3710</v>
      </c>
      <c r="I1595" s="39" t="str">
        <f aca="false">A1595&amp;"|"&amp;B1595&amp;"|"&amp;D1595&amp;"|"&amp;E1595&amp;F1595</f>
        <v>home|Lawton|scenario 1 (dwelling $100,000, deductible 1%)|masonry</v>
      </c>
      <c r="J1595" s="34" t="n">
        <f aca="false" t="array" ref="J1595:J1595">MEDIAN(IF($I$4:$I$1803=I1595,$H$4:$H$1803))</f>
        <v>2724.5</v>
      </c>
      <c r="K1595" s="59" t="n">
        <f aca="false">H1595/J1595</f>
        <v>1.36171774637548</v>
      </c>
    </row>
    <row r="1596" customFormat="false" ht="15" hidden="false" customHeight="false" outlineLevel="0" collapsed="false">
      <c r="A1596" s="39" t="s">
        <v>912</v>
      </c>
      <c r="B1596" s="39" t="s">
        <v>909</v>
      </c>
      <c r="C1596" s="39" t="s">
        <v>907</v>
      </c>
      <c r="D1596" s="39" t="s">
        <v>916</v>
      </c>
      <c r="E1596" s="39"/>
      <c r="F1596" s="39" t="s">
        <v>133</v>
      </c>
      <c r="G1596" s="60"/>
      <c r="H1596" s="58" t="n">
        <v>5363</v>
      </c>
      <c r="I1596" s="39" t="str">
        <f aca="false">A1596&amp;"|"&amp;B1596&amp;"|"&amp;D1596&amp;"|"&amp;E1596&amp;F1596</f>
        <v>home|Lawton|scenario 2 (dwelling $200,000, deductible 1%)|frame</v>
      </c>
      <c r="J1596" s="34" t="n">
        <f aca="false" t="array" ref="J1596:J1596">MEDIAN(IF($I$4:$I$1803=I1596,$H$4:$H$1803))</f>
        <v>4045</v>
      </c>
      <c r="K1596" s="59" t="n">
        <f aca="false">H1596/J1596</f>
        <v>1.32583436341162</v>
      </c>
    </row>
    <row r="1597" customFormat="false" ht="15" hidden="false" customHeight="false" outlineLevel="0" collapsed="false">
      <c r="A1597" s="39" t="s">
        <v>912</v>
      </c>
      <c r="B1597" s="39" t="s">
        <v>909</v>
      </c>
      <c r="C1597" s="39" t="s">
        <v>907</v>
      </c>
      <c r="D1597" s="39" t="s">
        <v>916</v>
      </c>
      <c r="E1597" s="39"/>
      <c r="F1597" s="39" t="s">
        <v>915</v>
      </c>
      <c r="G1597" s="60"/>
      <c r="H1597" s="58" t="n">
        <v>5437</v>
      </c>
      <c r="I1597" s="39" t="str">
        <f aca="false">A1597&amp;"|"&amp;B1597&amp;"|"&amp;D1597&amp;"|"&amp;E1597&amp;F1597</f>
        <v>home|Lawton|scenario 2 (dwelling $200,000, deductible 1%)|masonry</v>
      </c>
      <c r="J1597" s="34" t="n">
        <f aca="false" t="array" ref="J1597:J1597">MEDIAN(IF($I$4:$I$1803=I1597,$H$4:$H$1803))</f>
        <v>4085.5</v>
      </c>
      <c r="K1597" s="59" t="n">
        <f aca="false">H1597/J1597</f>
        <v>1.33080406315017</v>
      </c>
    </row>
    <row r="1598" customFormat="false" ht="15" hidden="false" customHeight="false" outlineLevel="0" collapsed="false">
      <c r="A1598" s="39" t="s">
        <v>912</v>
      </c>
      <c r="B1598" s="39" t="s">
        <v>909</v>
      </c>
      <c r="C1598" s="39" t="s">
        <v>907</v>
      </c>
      <c r="D1598" s="39" t="s">
        <v>917</v>
      </c>
      <c r="E1598" s="39"/>
      <c r="F1598" s="39" t="s">
        <v>133</v>
      </c>
      <c r="G1598" s="60"/>
      <c r="H1598" s="58" t="n">
        <v>6971</v>
      </c>
      <c r="I1598" s="39" t="str">
        <f aca="false">A1598&amp;"|"&amp;B1598&amp;"|"&amp;D1598&amp;"|"&amp;E1598&amp;F1598</f>
        <v>home|Lawton|scenario 3 (dwelling $300,000, deductible 1%)|frame</v>
      </c>
      <c r="J1598" s="34" t="n">
        <f aca="false" t="array" ref="J1598:J1598">MEDIAN(IF($I$4:$I$1803=I1598,$H$4:$H$1803))</f>
        <v>5628.5</v>
      </c>
      <c r="K1598" s="59" t="n">
        <f aca="false">H1598/J1598</f>
        <v>1.23851825530781</v>
      </c>
    </row>
    <row r="1599" customFormat="false" ht="15" hidden="false" customHeight="false" outlineLevel="0" collapsed="false">
      <c r="A1599" s="39" t="s">
        <v>912</v>
      </c>
      <c r="B1599" s="39" t="s">
        <v>909</v>
      </c>
      <c r="C1599" s="39" t="s">
        <v>907</v>
      </c>
      <c r="D1599" s="39" t="s">
        <v>917</v>
      </c>
      <c r="E1599" s="39"/>
      <c r="F1599" s="39" t="s">
        <v>915</v>
      </c>
      <c r="G1599" s="60"/>
      <c r="H1599" s="58" t="n">
        <v>7065</v>
      </c>
      <c r="I1599" s="39" t="str">
        <f aca="false">A1599&amp;"|"&amp;B1599&amp;"|"&amp;D1599&amp;"|"&amp;E1599&amp;F1599</f>
        <v>home|Lawton|scenario 3 (dwelling $300,000, deductible 1%)|masonry</v>
      </c>
      <c r="J1599" s="34" t="n">
        <f aca="false" t="array" ref="J1599:J1599">MEDIAN(IF($I$4:$I$1803=I1599,$H$4:$H$1803))</f>
        <v>5640.5</v>
      </c>
      <c r="K1599" s="59" t="n">
        <f aca="false">H1599/J1599</f>
        <v>1.25254853293148</v>
      </c>
    </row>
    <row r="1600" customFormat="false" ht="15" hidden="false" customHeight="false" outlineLevel="0" collapsed="false">
      <c r="A1600" s="39" t="s">
        <v>912</v>
      </c>
      <c r="B1600" s="39" t="s">
        <v>909</v>
      </c>
      <c r="C1600" s="39" t="s">
        <v>907</v>
      </c>
      <c r="D1600" s="39" t="s">
        <v>918</v>
      </c>
      <c r="E1600" s="39"/>
      <c r="F1600" s="39" t="s">
        <v>133</v>
      </c>
      <c r="G1600" s="60"/>
      <c r="H1600" s="58" t="n">
        <v>8449</v>
      </c>
      <c r="I1600" s="39" t="str">
        <f aca="false">A1600&amp;"|"&amp;B1600&amp;"|"&amp;D1600&amp;"|"&amp;E1600&amp;F1600</f>
        <v>home|Lawton|scenario 4 (dwelling $400,000, deductible 1%)|frame</v>
      </c>
      <c r="J1600" s="34" t="n">
        <f aca="false" t="array" ref="J1600:J1600">MEDIAN(IF($I$4:$I$1803=I1600,$H$4:$H$1803))</f>
        <v>6843</v>
      </c>
      <c r="K1600" s="59" t="n">
        <f aca="false">H1600/J1600</f>
        <v>1.23469238638024</v>
      </c>
    </row>
    <row r="1601" customFormat="false" ht="15" hidden="false" customHeight="false" outlineLevel="0" collapsed="false">
      <c r="A1601" s="39" t="s">
        <v>912</v>
      </c>
      <c r="B1601" s="39" t="s">
        <v>909</v>
      </c>
      <c r="C1601" s="39" t="s">
        <v>907</v>
      </c>
      <c r="D1601" s="39" t="s">
        <v>918</v>
      </c>
      <c r="E1601" s="39"/>
      <c r="F1601" s="39" t="s">
        <v>915</v>
      </c>
      <c r="G1601" s="60"/>
      <c r="H1601" s="58" t="n">
        <v>8562</v>
      </c>
      <c r="I1601" s="39" t="str">
        <f aca="false">A1601&amp;"|"&amp;B1601&amp;"|"&amp;D1601&amp;"|"&amp;E1601&amp;F1601</f>
        <v>home|Lawton|scenario 4 (dwelling $400,000, deductible 1%)|masonry</v>
      </c>
      <c r="J1601" s="34" t="n">
        <f aca="false" t="array" ref="J1601:J1601">MEDIAN(IF($I$4:$I$1803=I1601,$H$4:$H$1803))</f>
        <v>7053.5</v>
      </c>
      <c r="K1601" s="59" t="n">
        <f aca="false">H1601/J1601</f>
        <v>1.21386545686539</v>
      </c>
    </row>
    <row r="1602" customFormat="false" ht="15" hidden="false" customHeight="false" outlineLevel="0" collapsed="false">
      <c r="A1602" s="39" t="s">
        <v>912</v>
      </c>
      <c r="B1602" s="39" t="s">
        <v>909</v>
      </c>
      <c r="C1602" s="39" t="s">
        <v>907</v>
      </c>
      <c r="D1602" s="39" t="s">
        <v>919</v>
      </c>
      <c r="E1602" s="39"/>
      <c r="F1602" s="39" t="s">
        <v>133</v>
      </c>
      <c r="G1602" s="60"/>
      <c r="H1602" s="58" t="n">
        <v>9632</v>
      </c>
      <c r="I1602" s="39" t="str">
        <f aca="false">A1602&amp;"|"&amp;B1602&amp;"|"&amp;D1602&amp;"|"&amp;E1602&amp;F1602</f>
        <v>home|Lawton|scenario 5 (dwelling $500,000, deductible 1%)|frame</v>
      </c>
      <c r="J1602" s="34" t="n">
        <f aca="false" t="array" ref="J1602:J1602">MEDIAN(IF($I$4:$I$1803=I1602,$H$4:$H$1803))</f>
        <v>8289.5</v>
      </c>
      <c r="K1602" s="59" t="n">
        <f aca="false">H1602/J1602</f>
        <v>1.16195186681947</v>
      </c>
    </row>
    <row r="1603" customFormat="false" ht="15" hidden="false" customHeight="false" outlineLevel="0" collapsed="false">
      <c r="A1603" s="39" t="s">
        <v>912</v>
      </c>
      <c r="B1603" s="39" t="s">
        <v>909</v>
      </c>
      <c r="C1603" s="39" t="s">
        <v>907</v>
      </c>
      <c r="D1603" s="39" t="s">
        <v>919</v>
      </c>
      <c r="E1603" s="39"/>
      <c r="F1603" s="39" t="s">
        <v>915</v>
      </c>
      <c r="G1603" s="60"/>
      <c r="H1603" s="58" t="n">
        <v>9764</v>
      </c>
      <c r="I1603" s="39" t="str">
        <f aca="false">A1603&amp;"|"&amp;B1603&amp;"|"&amp;D1603&amp;"|"&amp;E1603&amp;F1603</f>
        <v>home|Lawton|scenario 5 (dwelling $500,000, deductible 1%)|masonry</v>
      </c>
      <c r="J1603" s="34" t="n">
        <f aca="false" t="array" ref="J1603:J1603">MEDIAN(IF($I$4:$I$1803=I1603,$H$4:$H$1803))</f>
        <v>7988.5</v>
      </c>
      <c r="K1603" s="59" t="n">
        <f aca="false">H1603/J1603</f>
        <v>1.22225699442949</v>
      </c>
    </row>
    <row r="1604" customFormat="false" ht="15" hidden="false" customHeight="false" outlineLevel="0" collapsed="false">
      <c r="A1604" s="39" t="s">
        <v>912</v>
      </c>
      <c r="B1604" s="39" t="s">
        <v>911</v>
      </c>
      <c r="C1604" s="39" t="s">
        <v>913</v>
      </c>
      <c r="D1604" s="39" t="s">
        <v>914</v>
      </c>
      <c r="E1604" s="39"/>
      <c r="F1604" s="39" t="s">
        <v>133</v>
      </c>
      <c r="G1604" s="60"/>
      <c r="H1604" s="58" t="n">
        <v>2051</v>
      </c>
      <c r="I1604" s="39" t="str">
        <f aca="false">A1604&amp;"|"&amp;B1604&amp;"|"&amp;D1604&amp;"|"&amp;E1604&amp;F1604</f>
        <v>home|McAlester|scenario 1 (dwelling $100,000, deductible 1%)|frame</v>
      </c>
      <c r="J1604" s="34" t="n">
        <f aca="false" t="array" ref="J1604:J1604">MEDIAN(IF($I$4:$I$1803=I1604,$H$4:$H$1803))</f>
        <v>2453.5</v>
      </c>
      <c r="K1604" s="59" t="n">
        <f aca="false">H1604/J1604</f>
        <v>0.835948644793153</v>
      </c>
    </row>
    <row r="1605" customFormat="false" ht="15" hidden="false" customHeight="false" outlineLevel="0" collapsed="false">
      <c r="A1605" s="39" t="s">
        <v>912</v>
      </c>
      <c r="B1605" s="39" t="s">
        <v>911</v>
      </c>
      <c r="C1605" s="39" t="s">
        <v>913</v>
      </c>
      <c r="D1605" s="39" t="s">
        <v>914</v>
      </c>
      <c r="E1605" s="39"/>
      <c r="F1605" s="39" t="s">
        <v>915</v>
      </c>
      <c r="G1605" s="60"/>
      <c r="H1605" s="58" t="n">
        <v>1917</v>
      </c>
      <c r="I1605" s="39" t="str">
        <f aca="false">A1605&amp;"|"&amp;B1605&amp;"|"&amp;D1605&amp;"|"&amp;E1605&amp;F1605</f>
        <v>home|McAlester|scenario 1 (dwelling $100,000, deductible 1%)|masonry</v>
      </c>
      <c r="J1605" s="34" t="n">
        <f aca="false" t="array" ref="J1605:J1605">MEDIAN(IF($I$4:$I$1803=I1605,$H$4:$H$1803))</f>
        <v>2322.5</v>
      </c>
      <c r="K1605" s="59" t="n">
        <f aca="false">H1605/J1605</f>
        <v>0.8254036598493</v>
      </c>
    </row>
    <row r="1606" customFormat="false" ht="15" hidden="false" customHeight="false" outlineLevel="0" collapsed="false">
      <c r="A1606" s="39" t="s">
        <v>912</v>
      </c>
      <c r="B1606" s="39" t="s">
        <v>911</v>
      </c>
      <c r="C1606" s="39" t="s">
        <v>913</v>
      </c>
      <c r="D1606" s="39" t="s">
        <v>916</v>
      </c>
      <c r="E1606" s="39"/>
      <c r="F1606" s="39" t="s">
        <v>133</v>
      </c>
      <c r="G1606" s="60"/>
      <c r="H1606" s="58" t="n">
        <v>4017</v>
      </c>
      <c r="I1606" s="39" t="str">
        <f aca="false">A1606&amp;"|"&amp;B1606&amp;"|"&amp;D1606&amp;"|"&amp;E1606&amp;F1606</f>
        <v>home|McAlester|scenario 2 (dwelling $200,000, deductible 1%)|frame</v>
      </c>
      <c r="J1606" s="34" t="n">
        <f aca="false" t="array" ref="J1606:J1606">MEDIAN(IF($I$4:$I$1803=I1606,$H$4:$H$1803))</f>
        <v>3529</v>
      </c>
      <c r="K1606" s="59" t="n">
        <f aca="false">H1606/J1606</f>
        <v>1.13828279965996</v>
      </c>
    </row>
    <row r="1607" customFormat="false" ht="15" hidden="false" customHeight="false" outlineLevel="0" collapsed="false">
      <c r="A1607" s="39" t="s">
        <v>912</v>
      </c>
      <c r="B1607" s="39" t="s">
        <v>911</v>
      </c>
      <c r="C1607" s="39" t="s">
        <v>913</v>
      </c>
      <c r="D1607" s="39" t="s">
        <v>916</v>
      </c>
      <c r="E1607" s="39"/>
      <c r="F1607" s="39" t="s">
        <v>915</v>
      </c>
      <c r="G1607" s="60"/>
      <c r="H1607" s="58" t="n">
        <v>3722</v>
      </c>
      <c r="I1607" s="39" t="str">
        <f aca="false">A1607&amp;"|"&amp;B1607&amp;"|"&amp;D1607&amp;"|"&amp;E1607&amp;F1607</f>
        <v>home|McAlester|scenario 2 (dwelling $200,000, deductible 1%)|masonry</v>
      </c>
      <c r="J1607" s="34" t="n">
        <f aca="false" t="array" ref="J1607:J1607">MEDIAN(IF($I$4:$I$1803=I1607,$H$4:$H$1803))</f>
        <v>3379.5</v>
      </c>
      <c r="K1607" s="59" t="n">
        <f aca="false">H1607/J1607</f>
        <v>1.1013463530108</v>
      </c>
    </row>
    <row r="1608" customFormat="false" ht="15" hidden="false" customHeight="false" outlineLevel="0" collapsed="false">
      <c r="A1608" s="39" t="s">
        <v>912</v>
      </c>
      <c r="B1608" s="39" t="s">
        <v>911</v>
      </c>
      <c r="C1608" s="39" t="s">
        <v>913</v>
      </c>
      <c r="D1608" s="39" t="s">
        <v>917</v>
      </c>
      <c r="E1608" s="39"/>
      <c r="F1608" s="39" t="s">
        <v>133</v>
      </c>
      <c r="G1608" s="60"/>
      <c r="H1608" s="58" t="n">
        <v>6200</v>
      </c>
      <c r="I1608" s="39" t="str">
        <f aca="false">A1608&amp;"|"&amp;B1608&amp;"|"&amp;D1608&amp;"|"&amp;E1608&amp;F1608</f>
        <v>home|McAlester|scenario 3 (dwelling $300,000, deductible 1%)|frame</v>
      </c>
      <c r="J1608" s="34" t="n">
        <f aca="false" t="array" ref="J1608:J1608">MEDIAN(IF($I$4:$I$1803=I1608,$H$4:$H$1803))</f>
        <v>4827</v>
      </c>
      <c r="K1608" s="59" t="n">
        <f aca="false">H1608/J1608</f>
        <v>1.28444168220427</v>
      </c>
    </row>
    <row r="1609" customFormat="false" ht="15" hidden="false" customHeight="false" outlineLevel="0" collapsed="false">
      <c r="A1609" s="39" t="s">
        <v>912</v>
      </c>
      <c r="B1609" s="39" t="s">
        <v>911</v>
      </c>
      <c r="C1609" s="39" t="s">
        <v>913</v>
      </c>
      <c r="D1609" s="39" t="s">
        <v>917</v>
      </c>
      <c r="E1609" s="39"/>
      <c r="F1609" s="39" t="s">
        <v>915</v>
      </c>
      <c r="G1609" s="60"/>
      <c r="H1609" s="58" t="n">
        <v>5753</v>
      </c>
      <c r="I1609" s="39" t="str">
        <f aca="false">A1609&amp;"|"&amp;B1609&amp;"|"&amp;D1609&amp;"|"&amp;E1609&amp;F1609</f>
        <v>home|McAlester|scenario 3 (dwelling $300,000, deductible 1%)|masonry</v>
      </c>
      <c r="J1609" s="34" t="n">
        <f aca="false" t="array" ref="J1609:J1609">MEDIAN(IF($I$4:$I$1803=I1609,$H$4:$H$1803))</f>
        <v>4539</v>
      </c>
      <c r="K1609" s="59" t="n">
        <f aca="false">H1609/J1609</f>
        <v>1.26745979290593</v>
      </c>
    </row>
    <row r="1610" customFormat="false" ht="15" hidden="false" customHeight="false" outlineLevel="0" collapsed="false">
      <c r="A1610" s="39" t="s">
        <v>912</v>
      </c>
      <c r="B1610" s="39" t="s">
        <v>911</v>
      </c>
      <c r="C1610" s="39" t="s">
        <v>913</v>
      </c>
      <c r="D1610" s="39" t="s">
        <v>918</v>
      </c>
      <c r="E1610" s="39"/>
      <c r="F1610" s="39" t="s">
        <v>133</v>
      </c>
      <c r="G1610" s="60"/>
      <c r="H1610" s="58" t="n">
        <v>8382</v>
      </c>
      <c r="I1610" s="39" t="str">
        <f aca="false">A1610&amp;"|"&amp;B1610&amp;"|"&amp;D1610&amp;"|"&amp;E1610&amp;F1610</f>
        <v>home|McAlester|scenario 4 (dwelling $400,000, deductible 1%)|frame</v>
      </c>
      <c r="J1610" s="34" t="n">
        <f aca="false" t="array" ref="J1610:J1610">MEDIAN(IF($I$4:$I$1803=I1610,$H$4:$H$1803))</f>
        <v>6199</v>
      </c>
      <c r="K1610" s="59" t="n">
        <f aca="false">H1610/J1610</f>
        <v>1.35215357315696</v>
      </c>
    </row>
    <row r="1611" customFormat="false" ht="15" hidden="false" customHeight="false" outlineLevel="0" collapsed="false">
      <c r="A1611" s="39" t="s">
        <v>912</v>
      </c>
      <c r="B1611" s="39" t="s">
        <v>911</v>
      </c>
      <c r="C1611" s="39" t="s">
        <v>913</v>
      </c>
      <c r="D1611" s="39" t="s">
        <v>918</v>
      </c>
      <c r="E1611" s="39"/>
      <c r="F1611" s="39" t="s">
        <v>915</v>
      </c>
      <c r="G1611" s="60"/>
      <c r="H1611" s="58" t="n">
        <v>7787</v>
      </c>
      <c r="I1611" s="39" t="str">
        <f aca="false">A1611&amp;"|"&amp;B1611&amp;"|"&amp;D1611&amp;"|"&amp;E1611&amp;F1611</f>
        <v>home|McAlester|scenario 4 (dwelling $400,000, deductible 1%)|masonry</v>
      </c>
      <c r="J1611" s="34" t="n">
        <f aca="false" t="array" ref="J1611:J1611">MEDIAN(IF($I$4:$I$1803=I1611,$H$4:$H$1803))</f>
        <v>5930</v>
      </c>
      <c r="K1611" s="59" t="n">
        <f aca="false">H1611/J1611</f>
        <v>1.31315345699831</v>
      </c>
    </row>
    <row r="1612" customFormat="false" ht="15" hidden="false" customHeight="false" outlineLevel="0" collapsed="false">
      <c r="A1612" s="39" t="s">
        <v>912</v>
      </c>
      <c r="B1612" s="39" t="s">
        <v>911</v>
      </c>
      <c r="C1612" s="39" t="s">
        <v>913</v>
      </c>
      <c r="D1612" s="39" t="s">
        <v>919</v>
      </c>
      <c r="E1612" s="39"/>
      <c r="F1612" s="39" t="s">
        <v>133</v>
      </c>
      <c r="G1612" s="60"/>
      <c r="H1612" s="58" t="n">
        <v>10565</v>
      </c>
      <c r="I1612" s="39" t="str">
        <f aca="false">A1612&amp;"|"&amp;B1612&amp;"|"&amp;D1612&amp;"|"&amp;E1612&amp;F1612</f>
        <v>home|McAlester|scenario 5 (dwelling $500,000, deductible 1%)|frame</v>
      </c>
      <c r="J1612" s="34" t="n">
        <f aca="false" t="array" ref="J1612:J1612">MEDIAN(IF($I$4:$I$1803=I1612,$H$4:$H$1803))</f>
        <v>7321.5</v>
      </c>
      <c r="K1612" s="59" t="n">
        <f aca="false">H1612/J1612</f>
        <v>1.44301031209452</v>
      </c>
    </row>
    <row r="1613" customFormat="false" ht="15" hidden="false" customHeight="false" outlineLevel="0" collapsed="false">
      <c r="A1613" s="39" t="s">
        <v>912</v>
      </c>
      <c r="B1613" s="39" t="s">
        <v>911</v>
      </c>
      <c r="C1613" s="39" t="s">
        <v>913</v>
      </c>
      <c r="D1613" s="39" t="s">
        <v>919</v>
      </c>
      <c r="E1613" s="39"/>
      <c r="F1613" s="39" t="s">
        <v>915</v>
      </c>
      <c r="G1613" s="60"/>
      <c r="H1613" s="58" t="n">
        <v>9819</v>
      </c>
      <c r="I1613" s="39" t="str">
        <f aca="false">A1613&amp;"|"&amp;B1613&amp;"|"&amp;D1613&amp;"|"&amp;E1613&amp;F1613</f>
        <v>home|McAlester|scenario 5 (dwelling $500,000, deductible 1%)|masonry</v>
      </c>
      <c r="J1613" s="34" t="n">
        <f aca="false" t="array" ref="J1613:J1613">MEDIAN(IF($I$4:$I$1803=I1613,$H$4:$H$1803))</f>
        <v>6962.5</v>
      </c>
      <c r="K1613" s="59" t="n">
        <f aca="false">H1613/J1613</f>
        <v>1.41026929982047</v>
      </c>
    </row>
    <row r="1614" customFormat="false" ht="15" hidden="false" customHeight="false" outlineLevel="0" collapsed="false">
      <c r="A1614" s="39" t="s">
        <v>912</v>
      </c>
      <c r="B1614" s="39" t="s">
        <v>911</v>
      </c>
      <c r="C1614" s="39" t="s">
        <v>920</v>
      </c>
      <c r="D1614" s="39" t="s">
        <v>914</v>
      </c>
      <c r="E1614" s="39"/>
      <c r="F1614" s="39" t="s">
        <v>133</v>
      </c>
      <c r="G1614" s="60"/>
      <c r="H1614" s="58" t="n">
        <v>1465</v>
      </c>
      <c r="I1614" s="39" t="str">
        <f aca="false">A1614&amp;"|"&amp;B1614&amp;"|"&amp;D1614&amp;"|"&amp;E1614&amp;F1614</f>
        <v>home|McAlester|scenario 1 (dwelling $100,000, deductible 1%)|frame</v>
      </c>
      <c r="J1614" s="34" t="n">
        <f aca="false" t="array" ref="J1614:J1614">MEDIAN(IF($I$4:$I$1803=I1614,$H$4:$H$1803))</f>
        <v>2453.5</v>
      </c>
      <c r="K1614" s="59" t="n">
        <f aca="false">H1614/J1614</f>
        <v>0.597106174852252</v>
      </c>
    </row>
    <row r="1615" customFormat="false" ht="15" hidden="false" customHeight="false" outlineLevel="0" collapsed="false">
      <c r="A1615" s="39" t="s">
        <v>912</v>
      </c>
      <c r="B1615" s="39" t="s">
        <v>911</v>
      </c>
      <c r="C1615" s="39" t="s">
        <v>920</v>
      </c>
      <c r="D1615" s="39" t="s">
        <v>914</v>
      </c>
      <c r="E1615" s="39"/>
      <c r="F1615" s="39" t="s">
        <v>915</v>
      </c>
      <c r="G1615" s="60"/>
      <c r="H1615" s="58" t="n">
        <v>1451</v>
      </c>
      <c r="I1615" s="39" t="str">
        <f aca="false">A1615&amp;"|"&amp;B1615&amp;"|"&amp;D1615&amp;"|"&amp;E1615&amp;F1615</f>
        <v>home|McAlester|scenario 1 (dwelling $100,000, deductible 1%)|masonry</v>
      </c>
      <c r="J1615" s="34" t="n">
        <f aca="false" t="array" ref="J1615:J1615">MEDIAN(IF($I$4:$I$1803=I1615,$H$4:$H$1803))</f>
        <v>2322.5</v>
      </c>
      <c r="K1615" s="59" t="n">
        <f aca="false">H1615/J1615</f>
        <v>0.62475780409042</v>
      </c>
    </row>
    <row r="1616" customFormat="false" ht="15" hidden="false" customHeight="false" outlineLevel="0" collapsed="false">
      <c r="A1616" s="39" t="s">
        <v>912</v>
      </c>
      <c r="B1616" s="39" t="s">
        <v>911</v>
      </c>
      <c r="C1616" s="39" t="s">
        <v>920</v>
      </c>
      <c r="D1616" s="39" t="s">
        <v>916</v>
      </c>
      <c r="E1616" s="39"/>
      <c r="F1616" s="39" t="s">
        <v>133</v>
      </c>
      <c r="G1616" s="60"/>
      <c r="H1616" s="58" t="n">
        <v>1832</v>
      </c>
      <c r="I1616" s="39" t="str">
        <f aca="false">A1616&amp;"|"&amp;B1616&amp;"|"&amp;D1616&amp;"|"&amp;E1616&amp;F1616</f>
        <v>home|McAlester|scenario 2 (dwelling $200,000, deductible 1%)|frame</v>
      </c>
      <c r="J1616" s="34" t="n">
        <f aca="false" t="array" ref="J1616:J1616">MEDIAN(IF($I$4:$I$1803=I1616,$H$4:$H$1803))</f>
        <v>3529</v>
      </c>
      <c r="K1616" s="59" t="n">
        <f aca="false">H1616/J1616</f>
        <v>0.519127231510343</v>
      </c>
    </row>
    <row r="1617" customFormat="false" ht="15" hidden="false" customHeight="false" outlineLevel="0" collapsed="false">
      <c r="A1617" s="39" t="s">
        <v>912</v>
      </c>
      <c r="B1617" s="39" t="s">
        <v>911</v>
      </c>
      <c r="C1617" s="39" t="s">
        <v>920</v>
      </c>
      <c r="D1617" s="39" t="s">
        <v>916</v>
      </c>
      <c r="E1617" s="39"/>
      <c r="F1617" s="39" t="s">
        <v>915</v>
      </c>
      <c r="G1617" s="60"/>
      <c r="H1617" s="58" t="n">
        <v>1811</v>
      </c>
      <c r="I1617" s="39" t="str">
        <f aca="false">A1617&amp;"|"&amp;B1617&amp;"|"&amp;D1617&amp;"|"&amp;E1617&amp;F1617</f>
        <v>home|McAlester|scenario 2 (dwelling $200,000, deductible 1%)|masonry</v>
      </c>
      <c r="J1617" s="34" t="n">
        <f aca="false" t="array" ref="J1617:J1617">MEDIAN(IF($I$4:$I$1803=I1617,$H$4:$H$1803))</f>
        <v>3379.5</v>
      </c>
      <c r="K1617" s="59" t="n">
        <f aca="false">H1617/J1617</f>
        <v>0.535878088474627</v>
      </c>
    </row>
    <row r="1618" customFormat="false" ht="15" hidden="false" customHeight="false" outlineLevel="0" collapsed="false">
      <c r="A1618" s="39" t="s">
        <v>912</v>
      </c>
      <c r="B1618" s="39" t="s">
        <v>911</v>
      </c>
      <c r="C1618" s="39" t="s">
        <v>920</v>
      </c>
      <c r="D1618" s="39" t="s">
        <v>917</v>
      </c>
      <c r="E1618" s="39"/>
      <c r="F1618" s="39" t="s">
        <v>133</v>
      </c>
      <c r="G1618" s="60"/>
      <c r="H1618" s="58" t="n">
        <v>2281</v>
      </c>
      <c r="I1618" s="39" t="str">
        <f aca="false">A1618&amp;"|"&amp;B1618&amp;"|"&amp;D1618&amp;"|"&amp;E1618&amp;F1618</f>
        <v>home|McAlester|scenario 3 (dwelling $300,000, deductible 1%)|frame</v>
      </c>
      <c r="J1618" s="34" t="n">
        <f aca="false" t="array" ref="J1618:J1618">MEDIAN(IF($I$4:$I$1803=I1618,$H$4:$H$1803))</f>
        <v>4827</v>
      </c>
      <c r="K1618" s="59" t="n">
        <f aca="false">H1618/J1618</f>
        <v>0.472550238243215</v>
      </c>
    </row>
    <row r="1619" customFormat="false" ht="15" hidden="false" customHeight="false" outlineLevel="0" collapsed="false">
      <c r="A1619" s="39" t="s">
        <v>912</v>
      </c>
      <c r="B1619" s="39" t="s">
        <v>911</v>
      </c>
      <c r="C1619" s="39" t="s">
        <v>920</v>
      </c>
      <c r="D1619" s="39" t="s">
        <v>917</v>
      </c>
      <c r="E1619" s="39"/>
      <c r="F1619" s="39" t="s">
        <v>915</v>
      </c>
      <c r="G1619" s="60"/>
      <c r="H1619" s="58" t="n">
        <v>2256</v>
      </c>
      <c r="I1619" s="39" t="str">
        <f aca="false">A1619&amp;"|"&amp;B1619&amp;"|"&amp;D1619&amp;"|"&amp;E1619&amp;F1619</f>
        <v>home|McAlester|scenario 3 (dwelling $300,000, deductible 1%)|masonry</v>
      </c>
      <c r="J1619" s="34" t="n">
        <f aca="false" t="array" ref="J1619:J1619">MEDIAN(IF($I$4:$I$1803=I1619,$H$4:$H$1803))</f>
        <v>4539</v>
      </c>
      <c r="K1619" s="59" t="n">
        <f aca="false">H1619/J1619</f>
        <v>0.497025776602776</v>
      </c>
    </row>
    <row r="1620" customFormat="false" ht="15" hidden="false" customHeight="false" outlineLevel="0" collapsed="false">
      <c r="A1620" s="39" t="s">
        <v>912</v>
      </c>
      <c r="B1620" s="39" t="s">
        <v>911</v>
      </c>
      <c r="C1620" s="39" t="s">
        <v>920</v>
      </c>
      <c r="D1620" s="39" t="s">
        <v>918</v>
      </c>
      <c r="E1620" s="39"/>
      <c r="F1620" s="39" t="s">
        <v>133</v>
      </c>
      <c r="G1620" s="60"/>
      <c r="H1620" s="58" t="n">
        <v>2868</v>
      </c>
      <c r="I1620" s="39" t="str">
        <f aca="false">A1620&amp;"|"&amp;B1620&amp;"|"&amp;D1620&amp;"|"&amp;E1620&amp;F1620</f>
        <v>home|McAlester|scenario 4 (dwelling $400,000, deductible 1%)|frame</v>
      </c>
      <c r="J1620" s="34" t="n">
        <f aca="false" t="array" ref="J1620:J1620">MEDIAN(IF($I$4:$I$1803=I1620,$H$4:$H$1803))</f>
        <v>6199</v>
      </c>
      <c r="K1620" s="59" t="n">
        <f aca="false">H1620/J1620</f>
        <v>0.462655266978545</v>
      </c>
    </row>
    <row r="1621" customFormat="false" ht="15" hidden="false" customHeight="false" outlineLevel="0" collapsed="false">
      <c r="A1621" s="39" t="s">
        <v>912</v>
      </c>
      <c r="B1621" s="39" t="s">
        <v>911</v>
      </c>
      <c r="C1621" s="39" t="s">
        <v>920</v>
      </c>
      <c r="D1621" s="39" t="s">
        <v>918</v>
      </c>
      <c r="E1621" s="39"/>
      <c r="F1621" s="39" t="s">
        <v>915</v>
      </c>
      <c r="G1621" s="60"/>
      <c r="H1621" s="58" t="n">
        <v>2839</v>
      </c>
      <c r="I1621" s="39" t="str">
        <f aca="false">A1621&amp;"|"&amp;B1621&amp;"|"&amp;D1621&amp;"|"&amp;E1621&amp;F1621</f>
        <v>home|McAlester|scenario 4 (dwelling $400,000, deductible 1%)|masonry</v>
      </c>
      <c r="J1621" s="34" t="n">
        <f aca="false" t="array" ref="J1621:J1621">MEDIAN(IF($I$4:$I$1803=I1621,$H$4:$H$1803))</f>
        <v>5930</v>
      </c>
      <c r="K1621" s="59" t="n">
        <f aca="false">H1621/J1621</f>
        <v>0.478752107925801</v>
      </c>
    </row>
    <row r="1622" customFormat="false" ht="15" hidden="false" customHeight="false" outlineLevel="0" collapsed="false">
      <c r="A1622" s="39" t="s">
        <v>912</v>
      </c>
      <c r="B1622" s="39" t="s">
        <v>911</v>
      </c>
      <c r="C1622" s="39" t="s">
        <v>920</v>
      </c>
      <c r="D1622" s="39" t="s">
        <v>919</v>
      </c>
      <c r="E1622" s="39"/>
      <c r="F1622" s="39" t="s">
        <v>133</v>
      </c>
      <c r="G1622" s="60"/>
      <c r="H1622" s="58" t="n">
        <v>3863</v>
      </c>
      <c r="I1622" s="39" t="str">
        <f aca="false">A1622&amp;"|"&amp;B1622&amp;"|"&amp;D1622&amp;"|"&amp;E1622&amp;F1622</f>
        <v>home|McAlester|scenario 5 (dwelling $500,000, deductible 1%)|frame</v>
      </c>
      <c r="J1622" s="34" t="n">
        <f aca="false" t="array" ref="J1622:J1622">MEDIAN(IF($I$4:$I$1803=I1622,$H$4:$H$1803))</f>
        <v>7321.5</v>
      </c>
      <c r="K1622" s="59" t="n">
        <f aca="false">H1622/J1622</f>
        <v>0.527624120740285</v>
      </c>
    </row>
    <row r="1623" customFormat="false" ht="15" hidden="false" customHeight="false" outlineLevel="0" collapsed="false">
      <c r="A1623" s="39" t="s">
        <v>912</v>
      </c>
      <c r="B1623" s="39" t="s">
        <v>911</v>
      </c>
      <c r="C1623" s="39" t="s">
        <v>920</v>
      </c>
      <c r="D1623" s="39" t="s">
        <v>919</v>
      </c>
      <c r="E1623" s="39"/>
      <c r="F1623" s="39" t="s">
        <v>915</v>
      </c>
      <c r="G1623" s="60"/>
      <c r="H1623" s="58" t="n">
        <v>3831</v>
      </c>
      <c r="I1623" s="39" t="str">
        <f aca="false">A1623&amp;"|"&amp;B1623&amp;"|"&amp;D1623&amp;"|"&amp;E1623&amp;F1623</f>
        <v>home|McAlester|scenario 5 (dwelling $500,000, deductible 1%)|masonry</v>
      </c>
      <c r="J1623" s="34" t="n">
        <f aca="false" t="array" ref="J1623:J1623">MEDIAN(IF($I$4:$I$1803=I1623,$H$4:$H$1803))</f>
        <v>6962.5</v>
      </c>
      <c r="K1623" s="59" t="n">
        <f aca="false">H1623/J1623</f>
        <v>0.550233393177738</v>
      </c>
    </row>
    <row r="1624" customFormat="false" ht="15" hidden="false" customHeight="false" outlineLevel="0" collapsed="false">
      <c r="A1624" s="39" t="s">
        <v>912</v>
      </c>
      <c r="B1624" s="39" t="s">
        <v>911</v>
      </c>
      <c r="C1624" s="39" t="s">
        <v>921</v>
      </c>
      <c r="D1624" s="39" t="s">
        <v>914</v>
      </c>
      <c r="E1624" s="39"/>
      <c r="F1624" s="39" t="s">
        <v>133</v>
      </c>
      <c r="G1624" s="60"/>
      <c r="H1624" s="58" t="n">
        <v>4275</v>
      </c>
      <c r="I1624" s="39" t="str">
        <f aca="false">A1624&amp;"|"&amp;B1624&amp;"|"&amp;D1624&amp;"|"&amp;E1624&amp;F1624</f>
        <v>home|McAlester|scenario 1 (dwelling $100,000, deductible 1%)|frame</v>
      </c>
      <c r="J1624" s="34" t="n">
        <f aca="false" t="array" ref="J1624:J1624">MEDIAN(IF($I$4:$I$1803=I1624,$H$4:$H$1803))</f>
        <v>2453.5</v>
      </c>
      <c r="K1624" s="59" t="n">
        <f aca="false">H1624/J1624</f>
        <v>1.74240880374975</v>
      </c>
    </row>
    <row r="1625" customFormat="false" ht="15" hidden="false" customHeight="false" outlineLevel="0" collapsed="false">
      <c r="A1625" s="39" t="s">
        <v>912</v>
      </c>
      <c r="B1625" s="39" t="s">
        <v>911</v>
      </c>
      <c r="C1625" s="39" t="s">
        <v>921</v>
      </c>
      <c r="D1625" s="39" t="s">
        <v>914</v>
      </c>
      <c r="E1625" s="39"/>
      <c r="F1625" s="39" t="s">
        <v>915</v>
      </c>
      <c r="G1625" s="60"/>
      <c r="H1625" s="58" t="n">
        <v>4192</v>
      </c>
      <c r="I1625" s="39" t="str">
        <f aca="false">A1625&amp;"|"&amp;B1625&amp;"|"&amp;D1625&amp;"|"&amp;E1625&amp;F1625</f>
        <v>home|McAlester|scenario 1 (dwelling $100,000, deductible 1%)|masonry</v>
      </c>
      <c r="J1625" s="34" t="n">
        <f aca="false" t="array" ref="J1625:J1625">MEDIAN(IF($I$4:$I$1803=I1625,$H$4:$H$1803))</f>
        <v>2322.5</v>
      </c>
      <c r="K1625" s="59" t="n">
        <f aca="false">H1625/J1625</f>
        <v>1.80495156081808</v>
      </c>
    </row>
    <row r="1626" customFormat="false" ht="15" hidden="false" customHeight="false" outlineLevel="0" collapsed="false">
      <c r="A1626" s="39" t="s">
        <v>912</v>
      </c>
      <c r="B1626" s="39" t="s">
        <v>911</v>
      </c>
      <c r="C1626" s="39" t="s">
        <v>921</v>
      </c>
      <c r="D1626" s="39" t="s">
        <v>916</v>
      </c>
      <c r="E1626" s="39"/>
      <c r="F1626" s="39" t="s">
        <v>133</v>
      </c>
      <c r="G1626" s="60"/>
      <c r="H1626" s="58" t="n">
        <v>6114</v>
      </c>
      <c r="I1626" s="39" t="str">
        <f aca="false">A1626&amp;"|"&amp;B1626&amp;"|"&amp;D1626&amp;"|"&amp;E1626&amp;F1626</f>
        <v>home|McAlester|scenario 2 (dwelling $200,000, deductible 1%)|frame</v>
      </c>
      <c r="J1626" s="34" t="n">
        <f aca="false" t="array" ref="J1626:J1626">MEDIAN(IF($I$4:$I$1803=I1626,$H$4:$H$1803))</f>
        <v>3529</v>
      </c>
      <c r="K1626" s="59" t="n">
        <f aca="false">H1626/J1626</f>
        <v>1.73250212524795</v>
      </c>
    </row>
    <row r="1627" customFormat="false" ht="15" hidden="false" customHeight="false" outlineLevel="0" collapsed="false">
      <c r="A1627" s="39" t="s">
        <v>912</v>
      </c>
      <c r="B1627" s="39" t="s">
        <v>911</v>
      </c>
      <c r="C1627" s="39" t="s">
        <v>921</v>
      </c>
      <c r="D1627" s="39" t="s">
        <v>916</v>
      </c>
      <c r="E1627" s="39"/>
      <c r="F1627" s="39" t="s">
        <v>915</v>
      </c>
      <c r="G1627" s="60"/>
      <c r="H1627" s="58" t="n">
        <v>5992</v>
      </c>
      <c r="I1627" s="39" t="str">
        <f aca="false">A1627&amp;"|"&amp;B1627&amp;"|"&amp;D1627&amp;"|"&amp;E1627&amp;F1627</f>
        <v>home|McAlester|scenario 2 (dwelling $200,000, deductible 1%)|masonry</v>
      </c>
      <c r="J1627" s="34" t="n">
        <f aca="false" t="array" ref="J1627:J1627">MEDIAN(IF($I$4:$I$1803=I1627,$H$4:$H$1803))</f>
        <v>3379.5</v>
      </c>
      <c r="K1627" s="59" t="n">
        <f aca="false">H1627/J1627</f>
        <v>1.77304334960793</v>
      </c>
    </row>
    <row r="1628" customFormat="false" ht="15" hidden="false" customHeight="false" outlineLevel="0" collapsed="false">
      <c r="A1628" s="39" t="s">
        <v>912</v>
      </c>
      <c r="B1628" s="39" t="s">
        <v>911</v>
      </c>
      <c r="C1628" s="39" t="s">
        <v>921</v>
      </c>
      <c r="D1628" s="39" t="s">
        <v>917</v>
      </c>
      <c r="E1628" s="39"/>
      <c r="F1628" s="39" t="s">
        <v>133</v>
      </c>
      <c r="G1628" s="60"/>
      <c r="H1628" s="58" t="n">
        <v>7185</v>
      </c>
      <c r="I1628" s="39" t="str">
        <f aca="false">A1628&amp;"|"&amp;B1628&amp;"|"&amp;D1628&amp;"|"&amp;E1628&amp;F1628</f>
        <v>home|McAlester|scenario 3 (dwelling $300,000, deductible 1%)|frame</v>
      </c>
      <c r="J1628" s="34" t="n">
        <f aca="false" t="array" ref="J1628:J1628">MEDIAN(IF($I$4:$I$1803=I1628,$H$4:$H$1803))</f>
        <v>4827</v>
      </c>
      <c r="K1628" s="59" t="n">
        <f aca="false">H1628/J1628</f>
        <v>1.48850217526414</v>
      </c>
    </row>
    <row r="1629" customFormat="false" ht="15" hidden="false" customHeight="false" outlineLevel="0" collapsed="false">
      <c r="A1629" s="39" t="s">
        <v>912</v>
      </c>
      <c r="B1629" s="39" t="s">
        <v>911</v>
      </c>
      <c r="C1629" s="39" t="s">
        <v>921</v>
      </c>
      <c r="D1629" s="39" t="s">
        <v>917</v>
      </c>
      <c r="E1629" s="39"/>
      <c r="F1629" s="39" t="s">
        <v>915</v>
      </c>
      <c r="G1629" s="60"/>
      <c r="H1629" s="58" t="n">
        <v>7042</v>
      </c>
      <c r="I1629" s="39" t="str">
        <f aca="false">A1629&amp;"|"&amp;B1629&amp;"|"&amp;D1629&amp;"|"&amp;E1629&amp;F1629</f>
        <v>home|McAlester|scenario 3 (dwelling $300,000, deductible 1%)|masonry</v>
      </c>
      <c r="J1629" s="34" t="n">
        <f aca="false" t="array" ref="J1629:J1629">MEDIAN(IF($I$4:$I$1803=I1629,$H$4:$H$1803))</f>
        <v>4539</v>
      </c>
      <c r="K1629" s="59" t="n">
        <f aca="false">H1629/J1629</f>
        <v>1.55144304912976</v>
      </c>
    </row>
    <row r="1630" customFormat="false" ht="15" hidden="false" customHeight="false" outlineLevel="0" collapsed="false">
      <c r="A1630" s="39" t="s">
        <v>912</v>
      </c>
      <c r="B1630" s="39" t="s">
        <v>911</v>
      </c>
      <c r="C1630" s="39" t="s">
        <v>921</v>
      </c>
      <c r="D1630" s="39" t="s">
        <v>918</v>
      </c>
      <c r="E1630" s="39"/>
      <c r="F1630" s="39" t="s">
        <v>133</v>
      </c>
      <c r="G1630" s="60"/>
      <c r="H1630" s="58" t="n">
        <v>8479</v>
      </c>
      <c r="I1630" s="39" t="str">
        <f aca="false">A1630&amp;"|"&amp;B1630&amp;"|"&amp;D1630&amp;"|"&amp;E1630&amp;F1630</f>
        <v>home|McAlester|scenario 4 (dwelling $400,000, deductible 1%)|frame</v>
      </c>
      <c r="J1630" s="34" t="n">
        <f aca="false" t="array" ref="J1630:J1630">MEDIAN(IF($I$4:$I$1803=I1630,$H$4:$H$1803))</f>
        <v>6199</v>
      </c>
      <c r="K1630" s="59" t="n">
        <f aca="false">H1630/J1630</f>
        <v>1.36780125826746</v>
      </c>
    </row>
    <row r="1631" customFormat="false" ht="15" hidden="false" customHeight="false" outlineLevel="0" collapsed="false">
      <c r="A1631" s="39" t="s">
        <v>912</v>
      </c>
      <c r="B1631" s="39" t="s">
        <v>911</v>
      </c>
      <c r="C1631" s="39" t="s">
        <v>921</v>
      </c>
      <c r="D1631" s="39" t="s">
        <v>918</v>
      </c>
      <c r="E1631" s="39"/>
      <c r="F1631" s="39" t="s">
        <v>915</v>
      </c>
      <c r="G1631" s="60"/>
      <c r="H1631" s="58" t="n">
        <v>8311</v>
      </c>
      <c r="I1631" s="39" t="str">
        <f aca="false">A1631&amp;"|"&amp;B1631&amp;"|"&amp;D1631&amp;"|"&amp;E1631&amp;F1631</f>
        <v>home|McAlester|scenario 4 (dwelling $400,000, deductible 1%)|masonry</v>
      </c>
      <c r="J1631" s="34" t="n">
        <f aca="false" t="array" ref="J1631:J1631">MEDIAN(IF($I$4:$I$1803=I1631,$H$4:$H$1803))</f>
        <v>5930</v>
      </c>
      <c r="K1631" s="59" t="n">
        <f aca="false">H1631/J1631</f>
        <v>1.40151770657673</v>
      </c>
    </row>
    <row r="1632" customFormat="false" ht="15" hidden="false" customHeight="false" outlineLevel="0" collapsed="false">
      <c r="A1632" s="39" t="s">
        <v>912</v>
      </c>
      <c r="B1632" s="39" t="s">
        <v>911</v>
      </c>
      <c r="C1632" s="39" t="s">
        <v>921</v>
      </c>
      <c r="D1632" s="39" t="s">
        <v>919</v>
      </c>
      <c r="E1632" s="39"/>
      <c r="F1632" s="39" t="s">
        <v>133</v>
      </c>
      <c r="G1632" s="60"/>
      <c r="H1632" s="58" t="n">
        <v>9727</v>
      </c>
      <c r="I1632" s="39" t="str">
        <f aca="false">A1632&amp;"|"&amp;B1632&amp;"|"&amp;D1632&amp;"|"&amp;E1632&amp;F1632</f>
        <v>home|McAlester|scenario 5 (dwelling $500,000, deductible 1%)|frame</v>
      </c>
      <c r="J1632" s="34" t="n">
        <f aca="false" t="array" ref="J1632:J1632">MEDIAN(IF($I$4:$I$1803=I1632,$H$4:$H$1803))</f>
        <v>7321.5</v>
      </c>
      <c r="K1632" s="59" t="n">
        <f aca="false">H1632/J1632</f>
        <v>1.32855289216691</v>
      </c>
    </row>
    <row r="1633" customFormat="false" ht="15" hidden="false" customHeight="false" outlineLevel="0" collapsed="false">
      <c r="A1633" s="39" t="s">
        <v>912</v>
      </c>
      <c r="B1633" s="39" t="s">
        <v>911</v>
      </c>
      <c r="C1633" s="39" t="s">
        <v>921</v>
      </c>
      <c r="D1633" s="39" t="s">
        <v>919</v>
      </c>
      <c r="E1633" s="39"/>
      <c r="F1633" s="39" t="s">
        <v>915</v>
      </c>
      <c r="G1633" s="60"/>
      <c r="H1633" s="58" t="n">
        <v>9533</v>
      </c>
      <c r="I1633" s="39" t="str">
        <f aca="false">A1633&amp;"|"&amp;B1633&amp;"|"&amp;D1633&amp;"|"&amp;E1633&amp;F1633</f>
        <v>home|McAlester|scenario 5 (dwelling $500,000, deductible 1%)|masonry</v>
      </c>
      <c r="J1633" s="34" t="n">
        <f aca="false" t="array" ref="J1633:J1633">MEDIAN(IF($I$4:$I$1803=I1633,$H$4:$H$1803))</f>
        <v>6962.5</v>
      </c>
      <c r="K1633" s="59" t="n">
        <f aca="false">H1633/J1633</f>
        <v>1.3691921005386</v>
      </c>
    </row>
    <row r="1634" customFormat="false" ht="15" hidden="false" customHeight="false" outlineLevel="0" collapsed="false">
      <c r="A1634" s="39" t="s">
        <v>912</v>
      </c>
      <c r="B1634" s="39" t="s">
        <v>911</v>
      </c>
      <c r="C1634" s="39" t="s">
        <v>889</v>
      </c>
      <c r="D1634" s="39" t="s">
        <v>914</v>
      </c>
      <c r="E1634" s="39"/>
      <c r="F1634" s="39" t="s">
        <v>133</v>
      </c>
      <c r="G1634" s="60"/>
      <c r="H1634" s="58" t="n">
        <v>1982</v>
      </c>
      <c r="I1634" s="39" t="str">
        <f aca="false">A1634&amp;"|"&amp;B1634&amp;"|"&amp;D1634&amp;"|"&amp;E1634&amp;F1634</f>
        <v>home|McAlester|scenario 1 (dwelling $100,000, deductible 1%)|frame</v>
      </c>
      <c r="J1634" s="34" t="n">
        <f aca="false" t="array" ref="J1634:J1634">MEDIAN(IF($I$4:$I$1803=I1634,$H$4:$H$1803))</f>
        <v>2453.5</v>
      </c>
      <c r="K1634" s="59" t="n">
        <f aca="false">H1634/J1634</f>
        <v>0.807825555329122</v>
      </c>
    </row>
    <row r="1635" customFormat="false" ht="15" hidden="false" customHeight="false" outlineLevel="0" collapsed="false">
      <c r="A1635" s="39" t="s">
        <v>912</v>
      </c>
      <c r="B1635" s="39" t="s">
        <v>911</v>
      </c>
      <c r="C1635" s="39" t="s">
        <v>889</v>
      </c>
      <c r="D1635" s="39" t="s">
        <v>914</v>
      </c>
      <c r="E1635" s="39"/>
      <c r="F1635" s="39" t="s">
        <v>915</v>
      </c>
      <c r="G1635" s="60"/>
      <c r="H1635" s="58" t="n">
        <v>1797</v>
      </c>
      <c r="I1635" s="39" t="str">
        <f aca="false">A1635&amp;"|"&amp;B1635&amp;"|"&amp;D1635&amp;"|"&amp;E1635&amp;F1635</f>
        <v>home|McAlester|scenario 1 (dwelling $100,000, deductible 1%)|masonry</v>
      </c>
      <c r="J1635" s="34" t="n">
        <f aca="false" t="array" ref="J1635:J1635">MEDIAN(IF($I$4:$I$1803=I1635,$H$4:$H$1803))</f>
        <v>2322.5</v>
      </c>
      <c r="K1635" s="59" t="n">
        <f aca="false">H1635/J1635</f>
        <v>0.773735199138859</v>
      </c>
    </row>
    <row r="1636" customFormat="false" ht="15" hidden="false" customHeight="false" outlineLevel="0" collapsed="false">
      <c r="A1636" s="39" t="s">
        <v>912</v>
      </c>
      <c r="B1636" s="39" t="s">
        <v>911</v>
      </c>
      <c r="C1636" s="39" t="s">
        <v>889</v>
      </c>
      <c r="D1636" s="39" t="s">
        <v>916</v>
      </c>
      <c r="E1636" s="39"/>
      <c r="F1636" s="39" t="s">
        <v>133</v>
      </c>
      <c r="G1636" s="60"/>
      <c r="H1636" s="58" t="n">
        <v>3008</v>
      </c>
      <c r="I1636" s="39" t="str">
        <f aca="false">A1636&amp;"|"&amp;B1636&amp;"|"&amp;D1636&amp;"|"&amp;E1636&amp;F1636</f>
        <v>home|McAlester|scenario 2 (dwelling $200,000, deductible 1%)|frame</v>
      </c>
      <c r="J1636" s="34" t="n">
        <f aca="false" t="array" ref="J1636:J1636">MEDIAN(IF($I$4:$I$1803=I1636,$H$4:$H$1803))</f>
        <v>3529</v>
      </c>
      <c r="K1636" s="59" t="n">
        <f aca="false">H1636/J1636</f>
        <v>0.852366109379428</v>
      </c>
    </row>
    <row r="1637" customFormat="false" ht="15" hidden="false" customHeight="false" outlineLevel="0" collapsed="false">
      <c r="A1637" s="39" t="s">
        <v>912</v>
      </c>
      <c r="B1637" s="39" t="s">
        <v>911</v>
      </c>
      <c r="C1637" s="39" t="s">
        <v>889</v>
      </c>
      <c r="D1637" s="39" t="s">
        <v>916</v>
      </c>
      <c r="E1637" s="39"/>
      <c r="F1637" s="39" t="s">
        <v>915</v>
      </c>
      <c r="G1637" s="60"/>
      <c r="H1637" s="58" t="n">
        <v>2728</v>
      </c>
      <c r="I1637" s="39" t="str">
        <f aca="false">A1637&amp;"|"&amp;B1637&amp;"|"&amp;D1637&amp;"|"&amp;E1637&amp;F1637</f>
        <v>home|McAlester|scenario 2 (dwelling $200,000, deductible 1%)|masonry</v>
      </c>
      <c r="J1637" s="34" t="n">
        <f aca="false" t="array" ref="J1637:J1637">MEDIAN(IF($I$4:$I$1803=I1637,$H$4:$H$1803))</f>
        <v>3379.5</v>
      </c>
      <c r="K1637" s="59" t="n">
        <f aca="false">H1637/J1637</f>
        <v>0.807220002959018</v>
      </c>
    </row>
    <row r="1638" customFormat="false" ht="15" hidden="false" customHeight="false" outlineLevel="0" collapsed="false">
      <c r="A1638" s="39" t="s">
        <v>912</v>
      </c>
      <c r="B1638" s="39" t="s">
        <v>911</v>
      </c>
      <c r="C1638" s="39" t="s">
        <v>889</v>
      </c>
      <c r="D1638" s="39" t="s">
        <v>917</v>
      </c>
      <c r="E1638" s="39"/>
      <c r="F1638" s="39" t="s">
        <v>133</v>
      </c>
      <c r="G1638" s="60"/>
      <c r="H1638" s="58" t="n">
        <v>4032</v>
      </c>
      <c r="I1638" s="39" t="str">
        <f aca="false">A1638&amp;"|"&amp;B1638&amp;"|"&amp;D1638&amp;"|"&amp;E1638&amp;F1638</f>
        <v>home|McAlester|scenario 3 (dwelling $300,000, deductible 1%)|frame</v>
      </c>
      <c r="J1638" s="34" t="n">
        <f aca="false" t="array" ref="J1638:J1638">MEDIAN(IF($I$4:$I$1803=I1638,$H$4:$H$1803))</f>
        <v>4827</v>
      </c>
      <c r="K1638" s="59" t="n">
        <f aca="false">H1638/J1638</f>
        <v>0.835301429459292</v>
      </c>
    </row>
    <row r="1639" customFormat="false" ht="15" hidden="false" customHeight="false" outlineLevel="0" collapsed="false">
      <c r="A1639" s="39" t="s">
        <v>912</v>
      </c>
      <c r="B1639" s="39" t="s">
        <v>911</v>
      </c>
      <c r="C1639" s="39" t="s">
        <v>889</v>
      </c>
      <c r="D1639" s="39" t="s">
        <v>917</v>
      </c>
      <c r="E1639" s="39"/>
      <c r="F1639" s="39" t="s">
        <v>915</v>
      </c>
      <c r="G1639" s="60"/>
      <c r="H1639" s="58" t="n">
        <v>3659</v>
      </c>
      <c r="I1639" s="39" t="str">
        <f aca="false">A1639&amp;"|"&amp;B1639&amp;"|"&amp;D1639&amp;"|"&amp;E1639&amp;F1639</f>
        <v>home|McAlester|scenario 3 (dwelling $300,000, deductible 1%)|masonry</v>
      </c>
      <c r="J1639" s="34" t="n">
        <f aca="false" t="array" ref="J1639:J1639">MEDIAN(IF($I$4:$I$1803=I1639,$H$4:$H$1803))</f>
        <v>4539</v>
      </c>
      <c r="K1639" s="59" t="n">
        <f aca="false">H1639/J1639</f>
        <v>0.806124697069839</v>
      </c>
    </row>
    <row r="1640" customFormat="false" ht="15" hidden="false" customHeight="false" outlineLevel="0" collapsed="false">
      <c r="A1640" s="39" t="s">
        <v>912</v>
      </c>
      <c r="B1640" s="39" t="s">
        <v>911</v>
      </c>
      <c r="C1640" s="39" t="s">
        <v>889</v>
      </c>
      <c r="D1640" s="39" t="s">
        <v>918</v>
      </c>
      <c r="E1640" s="39"/>
      <c r="F1640" s="39" t="s">
        <v>133</v>
      </c>
      <c r="G1640" s="60"/>
      <c r="H1640" s="58" t="n">
        <v>5633</v>
      </c>
      <c r="I1640" s="39" t="str">
        <f aca="false">A1640&amp;"|"&amp;B1640&amp;"|"&amp;D1640&amp;"|"&amp;E1640&amp;F1640</f>
        <v>home|McAlester|scenario 4 (dwelling $400,000, deductible 1%)|frame</v>
      </c>
      <c r="J1640" s="34" t="n">
        <f aca="false" t="array" ref="J1640:J1640">MEDIAN(IF($I$4:$I$1803=I1640,$H$4:$H$1803))</f>
        <v>6199</v>
      </c>
      <c r="K1640" s="59" t="n">
        <f aca="false">H1640/J1640</f>
        <v>0.908694950798516</v>
      </c>
    </row>
    <row r="1641" customFormat="false" ht="15" hidden="false" customHeight="false" outlineLevel="0" collapsed="false">
      <c r="A1641" s="39" t="s">
        <v>912</v>
      </c>
      <c r="B1641" s="39" t="s">
        <v>911</v>
      </c>
      <c r="C1641" s="39" t="s">
        <v>889</v>
      </c>
      <c r="D1641" s="39" t="s">
        <v>918</v>
      </c>
      <c r="E1641" s="39"/>
      <c r="F1641" s="39" t="s">
        <v>915</v>
      </c>
      <c r="G1641" s="60"/>
      <c r="H1641" s="58" t="n">
        <v>5109</v>
      </c>
      <c r="I1641" s="39" t="str">
        <f aca="false">A1641&amp;"|"&amp;B1641&amp;"|"&amp;D1641&amp;"|"&amp;E1641&amp;F1641</f>
        <v>home|McAlester|scenario 4 (dwelling $400,000, deductible 1%)|masonry</v>
      </c>
      <c r="J1641" s="34" t="n">
        <f aca="false" t="array" ref="J1641:J1641">MEDIAN(IF($I$4:$I$1803=I1641,$H$4:$H$1803))</f>
        <v>5930</v>
      </c>
      <c r="K1641" s="59" t="n">
        <f aca="false">H1641/J1641</f>
        <v>0.861551433389545</v>
      </c>
    </row>
    <row r="1642" customFormat="false" ht="15" hidden="false" customHeight="false" outlineLevel="0" collapsed="false">
      <c r="A1642" s="39" t="s">
        <v>912</v>
      </c>
      <c r="B1642" s="39" t="s">
        <v>911</v>
      </c>
      <c r="C1642" s="39" t="s">
        <v>889</v>
      </c>
      <c r="D1642" s="39" t="s">
        <v>919</v>
      </c>
      <c r="E1642" s="39"/>
      <c r="F1642" s="39" t="s">
        <v>133</v>
      </c>
      <c r="G1642" s="60"/>
      <c r="H1642" s="58" t="n">
        <v>7114</v>
      </c>
      <c r="I1642" s="39" t="str">
        <f aca="false">A1642&amp;"|"&amp;B1642&amp;"|"&amp;D1642&amp;"|"&amp;E1642&amp;F1642</f>
        <v>home|McAlester|scenario 5 (dwelling $500,000, deductible 1%)|frame</v>
      </c>
      <c r="J1642" s="34" t="n">
        <f aca="false" t="array" ref="J1642:J1642">MEDIAN(IF($I$4:$I$1803=I1642,$H$4:$H$1803))</f>
        <v>7321.5</v>
      </c>
      <c r="K1642" s="59" t="n">
        <f aca="false">H1642/J1642</f>
        <v>0.97165881308475</v>
      </c>
    </row>
    <row r="1643" customFormat="false" ht="15" hidden="false" customHeight="false" outlineLevel="0" collapsed="false">
      <c r="A1643" s="39" t="s">
        <v>912</v>
      </c>
      <c r="B1643" s="39" t="s">
        <v>911</v>
      </c>
      <c r="C1643" s="39" t="s">
        <v>889</v>
      </c>
      <c r="D1643" s="39" t="s">
        <v>919</v>
      </c>
      <c r="E1643" s="39"/>
      <c r="F1643" s="39" t="s">
        <v>915</v>
      </c>
      <c r="G1643" s="60"/>
      <c r="H1643" s="58" t="n">
        <v>6452</v>
      </c>
      <c r="I1643" s="39" t="str">
        <f aca="false">A1643&amp;"|"&amp;B1643&amp;"|"&amp;D1643&amp;"|"&amp;E1643&amp;F1643</f>
        <v>home|McAlester|scenario 5 (dwelling $500,000, deductible 1%)|masonry</v>
      </c>
      <c r="J1643" s="34" t="n">
        <f aca="false" t="array" ref="J1643:J1643">MEDIAN(IF($I$4:$I$1803=I1643,$H$4:$H$1803))</f>
        <v>6962.5</v>
      </c>
      <c r="K1643" s="59" t="n">
        <f aca="false">H1643/J1643</f>
        <v>0.926678635547576</v>
      </c>
    </row>
    <row r="1644" customFormat="false" ht="15" hidden="false" customHeight="false" outlineLevel="0" collapsed="false">
      <c r="A1644" s="39" t="s">
        <v>912</v>
      </c>
      <c r="B1644" s="39" t="s">
        <v>911</v>
      </c>
      <c r="C1644" s="39" t="s">
        <v>922</v>
      </c>
      <c r="D1644" s="39" t="s">
        <v>914</v>
      </c>
      <c r="E1644" s="39"/>
      <c r="F1644" s="39" t="s">
        <v>133</v>
      </c>
      <c r="G1644" s="60"/>
      <c r="H1644" s="58" t="n">
        <v>1928</v>
      </c>
      <c r="I1644" s="39" t="str">
        <f aca="false">A1644&amp;"|"&amp;B1644&amp;"|"&amp;D1644&amp;"|"&amp;E1644&amp;F1644</f>
        <v>home|McAlester|scenario 1 (dwelling $100,000, deductible 1%)|frame</v>
      </c>
      <c r="J1644" s="34" t="n">
        <f aca="false" t="array" ref="J1644:J1644">MEDIAN(IF($I$4:$I$1803=I1644,$H$4:$H$1803))</f>
        <v>2453.5</v>
      </c>
      <c r="K1644" s="59" t="n">
        <f aca="false">H1644/J1644</f>
        <v>0.785816180965967</v>
      </c>
    </row>
    <row r="1645" customFormat="false" ht="15" hidden="false" customHeight="false" outlineLevel="0" collapsed="false">
      <c r="A1645" s="39" t="s">
        <v>912</v>
      </c>
      <c r="B1645" s="39" t="s">
        <v>911</v>
      </c>
      <c r="C1645" s="39" t="s">
        <v>922</v>
      </c>
      <c r="D1645" s="39" t="s">
        <v>914</v>
      </c>
      <c r="E1645" s="39"/>
      <c r="F1645" s="39" t="s">
        <v>915</v>
      </c>
      <c r="G1645" s="60"/>
      <c r="H1645" s="58" t="n">
        <v>1848</v>
      </c>
      <c r="I1645" s="39" t="str">
        <f aca="false">A1645&amp;"|"&amp;B1645&amp;"|"&amp;D1645&amp;"|"&amp;E1645&amp;F1645</f>
        <v>home|McAlester|scenario 1 (dwelling $100,000, deductible 1%)|masonry</v>
      </c>
      <c r="J1645" s="34" t="n">
        <f aca="false" t="array" ref="J1645:J1645">MEDIAN(IF($I$4:$I$1803=I1645,$H$4:$H$1803))</f>
        <v>2322.5</v>
      </c>
      <c r="K1645" s="59" t="n">
        <f aca="false">H1645/J1645</f>
        <v>0.795694294940797</v>
      </c>
    </row>
    <row r="1646" customFormat="false" ht="15" hidden="false" customHeight="false" outlineLevel="0" collapsed="false">
      <c r="A1646" s="39" t="s">
        <v>912</v>
      </c>
      <c r="B1646" s="39" t="s">
        <v>911</v>
      </c>
      <c r="C1646" s="39" t="s">
        <v>922</v>
      </c>
      <c r="D1646" s="39" t="s">
        <v>916</v>
      </c>
      <c r="E1646" s="39"/>
      <c r="F1646" s="39" t="s">
        <v>133</v>
      </c>
      <c r="G1646" s="60"/>
      <c r="H1646" s="58" t="n">
        <v>3088</v>
      </c>
      <c r="I1646" s="39" t="str">
        <f aca="false">A1646&amp;"|"&amp;B1646&amp;"|"&amp;D1646&amp;"|"&amp;E1646&amp;F1646</f>
        <v>home|McAlester|scenario 2 (dwelling $200,000, deductible 1%)|frame</v>
      </c>
      <c r="J1646" s="34" t="n">
        <f aca="false" t="array" ref="J1646:J1646">MEDIAN(IF($I$4:$I$1803=I1646,$H$4:$H$1803))</f>
        <v>3529</v>
      </c>
      <c r="K1646" s="59" t="n">
        <f aca="false">H1646/J1646</f>
        <v>0.875035420799093</v>
      </c>
    </row>
    <row r="1647" customFormat="false" ht="15" hidden="false" customHeight="false" outlineLevel="0" collapsed="false">
      <c r="A1647" s="39" t="s">
        <v>912</v>
      </c>
      <c r="B1647" s="39" t="s">
        <v>911</v>
      </c>
      <c r="C1647" s="39" t="s">
        <v>922</v>
      </c>
      <c r="D1647" s="39" t="s">
        <v>916</v>
      </c>
      <c r="E1647" s="39"/>
      <c r="F1647" s="39" t="s">
        <v>915</v>
      </c>
      <c r="G1647" s="60"/>
      <c r="H1647" s="58" t="n">
        <v>2959</v>
      </c>
      <c r="I1647" s="39" t="str">
        <f aca="false">A1647&amp;"|"&amp;B1647&amp;"|"&amp;D1647&amp;"|"&amp;E1647&amp;F1647</f>
        <v>home|McAlester|scenario 2 (dwelling $200,000, deductible 1%)|masonry</v>
      </c>
      <c r="J1647" s="34" t="n">
        <f aca="false" t="array" ref="J1647:J1647">MEDIAN(IF($I$4:$I$1803=I1647,$H$4:$H$1803))</f>
        <v>3379.5</v>
      </c>
      <c r="K1647" s="59" t="n">
        <f aca="false">H1647/J1647</f>
        <v>0.875573309661193</v>
      </c>
    </row>
    <row r="1648" customFormat="false" ht="15" hidden="false" customHeight="false" outlineLevel="0" collapsed="false">
      <c r="A1648" s="39" t="s">
        <v>912</v>
      </c>
      <c r="B1648" s="39" t="s">
        <v>911</v>
      </c>
      <c r="C1648" s="39" t="s">
        <v>922</v>
      </c>
      <c r="D1648" s="39" t="s">
        <v>917</v>
      </c>
      <c r="E1648" s="39"/>
      <c r="F1648" s="39" t="s">
        <v>133</v>
      </c>
      <c r="G1648" s="60"/>
      <c r="H1648" s="58" t="n">
        <v>4131</v>
      </c>
      <c r="I1648" s="39" t="str">
        <f aca="false">A1648&amp;"|"&amp;B1648&amp;"|"&amp;D1648&amp;"|"&amp;E1648&amp;F1648</f>
        <v>home|McAlester|scenario 3 (dwelling $300,000, deductible 1%)|frame</v>
      </c>
      <c r="J1648" s="34" t="n">
        <f aca="false" t="array" ref="J1648:J1648">MEDIAN(IF($I$4:$I$1803=I1648,$H$4:$H$1803))</f>
        <v>4827</v>
      </c>
      <c r="K1648" s="59" t="n">
        <f aca="false">H1648/J1648</f>
        <v>0.855811062771908</v>
      </c>
    </row>
    <row r="1649" customFormat="false" ht="15" hidden="false" customHeight="false" outlineLevel="0" collapsed="false">
      <c r="A1649" s="39" t="s">
        <v>912</v>
      </c>
      <c r="B1649" s="39" t="s">
        <v>911</v>
      </c>
      <c r="C1649" s="39" t="s">
        <v>922</v>
      </c>
      <c r="D1649" s="39" t="s">
        <v>917</v>
      </c>
      <c r="E1649" s="39"/>
      <c r="F1649" s="39" t="s">
        <v>915</v>
      </c>
      <c r="G1649" s="60"/>
      <c r="H1649" s="58" t="n">
        <v>3961</v>
      </c>
      <c r="I1649" s="39" t="str">
        <f aca="false">A1649&amp;"|"&amp;B1649&amp;"|"&amp;D1649&amp;"|"&amp;E1649&amp;F1649</f>
        <v>home|McAlester|scenario 3 (dwelling $300,000, deductible 1%)|masonry</v>
      </c>
      <c r="J1649" s="34" t="n">
        <f aca="false" t="array" ref="J1649:J1649">MEDIAN(IF($I$4:$I$1803=I1649,$H$4:$H$1803))</f>
        <v>4539</v>
      </c>
      <c r="K1649" s="59" t="n">
        <f aca="false">H1649/J1649</f>
        <v>0.872659176029963</v>
      </c>
    </row>
    <row r="1650" customFormat="false" ht="15" hidden="false" customHeight="false" outlineLevel="0" collapsed="false">
      <c r="A1650" s="39" t="s">
        <v>912</v>
      </c>
      <c r="B1650" s="39" t="s">
        <v>911</v>
      </c>
      <c r="C1650" s="39" t="s">
        <v>922</v>
      </c>
      <c r="D1650" s="39" t="s">
        <v>918</v>
      </c>
      <c r="E1650" s="39"/>
      <c r="F1650" s="39" t="s">
        <v>133</v>
      </c>
      <c r="G1650" s="60"/>
      <c r="H1650" s="58" t="n">
        <v>5067</v>
      </c>
      <c r="I1650" s="39" t="str">
        <f aca="false">A1650&amp;"|"&amp;B1650&amp;"|"&amp;D1650&amp;"|"&amp;E1650&amp;F1650</f>
        <v>home|McAlester|scenario 4 (dwelling $400,000, deductible 1%)|frame</v>
      </c>
      <c r="J1650" s="34" t="n">
        <f aca="false" t="array" ref="J1650:J1650">MEDIAN(IF($I$4:$I$1803=I1650,$H$4:$H$1803))</f>
        <v>6199</v>
      </c>
      <c r="K1650" s="59" t="n">
        <f aca="false">H1650/J1650</f>
        <v>0.817389901597032</v>
      </c>
    </row>
    <row r="1651" customFormat="false" ht="15" hidden="false" customHeight="false" outlineLevel="0" collapsed="false">
      <c r="A1651" s="39" t="s">
        <v>912</v>
      </c>
      <c r="B1651" s="39" t="s">
        <v>911</v>
      </c>
      <c r="C1651" s="39" t="s">
        <v>922</v>
      </c>
      <c r="D1651" s="39" t="s">
        <v>918</v>
      </c>
      <c r="E1651" s="39"/>
      <c r="F1651" s="39" t="s">
        <v>915</v>
      </c>
      <c r="G1651" s="60"/>
      <c r="H1651" s="58" t="n">
        <v>4861</v>
      </c>
      <c r="I1651" s="39" t="str">
        <f aca="false">A1651&amp;"|"&amp;B1651&amp;"|"&amp;D1651&amp;"|"&amp;E1651&amp;F1651</f>
        <v>home|McAlester|scenario 4 (dwelling $400,000, deductible 1%)|masonry</v>
      </c>
      <c r="J1651" s="34" t="n">
        <f aca="false" t="array" ref="J1651:J1651">MEDIAN(IF($I$4:$I$1803=I1651,$H$4:$H$1803))</f>
        <v>5930</v>
      </c>
      <c r="K1651" s="59" t="n">
        <f aca="false">H1651/J1651</f>
        <v>0.819730185497471</v>
      </c>
    </row>
    <row r="1652" customFormat="false" ht="15" hidden="false" customHeight="false" outlineLevel="0" collapsed="false">
      <c r="A1652" s="39" t="s">
        <v>912</v>
      </c>
      <c r="B1652" s="39" t="s">
        <v>911</v>
      </c>
      <c r="C1652" s="39" t="s">
        <v>922</v>
      </c>
      <c r="D1652" s="39" t="s">
        <v>919</v>
      </c>
      <c r="E1652" s="39"/>
      <c r="F1652" s="39" t="s">
        <v>133</v>
      </c>
      <c r="G1652" s="60"/>
      <c r="H1652" s="58" t="n">
        <v>5583</v>
      </c>
      <c r="I1652" s="39" t="str">
        <f aca="false">A1652&amp;"|"&amp;B1652&amp;"|"&amp;D1652&amp;"|"&amp;E1652&amp;F1652</f>
        <v>home|McAlester|scenario 5 (dwelling $500,000, deductible 1%)|frame</v>
      </c>
      <c r="J1652" s="34" t="n">
        <f aca="false" t="array" ref="J1652:J1652">MEDIAN(IF($I$4:$I$1803=I1652,$H$4:$H$1803))</f>
        <v>7321.5</v>
      </c>
      <c r="K1652" s="59" t="n">
        <f aca="false">H1652/J1652</f>
        <v>0.762548658061873</v>
      </c>
    </row>
    <row r="1653" customFormat="false" ht="15" hidden="false" customHeight="false" outlineLevel="0" collapsed="false">
      <c r="A1653" s="39" t="s">
        <v>912</v>
      </c>
      <c r="B1653" s="39" t="s">
        <v>911</v>
      </c>
      <c r="C1653" s="39" t="s">
        <v>922</v>
      </c>
      <c r="D1653" s="39" t="s">
        <v>919</v>
      </c>
      <c r="E1653" s="39"/>
      <c r="F1653" s="39" t="s">
        <v>915</v>
      </c>
      <c r="G1653" s="60"/>
      <c r="H1653" s="58" t="n">
        <v>5367</v>
      </c>
      <c r="I1653" s="39" t="str">
        <f aca="false">A1653&amp;"|"&amp;B1653&amp;"|"&amp;D1653&amp;"|"&amp;E1653&amp;F1653</f>
        <v>home|McAlester|scenario 5 (dwelling $500,000, deductible 1%)|masonry</v>
      </c>
      <c r="J1653" s="34" t="n">
        <f aca="false" t="array" ref="J1653:J1653">MEDIAN(IF($I$4:$I$1803=I1653,$H$4:$H$1803))</f>
        <v>6962.5</v>
      </c>
      <c r="K1653" s="59" t="n">
        <f aca="false">H1653/J1653</f>
        <v>0.770843806104129</v>
      </c>
    </row>
    <row r="1654" customFormat="false" ht="15" hidden="false" customHeight="false" outlineLevel="0" collapsed="false">
      <c r="A1654" s="39" t="s">
        <v>912</v>
      </c>
      <c r="B1654" s="39" t="s">
        <v>911</v>
      </c>
      <c r="C1654" s="39" t="s">
        <v>923</v>
      </c>
      <c r="D1654" s="39" t="s">
        <v>914</v>
      </c>
      <c r="E1654" s="39"/>
      <c r="F1654" s="39" t="s">
        <v>133</v>
      </c>
      <c r="G1654" s="60"/>
      <c r="H1654" s="58" t="n">
        <v>2061</v>
      </c>
      <c r="I1654" s="39" t="str">
        <f aca="false">A1654&amp;"|"&amp;B1654&amp;"|"&amp;D1654&amp;"|"&amp;E1654&amp;F1654</f>
        <v>home|McAlester|scenario 1 (dwelling $100,000, deductible 1%)|frame</v>
      </c>
      <c r="J1654" s="34" t="n">
        <f aca="false" t="array" ref="J1654:J1654">MEDIAN(IF($I$4:$I$1803=I1654,$H$4:$H$1803))</f>
        <v>2453.5</v>
      </c>
      <c r="K1654" s="59" t="n">
        <f aca="false">H1654/J1654</f>
        <v>0.840024454860404</v>
      </c>
    </row>
    <row r="1655" customFormat="false" ht="15" hidden="false" customHeight="false" outlineLevel="0" collapsed="false">
      <c r="A1655" s="39" t="s">
        <v>912</v>
      </c>
      <c r="B1655" s="39" t="s">
        <v>911</v>
      </c>
      <c r="C1655" s="39" t="s">
        <v>923</v>
      </c>
      <c r="D1655" s="39" t="s">
        <v>914</v>
      </c>
      <c r="E1655" s="39"/>
      <c r="F1655" s="39" t="s">
        <v>915</v>
      </c>
      <c r="G1655" s="60"/>
      <c r="H1655" s="58" t="n">
        <v>2050</v>
      </c>
      <c r="I1655" s="39" t="str">
        <f aca="false">A1655&amp;"|"&amp;B1655&amp;"|"&amp;D1655&amp;"|"&amp;E1655&amp;F1655</f>
        <v>home|McAlester|scenario 1 (dwelling $100,000, deductible 1%)|masonry</v>
      </c>
      <c r="J1655" s="34" t="n">
        <f aca="false" t="array" ref="J1655:J1655">MEDIAN(IF($I$4:$I$1803=I1655,$H$4:$H$1803))</f>
        <v>2322.5</v>
      </c>
      <c r="K1655" s="59" t="n">
        <f aca="false">H1655/J1655</f>
        <v>0.882669537136706</v>
      </c>
    </row>
    <row r="1656" customFormat="false" ht="15" hidden="false" customHeight="false" outlineLevel="0" collapsed="false">
      <c r="A1656" s="39" t="s">
        <v>912</v>
      </c>
      <c r="B1656" s="39" t="s">
        <v>911</v>
      </c>
      <c r="C1656" s="39" t="s">
        <v>923</v>
      </c>
      <c r="D1656" s="39" t="s">
        <v>916</v>
      </c>
      <c r="E1656" s="39"/>
      <c r="F1656" s="39" t="s">
        <v>133</v>
      </c>
      <c r="G1656" s="60"/>
      <c r="H1656" s="58" t="n">
        <v>2331</v>
      </c>
      <c r="I1656" s="39" t="str">
        <f aca="false">A1656&amp;"|"&amp;B1656&amp;"|"&amp;D1656&amp;"|"&amp;E1656&amp;F1656</f>
        <v>home|McAlester|scenario 2 (dwelling $200,000, deductible 1%)|frame</v>
      </c>
      <c r="J1656" s="34" t="n">
        <f aca="false" t="array" ref="J1656:J1656">MEDIAN(IF($I$4:$I$1803=I1656,$H$4:$H$1803))</f>
        <v>3529</v>
      </c>
      <c r="K1656" s="59" t="n">
        <f aca="false">H1656/J1656</f>
        <v>0.660527061490507</v>
      </c>
    </row>
    <row r="1657" customFormat="false" ht="15" hidden="false" customHeight="false" outlineLevel="0" collapsed="false">
      <c r="A1657" s="39" t="s">
        <v>912</v>
      </c>
      <c r="B1657" s="39" t="s">
        <v>911</v>
      </c>
      <c r="C1657" s="39" t="s">
        <v>923</v>
      </c>
      <c r="D1657" s="39" t="s">
        <v>916</v>
      </c>
      <c r="E1657" s="39"/>
      <c r="F1657" s="39" t="s">
        <v>915</v>
      </c>
      <c r="G1657" s="60"/>
      <c r="H1657" s="58" t="n">
        <v>2310</v>
      </c>
      <c r="I1657" s="39" t="str">
        <f aca="false">A1657&amp;"|"&amp;B1657&amp;"|"&amp;D1657&amp;"|"&amp;E1657&amp;F1657</f>
        <v>home|McAlester|scenario 2 (dwelling $200,000, deductible 1%)|masonry</v>
      </c>
      <c r="J1657" s="34" t="n">
        <f aca="false" t="array" ref="J1657:J1657">MEDIAN(IF($I$4:$I$1803=I1657,$H$4:$H$1803))</f>
        <v>3379.5</v>
      </c>
      <c r="K1657" s="59" t="n">
        <f aca="false">H1657/J1657</f>
        <v>0.683533067021749</v>
      </c>
    </row>
    <row r="1658" customFormat="false" ht="15" hidden="false" customHeight="false" outlineLevel="0" collapsed="false">
      <c r="A1658" s="39" t="s">
        <v>912</v>
      </c>
      <c r="B1658" s="39" t="s">
        <v>911</v>
      </c>
      <c r="C1658" s="39" t="s">
        <v>923</v>
      </c>
      <c r="D1658" s="39" t="s">
        <v>917</v>
      </c>
      <c r="E1658" s="39"/>
      <c r="F1658" s="39" t="s">
        <v>133</v>
      </c>
      <c r="G1658" s="60"/>
      <c r="H1658" s="58" t="n">
        <v>2608</v>
      </c>
      <c r="I1658" s="39" t="str">
        <f aca="false">A1658&amp;"|"&amp;B1658&amp;"|"&amp;D1658&amp;"|"&amp;E1658&amp;F1658</f>
        <v>home|McAlester|scenario 3 (dwelling $300,000, deductible 1%)|frame</v>
      </c>
      <c r="J1658" s="34" t="n">
        <f aca="false" t="array" ref="J1658:J1658">MEDIAN(IF($I$4:$I$1803=I1658,$H$4:$H$1803))</f>
        <v>4827</v>
      </c>
      <c r="K1658" s="59" t="n">
        <f aca="false">H1658/J1658</f>
        <v>0.540294178578827</v>
      </c>
    </row>
    <row r="1659" customFormat="false" ht="15" hidden="false" customHeight="false" outlineLevel="0" collapsed="false">
      <c r="A1659" s="39" t="s">
        <v>912</v>
      </c>
      <c r="B1659" s="39" t="s">
        <v>911</v>
      </c>
      <c r="C1659" s="39" t="s">
        <v>923</v>
      </c>
      <c r="D1659" s="39" t="s">
        <v>917</v>
      </c>
      <c r="E1659" s="39"/>
      <c r="F1659" s="39" t="s">
        <v>915</v>
      </c>
      <c r="G1659" s="60"/>
      <c r="H1659" s="58" t="n">
        <v>2579</v>
      </c>
      <c r="I1659" s="39" t="str">
        <f aca="false">A1659&amp;"|"&amp;B1659&amp;"|"&amp;D1659&amp;"|"&amp;E1659&amp;F1659</f>
        <v>home|McAlester|scenario 3 (dwelling $300,000, deductible 1%)|masonry</v>
      </c>
      <c r="J1659" s="34" t="n">
        <f aca="false" t="array" ref="J1659:J1659">MEDIAN(IF($I$4:$I$1803=I1659,$H$4:$H$1803))</f>
        <v>4539</v>
      </c>
      <c r="K1659" s="59" t="n">
        <f aca="false">H1659/J1659</f>
        <v>0.568186825291915</v>
      </c>
    </row>
    <row r="1660" customFormat="false" ht="15" hidden="false" customHeight="false" outlineLevel="0" collapsed="false">
      <c r="A1660" s="39" t="s">
        <v>912</v>
      </c>
      <c r="B1660" s="39" t="s">
        <v>911</v>
      </c>
      <c r="C1660" s="39" t="s">
        <v>923</v>
      </c>
      <c r="D1660" s="39" t="s">
        <v>918</v>
      </c>
      <c r="E1660" s="39"/>
      <c r="F1660" s="39" t="s">
        <v>133</v>
      </c>
      <c r="G1660" s="60"/>
      <c r="H1660" s="58" t="n">
        <v>2882</v>
      </c>
      <c r="I1660" s="39" t="str">
        <f aca="false">A1660&amp;"|"&amp;B1660&amp;"|"&amp;D1660&amp;"|"&amp;E1660&amp;F1660</f>
        <v>home|McAlester|scenario 4 (dwelling $400,000, deductible 1%)|frame</v>
      </c>
      <c r="J1660" s="34" t="n">
        <f aca="false" t="array" ref="J1660:J1660">MEDIAN(IF($I$4:$I$1803=I1660,$H$4:$H$1803))</f>
        <v>6199</v>
      </c>
      <c r="K1660" s="59" t="n">
        <f aca="false">H1660/J1660</f>
        <v>0.46491369575738</v>
      </c>
    </row>
    <row r="1661" customFormat="false" ht="15" hidden="false" customHeight="false" outlineLevel="0" collapsed="false">
      <c r="A1661" s="39" t="s">
        <v>912</v>
      </c>
      <c r="B1661" s="39" t="s">
        <v>911</v>
      </c>
      <c r="C1661" s="39" t="s">
        <v>923</v>
      </c>
      <c r="D1661" s="39" t="s">
        <v>918</v>
      </c>
      <c r="E1661" s="39"/>
      <c r="F1661" s="39" t="s">
        <v>915</v>
      </c>
      <c r="G1661" s="60"/>
      <c r="H1661" s="58" t="n">
        <v>2844</v>
      </c>
      <c r="I1661" s="39" t="str">
        <f aca="false">A1661&amp;"|"&amp;B1661&amp;"|"&amp;D1661&amp;"|"&amp;E1661&amp;F1661</f>
        <v>home|McAlester|scenario 4 (dwelling $400,000, deductible 1%)|masonry</v>
      </c>
      <c r="J1661" s="34" t="n">
        <f aca="false" t="array" ref="J1661:J1661">MEDIAN(IF($I$4:$I$1803=I1661,$H$4:$H$1803))</f>
        <v>5930</v>
      </c>
      <c r="K1661" s="59" t="n">
        <f aca="false">H1661/J1661</f>
        <v>0.479595278246206</v>
      </c>
    </row>
    <row r="1662" customFormat="false" ht="15" hidden="false" customHeight="false" outlineLevel="0" collapsed="false">
      <c r="A1662" s="39" t="s">
        <v>912</v>
      </c>
      <c r="B1662" s="39" t="s">
        <v>911</v>
      </c>
      <c r="C1662" s="39" t="s">
        <v>923</v>
      </c>
      <c r="D1662" s="39" t="s">
        <v>919</v>
      </c>
      <c r="E1662" s="39"/>
      <c r="F1662" s="39" t="s">
        <v>133</v>
      </c>
      <c r="G1662" s="60"/>
      <c r="H1662" s="58" t="n">
        <v>2968</v>
      </c>
      <c r="I1662" s="39" t="str">
        <f aca="false">A1662&amp;"|"&amp;B1662&amp;"|"&amp;D1662&amp;"|"&amp;E1662&amp;F1662</f>
        <v>home|McAlester|scenario 5 (dwelling $500,000, deductible 1%)|frame</v>
      </c>
      <c r="J1662" s="34" t="n">
        <f aca="false" t="array" ref="J1662:J1662">MEDIAN(IF($I$4:$I$1803=I1662,$H$4:$H$1803))</f>
        <v>7321.5</v>
      </c>
      <c r="K1662" s="59" t="n">
        <f aca="false">H1662/J1662</f>
        <v>0.405381410913064</v>
      </c>
    </row>
    <row r="1663" customFormat="false" ht="15" hidden="false" customHeight="false" outlineLevel="0" collapsed="false">
      <c r="A1663" s="39" t="s">
        <v>912</v>
      </c>
      <c r="B1663" s="39" t="s">
        <v>911</v>
      </c>
      <c r="C1663" s="39" t="s">
        <v>923</v>
      </c>
      <c r="D1663" s="39" t="s">
        <v>919</v>
      </c>
      <c r="E1663" s="39"/>
      <c r="F1663" s="39" t="s">
        <v>915</v>
      </c>
      <c r="G1663" s="60"/>
      <c r="H1663" s="58" t="n">
        <v>2922</v>
      </c>
      <c r="I1663" s="39" t="str">
        <f aca="false">A1663&amp;"|"&amp;B1663&amp;"|"&amp;D1663&amp;"|"&amp;E1663&amp;F1663</f>
        <v>home|McAlester|scenario 5 (dwelling $500,000, deductible 1%)|masonry</v>
      </c>
      <c r="J1663" s="34" t="n">
        <f aca="false" t="array" ref="J1663:J1663">MEDIAN(IF($I$4:$I$1803=I1663,$H$4:$H$1803))</f>
        <v>6962.5</v>
      </c>
      <c r="K1663" s="59" t="n">
        <f aca="false">H1663/J1663</f>
        <v>0.41967684021544</v>
      </c>
    </row>
    <row r="1664" customFormat="false" ht="15" hidden="false" customHeight="false" outlineLevel="0" collapsed="false">
      <c r="A1664" s="39" t="s">
        <v>912</v>
      </c>
      <c r="B1664" s="39" t="s">
        <v>911</v>
      </c>
      <c r="C1664" s="39" t="s">
        <v>924</v>
      </c>
      <c r="D1664" s="39" t="s">
        <v>914</v>
      </c>
      <c r="E1664" s="39"/>
      <c r="F1664" s="39" t="s">
        <v>133</v>
      </c>
      <c r="G1664" s="60"/>
      <c r="H1664" s="58" t="n">
        <v>1769</v>
      </c>
      <c r="I1664" s="39" t="str">
        <f aca="false">A1664&amp;"|"&amp;B1664&amp;"|"&amp;D1664&amp;"|"&amp;E1664&amp;F1664</f>
        <v>home|McAlester|scenario 1 (dwelling $100,000, deductible 1%)|frame</v>
      </c>
      <c r="J1664" s="34" t="n">
        <f aca="false" t="array" ref="J1664:J1664">MEDIAN(IF($I$4:$I$1803=I1664,$H$4:$H$1803))</f>
        <v>2453.5</v>
      </c>
      <c r="K1664" s="59" t="n">
        <f aca="false">H1664/J1664</f>
        <v>0.721010800896678</v>
      </c>
    </row>
    <row r="1665" customFormat="false" ht="15" hidden="false" customHeight="false" outlineLevel="0" collapsed="false">
      <c r="A1665" s="39" t="s">
        <v>912</v>
      </c>
      <c r="B1665" s="39" t="s">
        <v>911</v>
      </c>
      <c r="C1665" s="39" t="s">
        <v>924</v>
      </c>
      <c r="D1665" s="39" t="s">
        <v>914</v>
      </c>
      <c r="E1665" s="39"/>
      <c r="F1665" s="39" t="s">
        <v>915</v>
      </c>
      <c r="G1665" s="60"/>
      <c r="H1665" s="58" t="n">
        <v>1737</v>
      </c>
      <c r="I1665" s="39" t="str">
        <f aca="false">A1665&amp;"|"&amp;B1665&amp;"|"&amp;D1665&amp;"|"&amp;E1665&amp;F1665</f>
        <v>home|McAlester|scenario 1 (dwelling $100,000, deductible 1%)|masonry</v>
      </c>
      <c r="J1665" s="34" t="n">
        <f aca="false" t="array" ref="J1665:J1665">MEDIAN(IF($I$4:$I$1803=I1665,$H$4:$H$1803))</f>
        <v>2322.5</v>
      </c>
      <c r="K1665" s="59" t="n">
        <f aca="false">H1665/J1665</f>
        <v>0.747900968783638</v>
      </c>
    </row>
    <row r="1666" customFormat="false" ht="15" hidden="false" customHeight="false" outlineLevel="0" collapsed="false">
      <c r="A1666" s="39" t="s">
        <v>912</v>
      </c>
      <c r="B1666" s="39" t="s">
        <v>911</v>
      </c>
      <c r="C1666" s="39" t="s">
        <v>924</v>
      </c>
      <c r="D1666" s="39" t="s">
        <v>916</v>
      </c>
      <c r="E1666" s="39"/>
      <c r="F1666" s="39" t="s">
        <v>133</v>
      </c>
      <c r="G1666" s="60"/>
      <c r="H1666" s="58" t="n">
        <v>2761</v>
      </c>
      <c r="I1666" s="39" t="str">
        <f aca="false">A1666&amp;"|"&amp;B1666&amp;"|"&amp;D1666&amp;"|"&amp;E1666&amp;F1666</f>
        <v>home|McAlester|scenario 2 (dwelling $200,000, deductible 1%)|frame</v>
      </c>
      <c r="J1666" s="34" t="n">
        <f aca="false" t="array" ref="J1666:J1666">MEDIAN(IF($I$4:$I$1803=I1666,$H$4:$H$1803))</f>
        <v>3529</v>
      </c>
      <c r="K1666" s="59" t="n">
        <f aca="false">H1666/J1666</f>
        <v>0.78237461037121</v>
      </c>
    </row>
    <row r="1667" customFormat="false" ht="15" hidden="false" customHeight="false" outlineLevel="0" collapsed="false">
      <c r="A1667" s="39" t="s">
        <v>912</v>
      </c>
      <c r="B1667" s="39" t="s">
        <v>911</v>
      </c>
      <c r="C1667" s="39" t="s">
        <v>924</v>
      </c>
      <c r="D1667" s="39" t="s">
        <v>916</v>
      </c>
      <c r="E1667" s="39"/>
      <c r="F1667" s="39" t="s">
        <v>915</v>
      </c>
      <c r="G1667" s="60"/>
      <c r="H1667" s="58" t="n">
        <v>2693</v>
      </c>
      <c r="I1667" s="39" t="str">
        <f aca="false">A1667&amp;"|"&amp;B1667&amp;"|"&amp;D1667&amp;"|"&amp;E1667&amp;F1667</f>
        <v>home|McAlester|scenario 2 (dwelling $200,000, deductible 1%)|masonry</v>
      </c>
      <c r="J1667" s="34" t="n">
        <f aca="false" t="array" ref="J1667:J1667">MEDIAN(IF($I$4:$I$1803=I1667,$H$4:$H$1803))</f>
        <v>3379.5</v>
      </c>
      <c r="K1667" s="59" t="n">
        <f aca="false">H1667/J1667</f>
        <v>0.796863441337476</v>
      </c>
    </row>
    <row r="1668" customFormat="false" ht="15" hidden="false" customHeight="false" outlineLevel="0" collapsed="false">
      <c r="A1668" s="39" t="s">
        <v>912</v>
      </c>
      <c r="B1668" s="39" t="s">
        <v>911</v>
      </c>
      <c r="C1668" s="39" t="s">
        <v>924</v>
      </c>
      <c r="D1668" s="39" t="s">
        <v>917</v>
      </c>
      <c r="E1668" s="39"/>
      <c r="F1668" s="39" t="s">
        <v>133</v>
      </c>
      <c r="G1668" s="60"/>
      <c r="H1668" s="58" t="n">
        <v>3849</v>
      </c>
      <c r="I1668" s="39" t="str">
        <f aca="false">A1668&amp;"|"&amp;B1668&amp;"|"&amp;D1668&amp;"|"&amp;E1668&amp;F1668</f>
        <v>home|McAlester|scenario 3 (dwelling $300,000, deductible 1%)|frame</v>
      </c>
      <c r="J1668" s="34" t="n">
        <f aca="false" t="array" ref="J1668:J1668">MEDIAN(IF($I$4:$I$1803=I1668,$H$4:$H$1803))</f>
        <v>4827</v>
      </c>
      <c r="K1668" s="59" t="n">
        <f aca="false">H1668/J1668</f>
        <v>0.79738968303294</v>
      </c>
    </row>
    <row r="1669" customFormat="false" ht="15" hidden="false" customHeight="false" outlineLevel="0" collapsed="false">
      <c r="A1669" s="39" t="s">
        <v>912</v>
      </c>
      <c r="B1669" s="39" t="s">
        <v>911</v>
      </c>
      <c r="C1669" s="39" t="s">
        <v>924</v>
      </c>
      <c r="D1669" s="39" t="s">
        <v>917</v>
      </c>
      <c r="E1669" s="39"/>
      <c r="F1669" s="39" t="s">
        <v>915</v>
      </c>
      <c r="G1669" s="60"/>
      <c r="H1669" s="58" t="n">
        <v>3738</v>
      </c>
      <c r="I1669" s="39" t="str">
        <f aca="false">A1669&amp;"|"&amp;B1669&amp;"|"&amp;D1669&amp;"|"&amp;E1669&amp;F1669</f>
        <v>home|McAlester|scenario 3 (dwelling $300,000, deductible 1%)|masonry</v>
      </c>
      <c r="J1669" s="34" t="n">
        <f aca="false" t="array" ref="J1669:J1669">MEDIAN(IF($I$4:$I$1803=I1669,$H$4:$H$1803))</f>
        <v>4539</v>
      </c>
      <c r="K1669" s="59" t="n">
        <f aca="false">H1669/J1669</f>
        <v>0.823529411764706</v>
      </c>
    </row>
    <row r="1670" customFormat="false" ht="15" hidden="false" customHeight="false" outlineLevel="0" collapsed="false">
      <c r="A1670" s="39" t="s">
        <v>912</v>
      </c>
      <c r="B1670" s="39" t="s">
        <v>911</v>
      </c>
      <c r="C1670" s="39" t="s">
        <v>924</v>
      </c>
      <c r="D1670" s="39" t="s">
        <v>918</v>
      </c>
      <c r="E1670" s="39"/>
      <c r="F1670" s="39" t="s">
        <v>133</v>
      </c>
      <c r="G1670" s="60"/>
      <c r="H1670" s="58" t="n">
        <v>4968</v>
      </c>
      <c r="I1670" s="39" t="str">
        <f aca="false">A1670&amp;"|"&amp;B1670&amp;"|"&amp;D1670&amp;"|"&amp;E1670&amp;F1670</f>
        <v>home|McAlester|scenario 4 (dwelling $400,000, deductible 1%)|frame</v>
      </c>
      <c r="J1670" s="34" t="n">
        <f aca="false" t="array" ref="J1670:J1670">MEDIAN(IF($I$4:$I$1803=I1670,$H$4:$H$1803))</f>
        <v>6199</v>
      </c>
      <c r="K1670" s="59" t="n">
        <f aca="false">H1670/J1670</f>
        <v>0.801419583803839</v>
      </c>
    </row>
    <row r="1671" customFormat="false" ht="15" hidden="false" customHeight="false" outlineLevel="0" collapsed="false">
      <c r="A1671" s="39" t="s">
        <v>912</v>
      </c>
      <c r="B1671" s="39" t="s">
        <v>911</v>
      </c>
      <c r="C1671" s="39" t="s">
        <v>924</v>
      </c>
      <c r="D1671" s="39" t="s">
        <v>918</v>
      </c>
      <c r="E1671" s="39"/>
      <c r="F1671" s="39" t="s">
        <v>915</v>
      </c>
      <c r="G1671" s="60"/>
      <c r="H1671" s="58" t="n">
        <v>4814</v>
      </c>
      <c r="I1671" s="39" t="str">
        <f aca="false">A1671&amp;"|"&amp;B1671&amp;"|"&amp;D1671&amp;"|"&amp;E1671&amp;F1671</f>
        <v>home|McAlester|scenario 4 (dwelling $400,000, deductible 1%)|masonry</v>
      </c>
      <c r="J1671" s="34" t="n">
        <f aca="false" t="array" ref="J1671:J1671">MEDIAN(IF($I$4:$I$1803=I1671,$H$4:$H$1803))</f>
        <v>5930</v>
      </c>
      <c r="K1671" s="59" t="n">
        <f aca="false">H1671/J1671</f>
        <v>0.811804384485666</v>
      </c>
    </row>
    <row r="1672" customFormat="false" ht="15" hidden="false" customHeight="false" outlineLevel="0" collapsed="false">
      <c r="A1672" s="39" t="s">
        <v>912</v>
      </c>
      <c r="B1672" s="39" t="s">
        <v>911</v>
      </c>
      <c r="C1672" s="39" t="s">
        <v>924</v>
      </c>
      <c r="D1672" s="39" t="s">
        <v>919</v>
      </c>
      <c r="E1672" s="39"/>
      <c r="F1672" s="39" t="s">
        <v>133</v>
      </c>
      <c r="G1672" s="60"/>
      <c r="H1672" s="58" t="n">
        <v>6129</v>
      </c>
      <c r="I1672" s="39" t="str">
        <f aca="false">A1672&amp;"|"&amp;B1672&amp;"|"&amp;D1672&amp;"|"&amp;E1672&amp;F1672</f>
        <v>home|McAlester|scenario 5 (dwelling $500,000, deductible 1%)|frame</v>
      </c>
      <c r="J1672" s="34" t="n">
        <f aca="false" t="array" ref="J1672:J1672">MEDIAN(IF($I$4:$I$1803=I1672,$H$4:$H$1803))</f>
        <v>7321.5</v>
      </c>
      <c r="K1672" s="59" t="n">
        <f aca="false">H1672/J1672</f>
        <v>0.837123540258144</v>
      </c>
    </row>
    <row r="1673" customFormat="false" ht="15" hidden="false" customHeight="false" outlineLevel="0" collapsed="false">
      <c r="A1673" s="39" t="s">
        <v>912</v>
      </c>
      <c r="B1673" s="39" t="s">
        <v>911</v>
      </c>
      <c r="C1673" s="39" t="s">
        <v>924</v>
      </c>
      <c r="D1673" s="39" t="s">
        <v>919</v>
      </c>
      <c r="E1673" s="39"/>
      <c r="F1673" s="39" t="s">
        <v>915</v>
      </c>
      <c r="G1673" s="60"/>
      <c r="H1673" s="58" t="n">
        <v>5927</v>
      </c>
      <c r="I1673" s="39" t="str">
        <f aca="false">A1673&amp;"|"&amp;B1673&amp;"|"&amp;D1673&amp;"|"&amp;E1673&amp;F1673</f>
        <v>home|McAlester|scenario 5 (dwelling $500,000, deductible 1%)|masonry</v>
      </c>
      <c r="J1673" s="34" t="n">
        <f aca="false" t="array" ref="J1673:J1673">MEDIAN(IF($I$4:$I$1803=I1673,$H$4:$H$1803))</f>
        <v>6962.5</v>
      </c>
      <c r="K1673" s="59" t="n">
        <f aca="false">H1673/J1673</f>
        <v>0.851274685816876</v>
      </c>
    </row>
    <row r="1674" customFormat="false" ht="15" hidden="false" customHeight="false" outlineLevel="0" collapsed="false">
      <c r="A1674" s="39" t="s">
        <v>912</v>
      </c>
      <c r="B1674" s="39" t="s">
        <v>911</v>
      </c>
      <c r="C1674" s="39" t="s">
        <v>925</v>
      </c>
      <c r="D1674" s="39" t="s">
        <v>914</v>
      </c>
      <c r="E1674" s="39"/>
      <c r="F1674" s="39" t="s">
        <v>133</v>
      </c>
      <c r="G1674" s="60"/>
      <c r="H1674" s="58" t="n">
        <v>2490</v>
      </c>
      <c r="I1674" s="39" t="str">
        <f aca="false">A1674&amp;"|"&amp;B1674&amp;"|"&amp;D1674&amp;"|"&amp;E1674&amp;F1674</f>
        <v>home|McAlester|scenario 1 (dwelling $100,000, deductible 1%)|frame</v>
      </c>
      <c r="J1674" s="34" t="n">
        <f aca="false" t="array" ref="J1674:J1674">MEDIAN(IF($I$4:$I$1803=I1674,$H$4:$H$1803))</f>
        <v>2453.5</v>
      </c>
      <c r="K1674" s="59" t="n">
        <f aca="false">H1674/J1674</f>
        <v>1.01487670674547</v>
      </c>
    </row>
    <row r="1675" customFormat="false" ht="15" hidden="false" customHeight="false" outlineLevel="0" collapsed="false">
      <c r="A1675" s="39" t="s">
        <v>912</v>
      </c>
      <c r="B1675" s="39" t="s">
        <v>911</v>
      </c>
      <c r="C1675" s="39" t="s">
        <v>925</v>
      </c>
      <c r="D1675" s="39" t="s">
        <v>914</v>
      </c>
      <c r="E1675" s="39"/>
      <c r="F1675" s="39" t="s">
        <v>915</v>
      </c>
      <c r="G1675" s="60"/>
      <c r="H1675" s="58" t="n">
        <v>2394</v>
      </c>
      <c r="I1675" s="39" t="str">
        <f aca="false">A1675&amp;"|"&amp;B1675&amp;"|"&amp;D1675&amp;"|"&amp;E1675&amp;F1675</f>
        <v>home|McAlester|scenario 1 (dwelling $100,000, deductible 1%)|masonry</v>
      </c>
      <c r="J1675" s="34" t="n">
        <f aca="false" t="array" ref="J1675:J1675">MEDIAN(IF($I$4:$I$1803=I1675,$H$4:$H$1803))</f>
        <v>2322.5</v>
      </c>
      <c r="K1675" s="59" t="n">
        <f aca="false">H1675/J1675</f>
        <v>1.0307857911733</v>
      </c>
    </row>
    <row r="1676" customFormat="false" ht="15" hidden="false" customHeight="false" outlineLevel="0" collapsed="false">
      <c r="A1676" s="39" t="s">
        <v>912</v>
      </c>
      <c r="B1676" s="39" t="s">
        <v>911</v>
      </c>
      <c r="C1676" s="39" t="s">
        <v>925</v>
      </c>
      <c r="D1676" s="39" t="s">
        <v>916</v>
      </c>
      <c r="E1676" s="39"/>
      <c r="F1676" s="39" t="s">
        <v>133</v>
      </c>
      <c r="G1676" s="60"/>
      <c r="H1676" s="58" t="n">
        <v>3532</v>
      </c>
      <c r="I1676" s="39" t="str">
        <f aca="false">A1676&amp;"|"&amp;B1676&amp;"|"&amp;D1676&amp;"|"&amp;E1676&amp;F1676</f>
        <v>home|McAlester|scenario 2 (dwelling $200,000, deductible 1%)|frame</v>
      </c>
      <c r="J1676" s="34" t="n">
        <f aca="false" t="array" ref="J1676:J1676">MEDIAN(IF($I$4:$I$1803=I1676,$H$4:$H$1803))</f>
        <v>3529</v>
      </c>
      <c r="K1676" s="59" t="n">
        <f aca="false">H1676/J1676</f>
        <v>1.00085009917824</v>
      </c>
    </row>
    <row r="1677" customFormat="false" ht="15" hidden="false" customHeight="false" outlineLevel="0" collapsed="false">
      <c r="A1677" s="39" t="s">
        <v>912</v>
      </c>
      <c r="B1677" s="39" t="s">
        <v>911</v>
      </c>
      <c r="C1677" s="39" t="s">
        <v>925</v>
      </c>
      <c r="D1677" s="39" t="s">
        <v>916</v>
      </c>
      <c r="E1677" s="39"/>
      <c r="F1677" s="39" t="s">
        <v>915</v>
      </c>
      <c r="G1677" s="60"/>
      <c r="H1677" s="58" t="n">
        <v>3384</v>
      </c>
      <c r="I1677" s="39" t="str">
        <f aca="false">A1677&amp;"|"&amp;B1677&amp;"|"&amp;D1677&amp;"|"&amp;E1677&amp;F1677</f>
        <v>home|McAlester|scenario 2 (dwelling $200,000, deductible 1%)|masonry</v>
      </c>
      <c r="J1677" s="34" t="n">
        <f aca="false" t="array" ref="J1677:J1677">MEDIAN(IF($I$4:$I$1803=I1677,$H$4:$H$1803))</f>
        <v>3379.5</v>
      </c>
      <c r="K1677" s="59" t="n">
        <f aca="false">H1677/J1677</f>
        <v>1.00133155792277</v>
      </c>
    </row>
    <row r="1678" customFormat="false" ht="15" hidden="false" customHeight="false" outlineLevel="0" collapsed="false">
      <c r="A1678" s="39" t="s">
        <v>912</v>
      </c>
      <c r="B1678" s="39" t="s">
        <v>911</v>
      </c>
      <c r="C1678" s="39" t="s">
        <v>925</v>
      </c>
      <c r="D1678" s="39" t="s">
        <v>917</v>
      </c>
      <c r="E1678" s="39"/>
      <c r="F1678" s="39" t="s">
        <v>133</v>
      </c>
      <c r="G1678" s="60"/>
      <c r="H1678" s="58" t="n">
        <v>4297</v>
      </c>
      <c r="I1678" s="39" t="str">
        <f aca="false">A1678&amp;"|"&amp;B1678&amp;"|"&amp;D1678&amp;"|"&amp;E1678&amp;F1678</f>
        <v>home|McAlester|scenario 3 (dwelling $300,000, deductible 1%)|frame</v>
      </c>
      <c r="J1678" s="34" t="n">
        <f aca="false" t="array" ref="J1678:J1678">MEDIAN(IF($I$4:$I$1803=I1678,$H$4:$H$1803))</f>
        <v>4827</v>
      </c>
      <c r="K1678" s="59" t="n">
        <f aca="false">H1678/J1678</f>
        <v>0.890200952972861</v>
      </c>
    </row>
    <row r="1679" customFormat="false" ht="15" hidden="false" customHeight="false" outlineLevel="0" collapsed="false">
      <c r="A1679" s="39" t="s">
        <v>912</v>
      </c>
      <c r="B1679" s="39" t="s">
        <v>911</v>
      </c>
      <c r="C1679" s="39" t="s">
        <v>925</v>
      </c>
      <c r="D1679" s="39" t="s">
        <v>917</v>
      </c>
      <c r="E1679" s="39"/>
      <c r="F1679" s="39" t="s">
        <v>915</v>
      </c>
      <c r="G1679" s="60"/>
      <c r="H1679" s="58" t="n">
        <v>4109</v>
      </c>
      <c r="I1679" s="39" t="str">
        <f aca="false">A1679&amp;"|"&amp;B1679&amp;"|"&amp;D1679&amp;"|"&amp;E1679&amp;F1679</f>
        <v>home|McAlester|scenario 3 (dwelling $300,000, deductible 1%)|masonry</v>
      </c>
      <c r="J1679" s="34" t="n">
        <f aca="false" t="array" ref="J1679:J1679">MEDIAN(IF($I$4:$I$1803=I1679,$H$4:$H$1803))</f>
        <v>4539</v>
      </c>
      <c r="K1679" s="59" t="n">
        <f aca="false">H1679/J1679</f>
        <v>0.905265476977308</v>
      </c>
    </row>
    <row r="1680" customFormat="false" ht="15" hidden="false" customHeight="false" outlineLevel="0" collapsed="false">
      <c r="A1680" s="39" t="s">
        <v>912</v>
      </c>
      <c r="B1680" s="39" t="s">
        <v>911</v>
      </c>
      <c r="C1680" s="39" t="s">
        <v>925</v>
      </c>
      <c r="D1680" s="39" t="s">
        <v>918</v>
      </c>
      <c r="E1680" s="39"/>
      <c r="F1680" s="39" t="s">
        <v>133</v>
      </c>
      <c r="G1680" s="60"/>
      <c r="H1680" s="58" t="n">
        <v>4944</v>
      </c>
      <c r="I1680" s="39" t="str">
        <f aca="false">A1680&amp;"|"&amp;B1680&amp;"|"&amp;D1680&amp;"|"&amp;E1680&amp;F1680</f>
        <v>home|McAlester|scenario 4 (dwelling $400,000, deductible 1%)|frame</v>
      </c>
      <c r="J1680" s="34" t="n">
        <f aca="false" t="array" ref="J1680:J1680">MEDIAN(IF($I$4:$I$1803=I1680,$H$4:$H$1803))</f>
        <v>6199</v>
      </c>
      <c r="K1680" s="59" t="n">
        <f aca="false">H1680/J1680</f>
        <v>0.79754799161155</v>
      </c>
    </row>
    <row r="1681" customFormat="false" ht="15" hidden="false" customHeight="false" outlineLevel="0" collapsed="false">
      <c r="A1681" s="39" t="s">
        <v>912</v>
      </c>
      <c r="B1681" s="39" t="s">
        <v>911</v>
      </c>
      <c r="C1681" s="39" t="s">
        <v>925</v>
      </c>
      <c r="D1681" s="39" t="s">
        <v>918</v>
      </c>
      <c r="E1681" s="39"/>
      <c r="F1681" s="39" t="s">
        <v>915</v>
      </c>
      <c r="G1681" s="60"/>
      <c r="H1681" s="58" t="n">
        <v>4721</v>
      </c>
      <c r="I1681" s="39" t="str">
        <f aca="false">A1681&amp;"|"&amp;B1681&amp;"|"&amp;D1681&amp;"|"&amp;E1681&amp;F1681</f>
        <v>home|McAlester|scenario 4 (dwelling $400,000, deductible 1%)|masonry</v>
      </c>
      <c r="J1681" s="34" t="n">
        <f aca="false" t="array" ref="J1681:J1681">MEDIAN(IF($I$4:$I$1803=I1681,$H$4:$H$1803))</f>
        <v>5930</v>
      </c>
      <c r="K1681" s="59" t="n">
        <f aca="false">H1681/J1681</f>
        <v>0.796121416526138</v>
      </c>
    </row>
    <row r="1682" customFormat="false" ht="15" hidden="false" customHeight="false" outlineLevel="0" collapsed="false">
      <c r="A1682" s="39" t="s">
        <v>912</v>
      </c>
      <c r="B1682" s="39" t="s">
        <v>911</v>
      </c>
      <c r="C1682" s="39" t="s">
        <v>925</v>
      </c>
      <c r="D1682" s="39" t="s">
        <v>919</v>
      </c>
      <c r="E1682" s="39"/>
      <c r="F1682" s="39" t="s">
        <v>133</v>
      </c>
      <c r="G1682" s="60"/>
      <c r="H1682" s="58" t="n">
        <v>5461</v>
      </c>
      <c r="I1682" s="39" t="str">
        <f aca="false">A1682&amp;"|"&amp;B1682&amp;"|"&amp;D1682&amp;"|"&amp;E1682&amp;F1682</f>
        <v>home|McAlester|scenario 5 (dwelling $500,000, deductible 1%)|frame</v>
      </c>
      <c r="J1682" s="34" t="n">
        <f aca="false" t="array" ref="J1682:J1682">MEDIAN(IF($I$4:$I$1803=I1682,$H$4:$H$1803))</f>
        <v>7321.5</v>
      </c>
      <c r="K1682" s="59" t="n">
        <f aca="false">H1682/J1682</f>
        <v>0.745885405996039</v>
      </c>
    </row>
    <row r="1683" customFormat="false" ht="15" hidden="false" customHeight="false" outlineLevel="0" collapsed="false">
      <c r="A1683" s="39" t="s">
        <v>912</v>
      </c>
      <c r="B1683" s="39" t="s">
        <v>911</v>
      </c>
      <c r="C1683" s="39" t="s">
        <v>925</v>
      </c>
      <c r="D1683" s="39" t="s">
        <v>919</v>
      </c>
      <c r="E1683" s="39"/>
      <c r="F1683" s="39" t="s">
        <v>915</v>
      </c>
      <c r="G1683" s="60"/>
      <c r="H1683" s="58" t="n">
        <v>5208</v>
      </c>
      <c r="I1683" s="39" t="str">
        <f aca="false">A1683&amp;"|"&amp;B1683&amp;"|"&amp;D1683&amp;"|"&amp;E1683&amp;F1683</f>
        <v>home|McAlester|scenario 5 (dwelling $500,000, deductible 1%)|masonry</v>
      </c>
      <c r="J1683" s="34" t="n">
        <f aca="false" t="array" ref="J1683:J1683">MEDIAN(IF($I$4:$I$1803=I1683,$H$4:$H$1803))</f>
        <v>6962.5</v>
      </c>
      <c r="K1683" s="59" t="n">
        <f aca="false">H1683/J1683</f>
        <v>0.748007181328546</v>
      </c>
    </row>
    <row r="1684" customFormat="false" ht="15" hidden="false" customHeight="false" outlineLevel="0" collapsed="false">
      <c r="A1684" s="39" t="s">
        <v>912</v>
      </c>
      <c r="B1684" s="39" t="s">
        <v>911</v>
      </c>
      <c r="C1684" s="39" t="s">
        <v>926</v>
      </c>
      <c r="D1684" s="39" t="s">
        <v>914</v>
      </c>
      <c r="E1684" s="39"/>
      <c r="F1684" s="39" t="s">
        <v>133</v>
      </c>
      <c r="G1684" s="60"/>
      <c r="H1684" s="58" t="n">
        <v>2417</v>
      </c>
      <c r="I1684" s="39" t="str">
        <f aca="false">A1684&amp;"|"&amp;B1684&amp;"|"&amp;D1684&amp;"|"&amp;E1684&amp;F1684</f>
        <v>home|McAlester|scenario 1 (dwelling $100,000, deductible 1%)|frame</v>
      </c>
      <c r="J1684" s="34" t="n">
        <f aca="false" t="array" ref="J1684:J1684">MEDIAN(IF($I$4:$I$1803=I1684,$H$4:$H$1803))</f>
        <v>2453.5</v>
      </c>
      <c r="K1684" s="59" t="n">
        <f aca="false">H1684/J1684</f>
        <v>0.985123293254534</v>
      </c>
    </row>
    <row r="1685" customFormat="false" ht="15" hidden="false" customHeight="false" outlineLevel="0" collapsed="false">
      <c r="A1685" s="39" t="s">
        <v>912</v>
      </c>
      <c r="B1685" s="39" t="s">
        <v>911</v>
      </c>
      <c r="C1685" s="39" t="s">
        <v>926</v>
      </c>
      <c r="D1685" s="39" t="s">
        <v>914</v>
      </c>
      <c r="E1685" s="39"/>
      <c r="F1685" s="39" t="s">
        <v>915</v>
      </c>
      <c r="G1685" s="60"/>
      <c r="H1685" s="58" t="n">
        <v>2500</v>
      </c>
      <c r="I1685" s="39" t="str">
        <f aca="false">A1685&amp;"|"&amp;B1685&amp;"|"&amp;D1685&amp;"|"&amp;E1685&amp;F1685</f>
        <v>home|McAlester|scenario 1 (dwelling $100,000, deductible 1%)|masonry</v>
      </c>
      <c r="J1685" s="34" t="n">
        <f aca="false" t="array" ref="J1685:J1685">MEDIAN(IF($I$4:$I$1803=I1685,$H$4:$H$1803))</f>
        <v>2322.5</v>
      </c>
      <c r="K1685" s="59" t="n">
        <f aca="false">H1685/J1685</f>
        <v>1.07642626480086</v>
      </c>
    </row>
    <row r="1686" customFormat="false" ht="15" hidden="false" customHeight="false" outlineLevel="0" collapsed="false">
      <c r="A1686" s="39" t="s">
        <v>912</v>
      </c>
      <c r="B1686" s="39" t="s">
        <v>911</v>
      </c>
      <c r="C1686" s="39" t="s">
        <v>926</v>
      </c>
      <c r="D1686" s="39" t="s">
        <v>916</v>
      </c>
      <c r="E1686" s="39"/>
      <c r="F1686" s="39" t="s">
        <v>133</v>
      </c>
      <c r="G1686" s="60"/>
      <c r="H1686" s="58" t="n">
        <v>3028</v>
      </c>
      <c r="I1686" s="39" t="str">
        <f aca="false">A1686&amp;"|"&amp;B1686&amp;"|"&amp;D1686&amp;"|"&amp;E1686&amp;F1686</f>
        <v>home|McAlester|scenario 2 (dwelling $200,000, deductible 1%)|frame</v>
      </c>
      <c r="J1686" s="34" t="n">
        <f aca="false" t="array" ref="J1686:J1686">MEDIAN(IF($I$4:$I$1803=I1686,$H$4:$H$1803))</f>
        <v>3529</v>
      </c>
      <c r="K1686" s="59" t="n">
        <f aca="false">H1686/J1686</f>
        <v>0.858033437234344</v>
      </c>
    </row>
    <row r="1687" customFormat="false" ht="15" hidden="false" customHeight="false" outlineLevel="0" collapsed="false">
      <c r="A1687" s="39" t="s">
        <v>912</v>
      </c>
      <c r="B1687" s="39" t="s">
        <v>911</v>
      </c>
      <c r="C1687" s="39" t="s">
        <v>926</v>
      </c>
      <c r="D1687" s="39" t="s">
        <v>916</v>
      </c>
      <c r="E1687" s="39"/>
      <c r="F1687" s="39" t="s">
        <v>915</v>
      </c>
      <c r="G1687" s="60"/>
      <c r="H1687" s="58" t="n">
        <v>3136</v>
      </c>
      <c r="I1687" s="39" t="str">
        <f aca="false">A1687&amp;"|"&amp;B1687&amp;"|"&amp;D1687&amp;"|"&amp;E1687&amp;F1687</f>
        <v>home|McAlester|scenario 2 (dwelling $200,000, deductible 1%)|masonry</v>
      </c>
      <c r="J1687" s="34" t="n">
        <f aca="false" t="array" ref="J1687:J1687">MEDIAN(IF($I$4:$I$1803=I1687,$H$4:$H$1803))</f>
        <v>3379.5</v>
      </c>
      <c r="K1687" s="59" t="n">
        <f aca="false">H1687/J1687</f>
        <v>0.927947921290132</v>
      </c>
    </row>
    <row r="1688" customFormat="false" ht="15" hidden="false" customHeight="false" outlineLevel="0" collapsed="false">
      <c r="A1688" s="39" t="s">
        <v>912</v>
      </c>
      <c r="B1688" s="39" t="s">
        <v>911</v>
      </c>
      <c r="C1688" s="39" t="s">
        <v>926</v>
      </c>
      <c r="D1688" s="39" t="s">
        <v>917</v>
      </c>
      <c r="E1688" s="39"/>
      <c r="F1688" s="39" t="s">
        <v>133</v>
      </c>
      <c r="G1688" s="60"/>
      <c r="H1688" s="58" t="n">
        <v>4102</v>
      </c>
      <c r="I1688" s="39" t="str">
        <f aca="false">A1688&amp;"|"&amp;B1688&amp;"|"&amp;D1688&amp;"|"&amp;E1688&amp;F1688</f>
        <v>home|McAlester|scenario 3 (dwelling $300,000, deductible 1%)|frame</v>
      </c>
      <c r="J1688" s="34" t="n">
        <f aca="false" t="array" ref="J1688:J1688">MEDIAN(IF($I$4:$I$1803=I1688,$H$4:$H$1803))</f>
        <v>4827</v>
      </c>
      <c r="K1688" s="59" t="n">
        <f aca="false">H1688/J1688</f>
        <v>0.849803190387404</v>
      </c>
    </row>
    <row r="1689" customFormat="false" ht="15" hidden="false" customHeight="false" outlineLevel="0" collapsed="false">
      <c r="A1689" s="39" t="s">
        <v>912</v>
      </c>
      <c r="B1689" s="39" t="s">
        <v>911</v>
      </c>
      <c r="C1689" s="39" t="s">
        <v>926</v>
      </c>
      <c r="D1689" s="39" t="s">
        <v>917</v>
      </c>
      <c r="E1689" s="39"/>
      <c r="F1689" s="39" t="s">
        <v>915</v>
      </c>
      <c r="G1689" s="60"/>
      <c r="H1689" s="58" t="n">
        <v>4245</v>
      </c>
      <c r="I1689" s="39" t="str">
        <f aca="false">A1689&amp;"|"&amp;B1689&amp;"|"&amp;D1689&amp;"|"&amp;E1689&amp;F1689</f>
        <v>home|McAlester|scenario 3 (dwelling $300,000, deductible 1%)|masonry</v>
      </c>
      <c r="J1689" s="34" t="n">
        <f aca="false" t="array" ref="J1689:J1689">MEDIAN(IF($I$4:$I$1803=I1689,$H$4:$H$1803))</f>
        <v>4539</v>
      </c>
      <c r="K1689" s="59" t="n">
        <f aca="false">H1689/J1689</f>
        <v>0.935228023793787</v>
      </c>
    </row>
    <row r="1690" customFormat="false" ht="15" hidden="false" customHeight="false" outlineLevel="0" collapsed="false">
      <c r="A1690" s="39" t="s">
        <v>912</v>
      </c>
      <c r="B1690" s="39" t="s">
        <v>911</v>
      </c>
      <c r="C1690" s="39" t="s">
        <v>926</v>
      </c>
      <c r="D1690" s="39" t="s">
        <v>918</v>
      </c>
      <c r="E1690" s="39"/>
      <c r="F1690" s="39" t="s">
        <v>133</v>
      </c>
      <c r="G1690" s="60"/>
      <c r="H1690" s="58" t="n">
        <v>4828</v>
      </c>
      <c r="I1690" s="39" t="str">
        <f aca="false">A1690&amp;"|"&amp;B1690&amp;"|"&amp;D1690&amp;"|"&amp;E1690&amp;F1690</f>
        <v>home|McAlester|scenario 4 (dwelling $400,000, deductible 1%)|frame</v>
      </c>
      <c r="J1690" s="34" t="n">
        <f aca="false" t="array" ref="J1690:J1690">MEDIAN(IF($I$4:$I$1803=I1690,$H$4:$H$1803))</f>
        <v>6199</v>
      </c>
      <c r="K1690" s="59" t="n">
        <f aca="false">H1690/J1690</f>
        <v>0.778835296015486</v>
      </c>
    </row>
    <row r="1691" customFormat="false" ht="15" hidden="false" customHeight="false" outlineLevel="0" collapsed="false">
      <c r="A1691" s="39" t="s">
        <v>912</v>
      </c>
      <c r="B1691" s="39" t="s">
        <v>911</v>
      </c>
      <c r="C1691" s="39" t="s">
        <v>926</v>
      </c>
      <c r="D1691" s="39" t="s">
        <v>918</v>
      </c>
      <c r="E1691" s="39"/>
      <c r="F1691" s="39" t="s">
        <v>915</v>
      </c>
      <c r="G1691" s="60"/>
      <c r="H1691" s="58" t="n">
        <v>5002</v>
      </c>
      <c r="I1691" s="39" t="str">
        <f aca="false">A1691&amp;"|"&amp;B1691&amp;"|"&amp;D1691&amp;"|"&amp;E1691&amp;F1691</f>
        <v>home|McAlester|scenario 4 (dwelling $400,000, deductible 1%)|masonry</v>
      </c>
      <c r="J1691" s="34" t="n">
        <f aca="false" t="array" ref="J1691:J1691">MEDIAN(IF($I$4:$I$1803=I1691,$H$4:$H$1803))</f>
        <v>5930</v>
      </c>
      <c r="K1691" s="59" t="n">
        <f aca="false">H1691/J1691</f>
        <v>0.843507588532884</v>
      </c>
    </row>
    <row r="1692" customFormat="false" ht="15" hidden="false" customHeight="false" outlineLevel="0" collapsed="false">
      <c r="A1692" s="39" t="s">
        <v>912</v>
      </c>
      <c r="B1692" s="39" t="s">
        <v>911</v>
      </c>
      <c r="C1692" s="39" t="s">
        <v>926</v>
      </c>
      <c r="D1692" s="39" t="s">
        <v>919</v>
      </c>
      <c r="E1692" s="39"/>
      <c r="F1692" s="39" t="s">
        <v>133</v>
      </c>
      <c r="G1692" s="60"/>
      <c r="H1692" s="58" t="n">
        <v>5509</v>
      </c>
      <c r="I1692" s="39" t="str">
        <f aca="false">A1692&amp;"|"&amp;B1692&amp;"|"&amp;D1692&amp;"|"&amp;E1692&amp;F1692</f>
        <v>home|McAlester|scenario 5 (dwelling $500,000, deductible 1%)|frame</v>
      </c>
      <c r="J1692" s="34" t="n">
        <f aca="false" t="array" ref="J1692:J1692">MEDIAN(IF($I$4:$I$1803=I1692,$H$4:$H$1803))</f>
        <v>7321.5</v>
      </c>
      <c r="K1692" s="59" t="n">
        <f aca="false">H1692/J1692</f>
        <v>0.752441439595711</v>
      </c>
    </row>
    <row r="1693" customFormat="false" ht="15" hidden="false" customHeight="false" outlineLevel="0" collapsed="false">
      <c r="A1693" s="39" t="s">
        <v>912</v>
      </c>
      <c r="B1693" s="39" t="s">
        <v>911</v>
      </c>
      <c r="C1693" s="39" t="s">
        <v>926</v>
      </c>
      <c r="D1693" s="39" t="s">
        <v>919</v>
      </c>
      <c r="E1693" s="39"/>
      <c r="F1693" s="39" t="s">
        <v>915</v>
      </c>
      <c r="G1693" s="60"/>
      <c r="H1693" s="58" t="n">
        <v>5717</v>
      </c>
      <c r="I1693" s="39" t="str">
        <f aca="false">A1693&amp;"|"&amp;B1693&amp;"|"&amp;D1693&amp;"|"&amp;E1693&amp;F1693</f>
        <v>home|McAlester|scenario 5 (dwelling $500,000, deductible 1%)|masonry</v>
      </c>
      <c r="J1693" s="34" t="n">
        <f aca="false" t="array" ref="J1693:J1693">MEDIAN(IF($I$4:$I$1803=I1693,$H$4:$H$1803))</f>
        <v>6962.5</v>
      </c>
      <c r="K1693" s="59" t="n">
        <f aca="false">H1693/J1693</f>
        <v>0.821113105924596</v>
      </c>
    </row>
    <row r="1694" customFormat="false" ht="15" hidden="false" customHeight="false" outlineLevel="0" collapsed="false">
      <c r="A1694" s="39" t="s">
        <v>912</v>
      </c>
      <c r="B1694" s="39" t="s">
        <v>911</v>
      </c>
      <c r="C1694" s="39" t="s">
        <v>927</v>
      </c>
      <c r="D1694" s="39" t="s">
        <v>914</v>
      </c>
      <c r="E1694" s="39"/>
      <c r="F1694" s="39" t="s">
        <v>133</v>
      </c>
      <c r="G1694" s="60"/>
      <c r="H1694" s="58" t="n">
        <v>1401</v>
      </c>
      <c r="I1694" s="39" t="str">
        <f aca="false">A1694&amp;"|"&amp;B1694&amp;"|"&amp;D1694&amp;"|"&amp;E1694&amp;F1694</f>
        <v>home|McAlester|scenario 1 (dwelling $100,000, deductible 1%)|frame</v>
      </c>
      <c r="J1694" s="34" t="n">
        <f aca="false" t="array" ref="J1694:J1694">MEDIAN(IF($I$4:$I$1803=I1694,$H$4:$H$1803))</f>
        <v>2453.5</v>
      </c>
      <c r="K1694" s="59" t="n">
        <f aca="false">H1694/J1694</f>
        <v>0.571020990421846</v>
      </c>
    </row>
    <row r="1695" customFormat="false" ht="15" hidden="false" customHeight="false" outlineLevel="0" collapsed="false">
      <c r="A1695" s="39" t="s">
        <v>912</v>
      </c>
      <c r="B1695" s="39" t="s">
        <v>911</v>
      </c>
      <c r="C1695" s="39" t="s">
        <v>927</v>
      </c>
      <c r="D1695" s="39" t="s">
        <v>914</v>
      </c>
      <c r="E1695" s="39"/>
      <c r="F1695" s="39" t="s">
        <v>915</v>
      </c>
      <c r="G1695" s="60"/>
      <c r="H1695" s="58" t="n">
        <v>1363</v>
      </c>
      <c r="I1695" s="39" t="str">
        <f aca="false">A1695&amp;"|"&amp;B1695&amp;"|"&amp;D1695&amp;"|"&amp;E1695&amp;F1695</f>
        <v>home|McAlester|scenario 1 (dwelling $100,000, deductible 1%)|masonry</v>
      </c>
      <c r="J1695" s="34" t="n">
        <f aca="false" t="array" ref="J1695:J1695">MEDIAN(IF($I$4:$I$1803=I1695,$H$4:$H$1803))</f>
        <v>2322.5</v>
      </c>
      <c r="K1695" s="59" t="n">
        <f aca="false">H1695/J1695</f>
        <v>0.58686759956943</v>
      </c>
    </row>
    <row r="1696" customFormat="false" ht="15" hidden="false" customHeight="false" outlineLevel="0" collapsed="false">
      <c r="A1696" s="39" t="s">
        <v>912</v>
      </c>
      <c r="B1696" s="39" t="s">
        <v>911</v>
      </c>
      <c r="C1696" s="39" t="s">
        <v>927</v>
      </c>
      <c r="D1696" s="39" t="s">
        <v>916</v>
      </c>
      <c r="E1696" s="39"/>
      <c r="F1696" s="39" t="s">
        <v>133</v>
      </c>
      <c r="G1696" s="60"/>
      <c r="H1696" s="58" t="n">
        <v>1793</v>
      </c>
      <c r="I1696" s="39" t="str">
        <f aca="false">A1696&amp;"|"&amp;B1696&amp;"|"&amp;D1696&amp;"|"&amp;E1696&amp;F1696</f>
        <v>home|McAlester|scenario 2 (dwelling $200,000, deductible 1%)|frame</v>
      </c>
      <c r="J1696" s="34" t="n">
        <f aca="false" t="array" ref="J1696:J1696">MEDIAN(IF($I$4:$I$1803=I1696,$H$4:$H$1803))</f>
        <v>3529</v>
      </c>
      <c r="K1696" s="59" t="n">
        <f aca="false">H1696/J1696</f>
        <v>0.508075942193256</v>
      </c>
    </row>
    <row r="1697" customFormat="false" ht="15" hidden="false" customHeight="false" outlineLevel="0" collapsed="false">
      <c r="A1697" s="39" t="s">
        <v>912</v>
      </c>
      <c r="B1697" s="39" t="s">
        <v>911</v>
      </c>
      <c r="C1697" s="39" t="s">
        <v>927</v>
      </c>
      <c r="D1697" s="39" t="s">
        <v>916</v>
      </c>
      <c r="E1697" s="39"/>
      <c r="F1697" s="39" t="s">
        <v>915</v>
      </c>
      <c r="G1697" s="60"/>
      <c r="H1697" s="58" t="n">
        <v>1740</v>
      </c>
      <c r="I1697" s="39" t="str">
        <f aca="false">A1697&amp;"|"&amp;B1697&amp;"|"&amp;D1697&amp;"|"&amp;E1697&amp;F1697</f>
        <v>home|McAlester|scenario 2 (dwelling $200,000, deductible 1%)|masonry</v>
      </c>
      <c r="J1697" s="34" t="n">
        <f aca="false" t="array" ref="J1697:J1697">MEDIAN(IF($I$4:$I$1803=I1697,$H$4:$H$1803))</f>
        <v>3379.5</v>
      </c>
      <c r="K1697" s="59" t="n">
        <f aca="false">H1697/J1697</f>
        <v>0.514869063470928</v>
      </c>
    </row>
    <row r="1698" customFormat="false" ht="15" hidden="false" customHeight="false" outlineLevel="0" collapsed="false">
      <c r="A1698" s="39" t="s">
        <v>912</v>
      </c>
      <c r="B1698" s="39" t="s">
        <v>911</v>
      </c>
      <c r="C1698" s="39" t="s">
        <v>927</v>
      </c>
      <c r="D1698" s="39" t="s">
        <v>917</v>
      </c>
      <c r="E1698" s="39"/>
      <c r="F1698" s="39" t="s">
        <v>133</v>
      </c>
      <c r="G1698" s="60"/>
      <c r="H1698" s="58" t="n">
        <v>2331</v>
      </c>
      <c r="I1698" s="39" t="str">
        <f aca="false">A1698&amp;"|"&amp;B1698&amp;"|"&amp;D1698&amp;"|"&amp;E1698&amp;F1698</f>
        <v>home|McAlester|scenario 3 (dwelling $300,000, deductible 1%)|frame</v>
      </c>
      <c r="J1698" s="34" t="n">
        <f aca="false" t="array" ref="J1698:J1698">MEDIAN(IF($I$4:$I$1803=I1698,$H$4:$H$1803))</f>
        <v>4827</v>
      </c>
      <c r="K1698" s="59" t="n">
        <f aca="false">H1698/J1698</f>
        <v>0.482908638906153</v>
      </c>
    </row>
    <row r="1699" customFormat="false" ht="15" hidden="false" customHeight="false" outlineLevel="0" collapsed="false">
      <c r="A1699" s="39" t="s">
        <v>912</v>
      </c>
      <c r="B1699" s="39" t="s">
        <v>911</v>
      </c>
      <c r="C1699" s="39" t="s">
        <v>927</v>
      </c>
      <c r="D1699" s="39" t="s">
        <v>917</v>
      </c>
      <c r="E1699" s="39"/>
      <c r="F1699" s="39" t="s">
        <v>915</v>
      </c>
      <c r="G1699" s="60"/>
      <c r="H1699" s="58" t="n">
        <v>2264</v>
      </c>
      <c r="I1699" s="39" t="str">
        <f aca="false">A1699&amp;"|"&amp;B1699&amp;"|"&amp;D1699&amp;"|"&amp;E1699&amp;F1699</f>
        <v>home|McAlester|scenario 3 (dwelling $300,000, deductible 1%)|masonry</v>
      </c>
      <c r="J1699" s="34" t="n">
        <f aca="false" t="array" ref="J1699:J1699">MEDIAN(IF($I$4:$I$1803=I1699,$H$4:$H$1803))</f>
        <v>4539</v>
      </c>
      <c r="K1699" s="59" t="n">
        <f aca="false">H1699/J1699</f>
        <v>0.498788279356687</v>
      </c>
    </row>
    <row r="1700" customFormat="false" ht="15" hidden="false" customHeight="false" outlineLevel="0" collapsed="false">
      <c r="A1700" s="39" t="s">
        <v>912</v>
      </c>
      <c r="B1700" s="39" t="s">
        <v>911</v>
      </c>
      <c r="C1700" s="39" t="s">
        <v>927</v>
      </c>
      <c r="D1700" s="39" t="s">
        <v>918</v>
      </c>
      <c r="E1700" s="39"/>
      <c r="F1700" s="39" t="s">
        <v>133</v>
      </c>
      <c r="G1700" s="60"/>
      <c r="H1700" s="58" t="n">
        <v>2800</v>
      </c>
      <c r="I1700" s="39" t="str">
        <f aca="false">A1700&amp;"|"&amp;B1700&amp;"|"&amp;D1700&amp;"|"&amp;E1700&amp;F1700</f>
        <v>home|McAlester|scenario 4 (dwelling $400,000, deductible 1%)|frame</v>
      </c>
      <c r="J1700" s="34" t="n">
        <f aca="false" t="array" ref="J1700:J1700">MEDIAN(IF($I$4:$I$1803=I1700,$H$4:$H$1803))</f>
        <v>6199</v>
      </c>
      <c r="K1700" s="59" t="n">
        <f aca="false">H1700/J1700</f>
        <v>0.451685755767059</v>
      </c>
    </row>
    <row r="1701" customFormat="false" ht="15" hidden="false" customHeight="false" outlineLevel="0" collapsed="false">
      <c r="A1701" s="39" t="s">
        <v>912</v>
      </c>
      <c r="B1701" s="39" t="s">
        <v>911</v>
      </c>
      <c r="C1701" s="39" t="s">
        <v>927</v>
      </c>
      <c r="D1701" s="39" t="s">
        <v>918</v>
      </c>
      <c r="E1701" s="39"/>
      <c r="F1701" s="39" t="s">
        <v>915</v>
      </c>
      <c r="G1701" s="60"/>
      <c r="H1701" s="58" t="n">
        <v>2717</v>
      </c>
      <c r="I1701" s="39" t="str">
        <f aca="false">A1701&amp;"|"&amp;B1701&amp;"|"&amp;D1701&amp;"|"&amp;E1701&amp;F1701</f>
        <v>home|McAlester|scenario 4 (dwelling $400,000, deductible 1%)|masonry</v>
      </c>
      <c r="J1701" s="34" t="n">
        <f aca="false" t="array" ref="J1701:J1701">MEDIAN(IF($I$4:$I$1803=I1701,$H$4:$H$1803))</f>
        <v>5930</v>
      </c>
      <c r="K1701" s="59" t="n">
        <f aca="false">H1701/J1701</f>
        <v>0.458178752107926</v>
      </c>
    </row>
    <row r="1702" customFormat="false" ht="15" hidden="false" customHeight="false" outlineLevel="0" collapsed="false">
      <c r="A1702" s="39" t="s">
        <v>912</v>
      </c>
      <c r="B1702" s="39" t="s">
        <v>911</v>
      </c>
      <c r="C1702" s="39" t="s">
        <v>927</v>
      </c>
      <c r="D1702" s="39" t="s">
        <v>919</v>
      </c>
      <c r="E1702" s="39"/>
      <c r="F1702" s="39" t="s">
        <v>133</v>
      </c>
      <c r="G1702" s="60"/>
      <c r="H1702" s="58" t="n">
        <v>3351</v>
      </c>
      <c r="I1702" s="39" t="str">
        <f aca="false">A1702&amp;"|"&amp;B1702&amp;"|"&amp;D1702&amp;"|"&amp;E1702&amp;F1702</f>
        <v>home|McAlester|scenario 5 (dwelling $500,000, deductible 1%)|frame</v>
      </c>
      <c r="J1702" s="34" t="n">
        <f aca="false" t="array" ref="J1702:J1702">MEDIAN(IF($I$4:$I$1803=I1702,$H$4:$H$1803))</f>
        <v>7321.5</v>
      </c>
      <c r="K1702" s="59" t="n">
        <f aca="false">H1702/J1702</f>
        <v>0.457693095677115</v>
      </c>
    </row>
    <row r="1703" customFormat="false" ht="15" hidden="false" customHeight="false" outlineLevel="0" collapsed="false">
      <c r="A1703" s="39" t="s">
        <v>912</v>
      </c>
      <c r="B1703" s="39" t="s">
        <v>911</v>
      </c>
      <c r="C1703" s="39" t="s">
        <v>927</v>
      </c>
      <c r="D1703" s="39" t="s">
        <v>919</v>
      </c>
      <c r="E1703" s="39"/>
      <c r="F1703" s="39" t="s">
        <v>915</v>
      </c>
      <c r="G1703" s="60"/>
      <c r="H1703" s="58" t="n">
        <v>3251</v>
      </c>
      <c r="I1703" s="39" t="str">
        <f aca="false">A1703&amp;"|"&amp;B1703&amp;"|"&amp;D1703&amp;"|"&amp;E1703&amp;F1703</f>
        <v>home|McAlester|scenario 5 (dwelling $500,000, deductible 1%)|masonry</v>
      </c>
      <c r="J1703" s="34" t="n">
        <f aca="false" t="array" ref="J1703:J1703">MEDIAN(IF($I$4:$I$1803=I1703,$H$4:$H$1803))</f>
        <v>6962.5</v>
      </c>
      <c r="K1703" s="59" t="n">
        <f aca="false">H1703/J1703</f>
        <v>0.466929982046679</v>
      </c>
    </row>
    <row r="1704" customFormat="false" ht="15" hidden="false" customHeight="false" outlineLevel="0" collapsed="false">
      <c r="A1704" s="39" t="s">
        <v>912</v>
      </c>
      <c r="B1704" s="39" t="s">
        <v>911</v>
      </c>
      <c r="C1704" s="39" t="s">
        <v>928</v>
      </c>
      <c r="D1704" s="39" t="s">
        <v>914</v>
      </c>
      <c r="E1704" s="39"/>
      <c r="F1704" s="39" t="s">
        <v>133</v>
      </c>
      <c r="G1704" s="60"/>
      <c r="H1704" s="58" t="n">
        <v>962</v>
      </c>
      <c r="I1704" s="39" t="str">
        <f aca="false">A1704&amp;"|"&amp;B1704&amp;"|"&amp;D1704&amp;"|"&amp;E1704&amp;F1704</f>
        <v>home|McAlester|scenario 1 (dwelling $100,000, deductible 1%)|frame</v>
      </c>
      <c r="J1704" s="34" t="n">
        <f aca="false" t="array" ref="J1704:J1704">MEDIAN(IF($I$4:$I$1803=I1704,$H$4:$H$1803))</f>
        <v>2453.5</v>
      </c>
      <c r="K1704" s="59" t="n">
        <f aca="false">H1704/J1704</f>
        <v>0.392092928469533</v>
      </c>
    </row>
    <row r="1705" customFormat="false" ht="15" hidden="false" customHeight="false" outlineLevel="0" collapsed="false">
      <c r="A1705" s="39" t="s">
        <v>912</v>
      </c>
      <c r="B1705" s="39" t="s">
        <v>911</v>
      </c>
      <c r="C1705" s="39" t="s">
        <v>928</v>
      </c>
      <c r="D1705" s="39" t="s">
        <v>914</v>
      </c>
      <c r="E1705" s="39"/>
      <c r="F1705" s="39" t="s">
        <v>915</v>
      </c>
      <c r="G1705" s="60"/>
      <c r="H1705" s="58" t="n">
        <v>995</v>
      </c>
      <c r="I1705" s="39" t="str">
        <f aca="false">A1705&amp;"|"&amp;B1705&amp;"|"&amp;D1705&amp;"|"&amp;E1705&amp;F1705</f>
        <v>home|McAlester|scenario 1 (dwelling $100,000, deductible 1%)|masonry</v>
      </c>
      <c r="J1705" s="34" t="n">
        <f aca="false" t="array" ref="J1705:J1705">MEDIAN(IF($I$4:$I$1803=I1705,$H$4:$H$1803))</f>
        <v>2322.5</v>
      </c>
      <c r="K1705" s="59" t="n">
        <f aca="false">H1705/J1705</f>
        <v>0.428417653390743</v>
      </c>
    </row>
    <row r="1706" customFormat="false" ht="15" hidden="false" customHeight="false" outlineLevel="0" collapsed="false">
      <c r="A1706" s="39" t="s">
        <v>912</v>
      </c>
      <c r="B1706" s="39" t="s">
        <v>911</v>
      </c>
      <c r="C1706" s="39" t="s">
        <v>928</v>
      </c>
      <c r="D1706" s="39" t="s">
        <v>916</v>
      </c>
      <c r="E1706" s="39"/>
      <c r="F1706" s="39" t="s">
        <v>133</v>
      </c>
      <c r="G1706" s="60"/>
      <c r="H1706" s="58" t="n">
        <v>1482</v>
      </c>
      <c r="I1706" s="39" t="str">
        <f aca="false">A1706&amp;"|"&amp;B1706&amp;"|"&amp;D1706&amp;"|"&amp;E1706&amp;F1706</f>
        <v>home|McAlester|scenario 2 (dwelling $200,000, deductible 1%)|frame</v>
      </c>
      <c r="J1706" s="34" t="n">
        <f aca="false" t="array" ref="J1706:J1706">MEDIAN(IF($I$4:$I$1803=I1706,$H$4:$H$1803))</f>
        <v>3529</v>
      </c>
      <c r="K1706" s="59" t="n">
        <f aca="false">H1706/J1706</f>
        <v>0.419948994049306</v>
      </c>
    </row>
    <row r="1707" customFormat="false" ht="15" hidden="false" customHeight="false" outlineLevel="0" collapsed="false">
      <c r="A1707" s="39" t="s">
        <v>912</v>
      </c>
      <c r="B1707" s="39" t="s">
        <v>911</v>
      </c>
      <c r="C1707" s="39" t="s">
        <v>928</v>
      </c>
      <c r="D1707" s="39" t="s">
        <v>916</v>
      </c>
      <c r="E1707" s="39"/>
      <c r="F1707" s="39" t="s">
        <v>915</v>
      </c>
      <c r="G1707" s="60"/>
      <c r="H1707" s="58" t="n">
        <v>1549</v>
      </c>
      <c r="I1707" s="39" t="str">
        <f aca="false">A1707&amp;"|"&amp;B1707&amp;"|"&amp;D1707&amp;"|"&amp;E1707&amp;F1707</f>
        <v>home|McAlester|scenario 2 (dwelling $200,000, deductible 1%)|masonry</v>
      </c>
      <c r="J1707" s="34" t="n">
        <f aca="false" t="array" ref="J1707:J1707">MEDIAN(IF($I$4:$I$1803=I1707,$H$4:$H$1803))</f>
        <v>3379.5</v>
      </c>
      <c r="K1707" s="59" t="n">
        <f aca="false">H1707/J1707</f>
        <v>0.458351827193372</v>
      </c>
    </row>
    <row r="1708" customFormat="false" ht="15" hidden="false" customHeight="false" outlineLevel="0" collapsed="false">
      <c r="A1708" s="39" t="s">
        <v>912</v>
      </c>
      <c r="B1708" s="39" t="s">
        <v>911</v>
      </c>
      <c r="C1708" s="39" t="s">
        <v>928</v>
      </c>
      <c r="D1708" s="39" t="s">
        <v>917</v>
      </c>
      <c r="E1708" s="39"/>
      <c r="F1708" s="39" t="s">
        <v>133</v>
      </c>
      <c r="G1708" s="60"/>
      <c r="H1708" s="58" t="n">
        <v>2003</v>
      </c>
      <c r="I1708" s="39" t="str">
        <f aca="false">A1708&amp;"|"&amp;B1708&amp;"|"&amp;D1708&amp;"|"&amp;E1708&amp;F1708</f>
        <v>home|McAlester|scenario 3 (dwelling $300,000, deductible 1%)|frame</v>
      </c>
      <c r="J1708" s="34" t="n">
        <f aca="false" t="array" ref="J1708:J1708">MEDIAN(IF($I$4:$I$1803=I1708,$H$4:$H$1803))</f>
        <v>4827</v>
      </c>
      <c r="K1708" s="59" t="n">
        <f aca="false">H1708/J1708</f>
        <v>0.414957530557282</v>
      </c>
    </row>
    <row r="1709" customFormat="false" ht="15" hidden="false" customHeight="false" outlineLevel="0" collapsed="false">
      <c r="A1709" s="39" t="s">
        <v>912</v>
      </c>
      <c r="B1709" s="39" t="s">
        <v>911</v>
      </c>
      <c r="C1709" s="39" t="s">
        <v>928</v>
      </c>
      <c r="D1709" s="39" t="s">
        <v>917</v>
      </c>
      <c r="E1709" s="39"/>
      <c r="F1709" s="39" t="s">
        <v>915</v>
      </c>
      <c r="G1709" s="60"/>
      <c r="H1709" s="58" t="n">
        <v>2102</v>
      </c>
      <c r="I1709" s="39" t="str">
        <f aca="false">A1709&amp;"|"&amp;B1709&amp;"|"&amp;D1709&amp;"|"&amp;E1709&amp;F1709</f>
        <v>home|McAlester|scenario 3 (dwelling $300,000, deductible 1%)|masonry</v>
      </c>
      <c r="J1709" s="34" t="n">
        <f aca="false" t="array" ref="J1709:J1709">MEDIAN(IF($I$4:$I$1803=I1709,$H$4:$H$1803))</f>
        <v>4539</v>
      </c>
      <c r="K1709" s="59" t="n">
        <f aca="false">H1709/J1709</f>
        <v>0.463097598589998</v>
      </c>
    </row>
    <row r="1710" customFormat="false" ht="15" hidden="false" customHeight="false" outlineLevel="0" collapsed="false">
      <c r="A1710" s="39" t="s">
        <v>912</v>
      </c>
      <c r="B1710" s="39" t="s">
        <v>911</v>
      </c>
      <c r="C1710" s="39" t="s">
        <v>928</v>
      </c>
      <c r="D1710" s="39" t="s">
        <v>918</v>
      </c>
      <c r="E1710" s="39"/>
      <c r="F1710" s="39" t="s">
        <v>133</v>
      </c>
      <c r="G1710" s="60"/>
      <c r="H1710" s="58" t="n">
        <v>2523</v>
      </c>
      <c r="I1710" s="39" t="str">
        <f aca="false">A1710&amp;"|"&amp;B1710&amp;"|"&amp;D1710&amp;"|"&amp;E1710&amp;F1710</f>
        <v>home|McAlester|scenario 4 (dwelling $400,000, deductible 1%)|frame</v>
      </c>
      <c r="J1710" s="34" t="n">
        <f aca="false" t="array" ref="J1710:J1710">MEDIAN(IF($I$4:$I$1803=I1710,$H$4:$H$1803))</f>
        <v>6199</v>
      </c>
      <c r="K1710" s="59" t="n">
        <f aca="false">H1710/J1710</f>
        <v>0.407001129214389</v>
      </c>
    </row>
    <row r="1711" customFormat="false" ht="15" hidden="false" customHeight="false" outlineLevel="0" collapsed="false">
      <c r="A1711" s="39" t="s">
        <v>912</v>
      </c>
      <c r="B1711" s="39" t="s">
        <v>911</v>
      </c>
      <c r="C1711" s="39" t="s">
        <v>928</v>
      </c>
      <c r="D1711" s="39" t="s">
        <v>918</v>
      </c>
      <c r="E1711" s="39"/>
      <c r="F1711" s="39" t="s">
        <v>915</v>
      </c>
      <c r="G1711" s="60"/>
      <c r="H1711" s="58" t="n">
        <v>2656</v>
      </c>
      <c r="I1711" s="39" t="str">
        <f aca="false">A1711&amp;"|"&amp;B1711&amp;"|"&amp;D1711&amp;"|"&amp;E1711&amp;F1711</f>
        <v>home|McAlester|scenario 4 (dwelling $400,000, deductible 1%)|masonry</v>
      </c>
      <c r="J1711" s="34" t="n">
        <f aca="false" t="array" ref="J1711:J1711">MEDIAN(IF($I$4:$I$1803=I1711,$H$4:$H$1803))</f>
        <v>5930</v>
      </c>
      <c r="K1711" s="59" t="n">
        <f aca="false">H1711/J1711</f>
        <v>0.447892074198988</v>
      </c>
    </row>
    <row r="1712" customFormat="false" ht="15" hidden="false" customHeight="false" outlineLevel="0" collapsed="false">
      <c r="A1712" s="39" t="s">
        <v>912</v>
      </c>
      <c r="B1712" s="39" t="s">
        <v>911</v>
      </c>
      <c r="C1712" s="39" t="s">
        <v>928</v>
      </c>
      <c r="D1712" s="39" t="s">
        <v>919</v>
      </c>
      <c r="E1712" s="39"/>
      <c r="F1712" s="39" t="s">
        <v>133</v>
      </c>
      <c r="G1712" s="60"/>
      <c r="H1712" s="58" t="n">
        <v>3042</v>
      </c>
      <c r="I1712" s="39" t="str">
        <f aca="false">A1712&amp;"|"&amp;B1712&amp;"|"&amp;D1712&amp;"|"&amp;E1712&amp;F1712</f>
        <v>home|McAlester|scenario 5 (dwelling $500,000, deductible 1%)|frame</v>
      </c>
      <c r="J1712" s="34" t="n">
        <f aca="false" t="array" ref="J1712:J1712">MEDIAN(IF($I$4:$I$1803=I1712,$H$4:$H$1803))</f>
        <v>7321.5</v>
      </c>
      <c r="K1712" s="59" t="n">
        <f aca="false">H1712/J1712</f>
        <v>0.415488629379226</v>
      </c>
    </row>
    <row r="1713" customFormat="false" ht="15" hidden="false" customHeight="false" outlineLevel="0" collapsed="false">
      <c r="A1713" s="39" t="s">
        <v>912</v>
      </c>
      <c r="B1713" s="39" t="s">
        <v>911</v>
      </c>
      <c r="C1713" s="39" t="s">
        <v>928</v>
      </c>
      <c r="D1713" s="39" t="s">
        <v>919</v>
      </c>
      <c r="E1713" s="39"/>
      <c r="F1713" s="39" t="s">
        <v>915</v>
      </c>
      <c r="G1713" s="60"/>
      <c r="H1713" s="58" t="n">
        <v>3209</v>
      </c>
      <c r="I1713" s="39" t="str">
        <f aca="false">A1713&amp;"|"&amp;B1713&amp;"|"&amp;D1713&amp;"|"&amp;E1713&amp;F1713</f>
        <v>home|McAlester|scenario 5 (dwelling $500,000, deductible 1%)|masonry</v>
      </c>
      <c r="J1713" s="34" t="n">
        <f aca="false" t="array" ref="J1713:J1713">MEDIAN(IF($I$4:$I$1803=I1713,$H$4:$H$1803))</f>
        <v>6962.5</v>
      </c>
      <c r="K1713" s="59" t="n">
        <f aca="false">H1713/J1713</f>
        <v>0.460897666068223</v>
      </c>
    </row>
    <row r="1714" customFormat="false" ht="15" hidden="false" customHeight="false" outlineLevel="0" collapsed="false">
      <c r="A1714" s="39" t="s">
        <v>912</v>
      </c>
      <c r="B1714" s="39" t="s">
        <v>911</v>
      </c>
      <c r="C1714" s="39" t="s">
        <v>929</v>
      </c>
      <c r="D1714" s="39" t="s">
        <v>914</v>
      </c>
      <c r="E1714" s="39"/>
      <c r="F1714" s="39" t="s">
        <v>133</v>
      </c>
      <c r="G1714" s="60"/>
      <c r="H1714" s="58" t="n">
        <v>2827</v>
      </c>
      <c r="I1714" s="39" t="str">
        <f aca="false">A1714&amp;"|"&amp;B1714&amp;"|"&amp;D1714&amp;"|"&amp;E1714&amp;F1714</f>
        <v>home|McAlester|scenario 1 (dwelling $100,000, deductible 1%)|frame</v>
      </c>
      <c r="J1714" s="34" t="n">
        <f aca="false" t="array" ref="J1714:J1714">MEDIAN(IF($I$4:$I$1803=I1714,$H$4:$H$1803))</f>
        <v>2453.5</v>
      </c>
      <c r="K1714" s="59" t="n">
        <f aca="false">H1714/J1714</f>
        <v>1.15223150601182</v>
      </c>
    </row>
    <row r="1715" customFormat="false" ht="15" hidden="false" customHeight="false" outlineLevel="0" collapsed="false">
      <c r="A1715" s="39" t="s">
        <v>912</v>
      </c>
      <c r="B1715" s="39" t="s">
        <v>911</v>
      </c>
      <c r="C1715" s="39" t="s">
        <v>929</v>
      </c>
      <c r="D1715" s="39" t="s">
        <v>914</v>
      </c>
      <c r="E1715" s="39"/>
      <c r="F1715" s="39" t="s">
        <v>915</v>
      </c>
      <c r="G1715" s="60"/>
      <c r="H1715" s="58" t="n">
        <v>3184</v>
      </c>
      <c r="I1715" s="39" t="str">
        <f aca="false">A1715&amp;"|"&amp;B1715&amp;"|"&amp;D1715&amp;"|"&amp;E1715&amp;F1715</f>
        <v>home|McAlester|scenario 1 (dwelling $100,000, deductible 1%)|masonry</v>
      </c>
      <c r="J1715" s="34" t="n">
        <f aca="false" t="array" ref="J1715:J1715">MEDIAN(IF($I$4:$I$1803=I1715,$H$4:$H$1803))</f>
        <v>2322.5</v>
      </c>
      <c r="K1715" s="59" t="n">
        <f aca="false">H1715/J1715</f>
        <v>1.37093649085038</v>
      </c>
    </row>
    <row r="1716" customFormat="false" ht="15" hidden="false" customHeight="false" outlineLevel="0" collapsed="false">
      <c r="A1716" s="39" t="s">
        <v>912</v>
      </c>
      <c r="B1716" s="39" t="s">
        <v>911</v>
      </c>
      <c r="C1716" s="39" t="s">
        <v>929</v>
      </c>
      <c r="D1716" s="39" t="s">
        <v>916</v>
      </c>
      <c r="E1716" s="39"/>
      <c r="F1716" s="39" t="s">
        <v>133</v>
      </c>
      <c r="G1716" s="60"/>
      <c r="H1716" s="58" t="n">
        <v>3666</v>
      </c>
      <c r="I1716" s="39" t="str">
        <f aca="false">A1716&amp;"|"&amp;B1716&amp;"|"&amp;D1716&amp;"|"&amp;E1716&amp;F1716</f>
        <v>home|McAlester|scenario 2 (dwelling $200,000, deductible 1%)|frame</v>
      </c>
      <c r="J1716" s="34" t="n">
        <f aca="false" t="array" ref="J1716:J1716">MEDIAN(IF($I$4:$I$1803=I1716,$H$4:$H$1803))</f>
        <v>3529</v>
      </c>
      <c r="K1716" s="59" t="n">
        <f aca="false">H1716/J1716</f>
        <v>1.03882119580618</v>
      </c>
    </row>
    <row r="1717" customFormat="false" ht="15" hidden="false" customHeight="false" outlineLevel="0" collapsed="false">
      <c r="A1717" s="39" t="s">
        <v>912</v>
      </c>
      <c r="B1717" s="39" t="s">
        <v>911</v>
      </c>
      <c r="C1717" s="39" t="s">
        <v>929</v>
      </c>
      <c r="D1717" s="39" t="s">
        <v>916</v>
      </c>
      <c r="E1717" s="39"/>
      <c r="F1717" s="39" t="s">
        <v>915</v>
      </c>
      <c r="G1717" s="60"/>
      <c r="H1717" s="58" t="n">
        <v>4056</v>
      </c>
      <c r="I1717" s="39" t="str">
        <f aca="false">A1717&amp;"|"&amp;B1717&amp;"|"&amp;D1717&amp;"|"&amp;E1717&amp;F1717</f>
        <v>home|McAlester|scenario 2 (dwelling $200,000, deductible 1%)|masonry</v>
      </c>
      <c r="J1717" s="34" t="n">
        <f aca="false" t="array" ref="J1717:J1717">MEDIAN(IF($I$4:$I$1803=I1717,$H$4:$H$1803))</f>
        <v>3379.5</v>
      </c>
      <c r="K1717" s="59" t="n">
        <f aca="false">H1717/J1717</f>
        <v>1.20017754105637</v>
      </c>
    </row>
    <row r="1718" customFormat="false" ht="15" hidden="false" customHeight="false" outlineLevel="0" collapsed="false">
      <c r="A1718" s="39" t="s">
        <v>912</v>
      </c>
      <c r="B1718" s="39" t="s">
        <v>911</v>
      </c>
      <c r="C1718" s="39" t="s">
        <v>929</v>
      </c>
      <c r="D1718" s="39" t="s">
        <v>917</v>
      </c>
      <c r="E1718" s="39"/>
      <c r="F1718" s="39" t="s">
        <v>133</v>
      </c>
      <c r="G1718" s="60"/>
      <c r="H1718" s="58" t="n">
        <v>4961</v>
      </c>
      <c r="I1718" s="39" t="str">
        <f aca="false">A1718&amp;"|"&amp;B1718&amp;"|"&amp;D1718&amp;"|"&amp;E1718&amp;F1718</f>
        <v>home|McAlester|scenario 3 (dwelling $300,000, deductible 1%)|frame</v>
      </c>
      <c r="J1718" s="34" t="n">
        <f aca="false" t="array" ref="J1718:J1718">MEDIAN(IF($I$4:$I$1803=I1718,$H$4:$H$1803))</f>
        <v>4827</v>
      </c>
      <c r="K1718" s="59" t="n">
        <f aca="false">H1718/J1718</f>
        <v>1.02776051377667</v>
      </c>
    </row>
    <row r="1719" customFormat="false" ht="15" hidden="false" customHeight="false" outlineLevel="0" collapsed="false">
      <c r="A1719" s="39" t="s">
        <v>912</v>
      </c>
      <c r="B1719" s="39" t="s">
        <v>911</v>
      </c>
      <c r="C1719" s="39" t="s">
        <v>929</v>
      </c>
      <c r="D1719" s="39" t="s">
        <v>917</v>
      </c>
      <c r="E1719" s="39"/>
      <c r="F1719" s="39" t="s">
        <v>915</v>
      </c>
      <c r="G1719" s="60"/>
      <c r="H1719" s="58" t="n">
        <v>5468</v>
      </c>
      <c r="I1719" s="39" t="str">
        <f aca="false">A1719&amp;"|"&amp;B1719&amp;"|"&amp;D1719&amp;"|"&amp;E1719&amp;F1719</f>
        <v>home|McAlester|scenario 3 (dwelling $300,000, deductible 1%)|masonry</v>
      </c>
      <c r="J1719" s="34" t="n">
        <f aca="false" t="array" ref="J1719:J1719">MEDIAN(IF($I$4:$I$1803=I1719,$H$4:$H$1803))</f>
        <v>4539</v>
      </c>
      <c r="K1719" s="59" t="n">
        <f aca="false">H1719/J1719</f>
        <v>1.20467063229786</v>
      </c>
    </row>
    <row r="1720" customFormat="false" ht="15" hidden="false" customHeight="false" outlineLevel="0" collapsed="false">
      <c r="A1720" s="39" t="s">
        <v>912</v>
      </c>
      <c r="B1720" s="39" t="s">
        <v>911</v>
      </c>
      <c r="C1720" s="39" t="s">
        <v>929</v>
      </c>
      <c r="D1720" s="39" t="s">
        <v>918</v>
      </c>
      <c r="E1720" s="39"/>
      <c r="F1720" s="39" t="s">
        <v>133</v>
      </c>
      <c r="G1720" s="60"/>
      <c r="H1720" s="58" t="n">
        <v>6025</v>
      </c>
      <c r="I1720" s="39" t="str">
        <f aca="false">A1720&amp;"|"&amp;B1720&amp;"|"&amp;D1720&amp;"|"&amp;E1720&amp;F1720</f>
        <v>home|McAlester|scenario 4 (dwelling $400,000, deductible 1%)|frame</v>
      </c>
      <c r="J1720" s="34" t="n">
        <f aca="false" t="array" ref="J1720:J1720">MEDIAN(IF($I$4:$I$1803=I1720,$H$4:$H$1803))</f>
        <v>6199</v>
      </c>
      <c r="K1720" s="59" t="n">
        <f aca="false">H1720/J1720</f>
        <v>0.971930956605904</v>
      </c>
    </row>
    <row r="1721" customFormat="false" ht="15" hidden="false" customHeight="false" outlineLevel="0" collapsed="false">
      <c r="A1721" s="39" t="s">
        <v>912</v>
      </c>
      <c r="B1721" s="39" t="s">
        <v>911</v>
      </c>
      <c r="C1721" s="39" t="s">
        <v>929</v>
      </c>
      <c r="D1721" s="39" t="s">
        <v>918</v>
      </c>
      <c r="E1721" s="39"/>
      <c r="F1721" s="39" t="s">
        <v>915</v>
      </c>
      <c r="G1721" s="60"/>
      <c r="H1721" s="58" t="n">
        <v>6558</v>
      </c>
      <c r="I1721" s="39" t="str">
        <f aca="false">A1721&amp;"|"&amp;B1721&amp;"|"&amp;D1721&amp;"|"&amp;E1721&amp;F1721</f>
        <v>home|McAlester|scenario 4 (dwelling $400,000, deductible 1%)|masonry</v>
      </c>
      <c r="J1721" s="34" t="n">
        <f aca="false" t="array" ref="J1721:J1721">MEDIAN(IF($I$4:$I$1803=I1721,$H$4:$H$1803))</f>
        <v>5930</v>
      </c>
      <c r="K1721" s="59" t="n">
        <f aca="false">H1721/J1721</f>
        <v>1.10590219224283</v>
      </c>
    </row>
    <row r="1722" customFormat="false" ht="15" hidden="false" customHeight="false" outlineLevel="0" collapsed="false">
      <c r="A1722" s="39" t="s">
        <v>912</v>
      </c>
      <c r="B1722" s="39" t="s">
        <v>911</v>
      </c>
      <c r="C1722" s="39" t="s">
        <v>929</v>
      </c>
      <c r="D1722" s="39" t="s">
        <v>919</v>
      </c>
      <c r="E1722" s="39"/>
      <c r="F1722" s="39" t="s">
        <v>133</v>
      </c>
      <c r="G1722" s="60"/>
      <c r="H1722" s="58" t="n">
        <v>7082</v>
      </c>
      <c r="I1722" s="39" t="str">
        <f aca="false">A1722&amp;"|"&amp;B1722&amp;"|"&amp;D1722&amp;"|"&amp;E1722&amp;F1722</f>
        <v>home|McAlester|scenario 5 (dwelling $500,000, deductible 1%)|frame</v>
      </c>
      <c r="J1722" s="34" t="n">
        <f aca="false" t="array" ref="J1722:J1722">MEDIAN(IF($I$4:$I$1803=I1722,$H$4:$H$1803))</f>
        <v>7321.5</v>
      </c>
      <c r="K1722" s="59" t="n">
        <f aca="false">H1722/J1722</f>
        <v>0.967288124018302</v>
      </c>
    </row>
    <row r="1723" customFormat="false" ht="15" hidden="false" customHeight="false" outlineLevel="0" collapsed="false">
      <c r="A1723" s="39" t="s">
        <v>912</v>
      </c>
      <c r="B1723" s="39" t="s">
        <v>911</v>
      </c>
      <c r="C1723" s="39" t="s">
        <v>929</v>
      </c>
      <c r="D1723" s="39" t="s">
        <v>919</v>
      </c>
      <c r="E1723" s="39"/>
      <c r="F1723" s="39" t="s">
        <v>915</v>
      </c>
      <c r="G1723" s="60"/>
      <c r="H1723" s="58" t="n">
        <v>7602</v>
      </c>
      <c r="I1723" s="39" t="str">
        <f aca="false">A1723&amp;"|"&amp;B1723&amp;"|"&amp;D1723&amp;"|"&amp;E1723&amp;F1723</f>
        <v>home|McAlester|scenario 5 (dwelling $500,000, deductible 1%)|masonry</v>
      </c>
      <c r="J1723" s="34" t="n">
        <f aca="false" t="array" ref="J1723:J1723">MEDIAN(IF($I$4:$I$1803=I1723,$H$4:$H$1803))</f>
        <v>6962.5</v>
      </c>
      <c r="K1723" s="59" t="n">
        <f aca="false">H1723/J1723</f>
        <v>1.09184919210054</v>
      </c>
    </row>
    <row r="1724" customFormat="false" ht="15" hidden="false" customHeight="false" outlineLevel="0" collapsed="false">
      <c r="A1724" s="39" t="s">
        <v>912</v>
      </c>
      <c r="B1724" s="39" t="s">
        <v>911</v>
      </c>
      <c r="C1724" s="39" t="s">
        <v>930</v>
      </c>
      <c r="D1724" s="39" t="s">
        <v>914</v>
      </c>
      <c r="E1724" s="39"/>
      <c r="F1724" s="39" t="s">
        <v>133</v>
      </c>
      <c r="G1724" s="60"/>
      <c r="H1724" s="58" t="n">
        <v>2502</v>
      </c>
      <c r="I1724" s="39" t="str">
        <f aca="false">A1724&amp;"|"&amp;B1724&amp;"|"&amp;D1724&amp;"|"&amp;E1724&amp;F1724</f>
        <v>home|McAlester|scenario 1 (dwelling $100,000, deductible 1%)|frame</v>
      </c>
      <c r="J1724" s="34" t="n">
        <f aca="false" t="array" ref="J1724:J1724">MEDIAN(IF($I$4:$I$1803=I1724,$H$4:$H$1803))</f>
        <v>2453.5</v>
      </c>
      <c r="K1724" s="59" t="n">
        <f aca="false">H1724/J1724</f>
        <v>1.01976767882617</v>
      </c>
    </row>
    <row r="1725" customFormat="false" ht="15" hidden="false" customHeight="false" outlineLevel="0" collapsed="false">
      <c r="A1725" s="39" t="s">
        <v>912</v>
      </c>
      <c r="B1725" s="39" t="s">
        <v>911</v>
      </c>
      <c r="C1725" s="39" t="s">
        <v>930</v>
      </c>
      <c r="D1725" s="39" t="s">
        <v>914</v>
      </c>
      <c r="E1725" s="39"/>
      <c r="F1725" s="39" t="s">
        <v>915</v>
      </c>
      <c r="G1725" s="60"/>
      <c r="H1725" s="58" t="n">
        <v>2251</v>
      </c>
      <c r="I1725" s="39" t="str">
        <f aca="false">A1725&amp;"|"&amp;B1725&amp;"|"&amp;D1725&amp;"|"&amp;E1725&amp;F1725</f>
        <v>home|McAlester|scenario 1 (dwelling $100,000, deductible 1%)|masonry</v>
      </c>
      <c r="J1725" s="34" t="n">
        <f aca="false" t="array" ref="J1725:J1725">MEDIAN(IF($I$4:$I$1803=I1725,$H$4:$H$1803))</f>
        <v>2322.5</v>
      </c>
      <c r="K1725" s="59" t="n">
        <f aca="false">H1725/J1725</f>
        <v>0.969214208826695</v>
      </c>
    </row>
    <row r="1726" customFormat="false" ht="15" hidden="false" customHeight="false" outlineLevel="0" collapsed="false">
      <c r="A1726" s="39" t="s">
        <v>912</v>
      </c>
      <c r="B1726" s="39" t="s">
        <v>911</v>
      </c>
      <c r="C1726" s="39" t="s">
        <v>930</v>
      </c>
      <c r="D1726" s="39" t="s">
        <v>916</v>
      </c>
      <c r="E1726" s="39"/>
      <c r="F1726" s="39" t="s">
        <v>133</v>
      </c>
      <c r="G1726" s="60"/>
      <c r="H1726" s="58" t="n">
        <v>3526</v>
      </c>
      <c r="I1726" s="39" t="str">
        <f aca="false">A1726&amp;"|"&amp;B1726&amp;"|"&amp;D1726&amp;"|"&amp;E1726&amp;F1726</f>
        <v>home|McAlester|scenario 2 (dwelling $200,000, deductible 1%)|frame</v>
      </c>
      <c r="J1726" s="34" t="n">
        <f aca="false" t="array" ref="J1726:J1726">MEDIAN(IF($I$4:$I$1803=I1726,$H$4:$H$1803))</f>
        <v>3529</v>
      </c>
      <c r="K1726" s="59" t="n">
        <f aca="false">H1726/J1726</f>
        <v>0.999149900821763</v>
      </c>
    </row>
    <row r="1727" customFormat="false" ht="15" hidden="false" customHeight="false" outlineLevel="0" collapsed="false">
      <c r="A1727" s="39" t="s">
        <v>912</v>
      </c>
      <c r="B1727" s="39" t="s">
        <v>911</v>
      </c>
      <c r="C1727" s="39" t="s">
        <v>930</v>
      </c>
      <c r="D1727" s="39" t="s">
        <v>916</v>
      </c>
      <c r="E1727" s="39"/>
      <c r="F1727" s="39" t="s">
        <v>915</v>
      </c>
      <c r="G1727" s="60"/>
      <c r="H1727" s="58" t="n">
        <v>3171</v>
      </c>
      <c r="I1727" s="39" t="str">
        <f aca="false">A1727&amp;"|"&amp;B1727&amp;"|"&amp;D1727&amp;"|"&amp;E1727&amp;F1727</f>
        <v>home|McAlester|scenario 2 (dwelling $200,000, deductible 1%)|masonry</v>
      </c>
      <c r="J1727" s="34" t="n">
        <f aca="false" t="array" ref="J1727:J1727">MEDIAN(IF($I$4:$I$1803=I1727,$H$4:$H$1803))</f>
        <v>3379.5</v>
      </c>
      <c r="K1727" s="59" t="n">
        <f aca="false">H1727/J1727</f>
        <v>0.938304482911673</v>
      </c>
    </row>
    <row r="1728" customFormat="false" ht="15" hidden="false" customHeight="false" outlineLevel="0" collapsed="false">
      <c r="A1728" s="39" t="s">
        <v>912</v>
      </c>
      <c r="B1728" s="39" t="s">
        <v>911</v>
      </c>
      <c r="C1728" s="39" t="s">
        <v>930</v>
      </c>
      <c r="D1728" s="39" t="s">
        <v>917</v>
      </c>
      <c r="E1728" s="39"/>
      <c r="F1728" s="39" t="s">
        <v>133</v>
      </c>
      <c r="G1728" s="60"/>
      <c r="H1728" s="58" t="n">
        <v>4804</v>
      </c>
      <c r="I1728" s="39" t="str">
        <f aca="false">A1728&amp;"|"&amp;B1728&amp;"|"&amp;D1728&amp;"|"&amp;E1728&amp;F1728</f>
        <v>home|McAlester|scenario 3 (dwelling $300,000, deductible 1%)|frame</v>
      </c>
      <c r="J1728" s="34" t="n">
        <f aca="false" t="array" ref="J1728:J1728">MEDIAN(IF($I$4:$I$1803=I1728,$H$4:$H$1803))</f>
        <v>4827</v>
      </c>
      <c r="K1728" s="59" t="n">
        <f aca="false">H1728/J1728</f>
        <v>0.995235135695049</v>
      </c>
    </row>
    <row r="1729" customFormat="false" ht="15" hidden="false" customHeight="false" outlineLevel="0" collapsed="false">
      <c r="A1729" s="39" t="s">
        <v>912</v>
      </c>
      <c r="B1729" s="39" t="s">
        <v>911</v>
      </c>
      <c r="C1729" s="39" t="s">
        <v>930</v>
      </c>
      <c r="D1729" s="39" t="s">
        <v>917</v>
      </c>
      <c r="E1729" s="39"/>
      <c r="F1729" s="39" t="s">
        <v>915</v>
      </c>
      <c r="G1729" s="60"/>
      <c r="H1729" s="58" t="n">
        <v>4321</v>
      </c>
      <c r="I1729" s="39" t="str">
        <f aca="false">A1729&amp;"|"&amp;B1729&amp;"|"&amp;D1729&amp;"|"&amp;E1729&amp;F1729</f>
        <v>home|McAlester|scenario 3 (dwelling $300,000, deductible 1%)|masonry</v>
      </c>
      <c r="J1729" s="34" t="n">
        <f aca="false" t="array" ref="J1729:J1729">MEDIAN(IF($I$4:$I$1803=I1729,$H$4:$H$1803))</f>
        <v>4539</v>
      </c>
      <c r="K1729" s="59" t="n">
        <f aca="false">H1729/J1729</f>
        <v>0.951971799955937</v>
      </c>
    </row>
    <row r="1730" customFormat="false" ht="15" hidden="false" customHeight="false" outlineLevel="0" collapsed="false">
      <c r="A1730" s="39" t="s">
        <v>912</v>
      </c>
      <c r="B1730" s="39" t="s">
        <v>911</v>
      </c>
      <c r="C1730" s="39" t="s">
        <v>930</v>
      </c>
      <c r="D1730" s="39" t="s">
        <v>918</v>
      </c>
      <c r="E1730" s="39"/>
      <c r="F1730" s="39" t="s">
        <v>133</v>
      </c>
      <c r="G1730" s="60"/>
      <c r="H1730" s="58" t="n">
        <v>6697</v>
      </c>
      <c r="I1730" s="39" t="str">
        <f aca="false">A1730&amp;"|"&amp;B1730&amp;"|"&amp;D1730&amp;"|"&amp;E1730&amp;F1730</f>
        <v>home|McAlester|scenario 4 (dwelling $400,000, deductible 1%)|frame</v>
      </c>
      <c r="J1730" s="34" t="n">
        <f aca="false" t="array" ref="J1730:J1730">MEDIAN(IF($I$4:$I$1803=I1730,$H$4:$H$1803))</f>
        <v>6199</v>
      </c>
      <c r="K1730" s="59" t="n">
        <f aca="false">H1730/J1730</f>
        <v>1.08033553799</v>
      </c>
    </row>
    <row r="1731" customFormat="false" ht="15" hidden="false" customHeight="false" outlineLevel="0" collapsed="false">
      <c r="A1731" s="39" t="s">
        <v>912</v>
      </c>
      <c r="B1731" s="39" t="s">
        <v>911</v>
      </c>
      <c r="C1731" s="39" t="s">
        <v>930</v>
      </c>
      <c r="D1731" s="39" t="s">
        <v>918</v>
      </c>
      <c r="E1731" s="39"/>
      <c r="F1731" s="39" t="s">
        <v>915</v>
      </c>
      <c r="G1731" s="60"/>
      <c r="H1731" s="58" t="n">
        <v>6024</v>
      </c>
      <c r="I1731" s="39" t="str">
        <f aca="false">A1731&amp;"|"&amp;B1731&amp;"|"&amp;D1731&amp;"|"&amp;E1731&amp;F1731</f>
        <v>home|McAlester|scenario 4 (dwelling $400,000, deductible 1%)|masonry</v>
      </c>
      <c r="J1731" s="34" t="n">
        <f aca="false" t="array" ref="J1731:J1731">MEDIAN(IF($I$4:$I$1803=I1731,$H$4:$H$1803))</f>
        <v>5930</v>
      </c>
      <c r="K1731" s="59" t="n">
        <f aca="false">H1731/J1731</f>
        <v>1.01585160202361</v>
      </c>
    </row>
    <row r="1732" customFormat="false" ht="15" hidden="false" customHeight="false" outlineLevel="0" collapsed="false">
      <c r="A1732" s="39" t="s">
        <v>912</v>
      </c>
      <c r="B1732" s="39" t="s">
        <v>911</v>
      </c>
      <c r="C1732" s="39" t="s">
        <v>930</v>
      </c>
      <c r="D1732" s="39" t="s">
        <v>919</v>
      </c>
      <c r="E1732" s="39"/>
      <c r="F1732" s="39" t="s">
        <v>133</v>
      </c>
      <c r="G1732" s="60"/>
      <c r="H1732" s="58" t="n">
        <v>8618</v>
      </c>
      <c r="I1732" s="39" t="str">
        <f aca="false">A1732&amp;"|"&amp;B1732&amp;"|"&amp;D1732&amp;"|"&amp;E1732&amp;F1732</f>
        <v>home|McAlester|scenario 5 (dwelling $500,000, deductible 1%)|frame</v>
      </c>
      <c r="J1732" s="34" t="n">
        <f aca="false" t="array" ref="J1732:J1732">MEDIAN(IF($I$4:$I$1803=I1732,$H$4:$H$1803))</f>
        <v>7321.5</v>
      </c>
      <c r="K1732" s="59" t="n">
        <f aca="false">H1732/J1732</f>
        <v>1.17708119920781</v>
      </c>
    </row>
    <row r="1733" customFormat="false" ht="15" hidden="false" customHeight="false" outlineLevel="0" collapsed="false">
      <c r="A1733" s="39" t="s">
        <v>912</v>
      </c>
      <c r="B1733" s="39" t="s">
        <v>911</v>
      </c>
      <c r="C1733" s="39" t="s">
        <v>930</v>
      </c>
      <c r="D1733" s="39" t="s">
        <v>919</v>
      </c>
      <c r="E1733" s="39"/>
      <c r="F1733" s="39" t="s">
        <v>915</v>
      </c>
      <c r="G1733" s="60"/>
      <c r="H1733" s="58" t="n">
        <v>7752</v>
      </c>
      <c r="I1733" s="39" t="str">
        <f aca="false">A1733&amp;"|"&amp;B1733&amp;"|"&amp;D1733&amp;"|"&amp;E1733&amp;F1733</f>
        <v>home|McAlester|scenario 5 (dwelling $500,000, deductible 1%)|masonry</v>
      </c>
      <c r="J1733" s="34" t="n">
        <f aca="false" t="array" ref="J1733:J1733">MEDIAN(IF($I$4:$I$1803=I1733,$H$4:$H$1803))</f>
        <v>6962.5</v>
      </c>
      <c r="K1733" s="59" t="n">
        <f aca="false">H1733/J1733</f>
        <v>1.11339317773788</v>
      </c>
    </row>
    <row r="1734" customFormat="false" ht="15" hidden="false" customHeight="false" outlineLevel="0" collapsed="false">
      <c r="A1734" s="39" t="s">
        <v>912</v>
      </c>
      <c r="B1734" s="39" t="s">
        <v>911</v>
      </c>
      <c r="C1734" s="39" t="s">
        <v>931</v>
      </c>
      <c r="D1734" s="39" t="s">
        <v>914</v>
      </c>
      <c r="E1734" s="39"/>
      <c r="F1734" s="39" t="s">
        <v>133</v>
      </c>
      <c r="G1734" s="60"/>
      <c r="H1734" s="58" t="n">
        <v>2788</v>
      </c>
      <c r="I1734" s="39" t="str">
        <f aca="false">A1734&amp;"|"&amp;B1734&amp;"|"&amp;D1734&amp;"|"&amp;E1734&amp;F1734</f>
        <v>home|McAlester|scenario 1 (dwelling $100,000, deductible 1%)|frame</v>
      </c>
      <c r="J1734" s="34" t="n">
        <f aca="false" t="array" ref="J1734:J1734">MEDIAN(IF($I$4:$I$1803=I1734,$H$4:$H$1803))</f>
        <v>2453.5</v>
      </c>
      <c r="K1734" s="59" t="n">
        <f aca="false">H1734/J1734</f>
        <v>1.13633584674954</v>
      </c>
    </row>
    <row r="1735" customFormat="false" ht="15" hidden="false" customHeight="false" outlineLevel="0" collapsed="false">
      <c r="A1735" s="39" t="s">
        <v>912</v>
      </c>
      <c r="B1735" s="39" t="s">
        <v>911</v>
      </c>
      <c r="C1735" s="39" t="s">
        <v>931</v>
      </c>
      <c r="D1735" s="39" t="s">
        <v>914</v>
      </c>
      <c r="E1735" s="39"/>
      <c r="F1735" s="39" t="s">
        <v>915</v>
      </c>
      <c r="G1735" s="60"/>
      <c r="H1735" s="58" t="n">
        <v>2609</v>
      </c>
      <c r="I1735" s="39" t="str">
        <f aca="false">A1735&amp;"|"&amp;B1735&amp;"|"&amp;D1735&amp;"|"&amp;E1735&amp;F1735</f>
        <v>home|McAlester|scenario 1 (dwelling $100,000, deductible 1%)|masonry</v>
      </c>
      <c r="J1735" s="34" t="n">
        <f aca="false" t="array" ref="J1735:J1735">MEDIAN(IF($I$4:$I$1803=I1735,$H$4:$H$1803))</f>
        <v>2322.5</v>
      </c>
      <c r="K1735" s="59" t="n">
        <f aca="false">H1735/J1735</f>
        <v>1.12335844994618</v>
      </c>
    </row>
    <row r="1736" customFormat="false" ht="15" hidden="false" customHeight="false" outlineLevel="0" collapsed="false">
      <c r="A1736" s="39" t="s">
        <v>912</v>
      </c>
      <c r="B1736" s="39" t="s">
        <v>911</v>
      </c>
      <c r="C1736" s="39" t="s">
        <v>931</v>
      </c>
      <c r="D1736" s="39" t="s">
        <v>916</v>
      </c>
      <c r="E1736" s="39"/>
      <c r="F1736" s="39" t="s">
        <v>133</v>
      </c>
      <c r="G1736" s="60"/>
      <c r="H1736" s="58" t="n">
        <v>4272</v>
      </c>
      <c r="I1736" s="39" t="str">
        <f aca="false">A1736&amp;"|"&amp;B1736&amp;"|"&amp;D1736&amp;"|"&amp;E1736&amp;F1736</f>
        <v>home|McAlester|scenario 2 (dwelling $200,000, deductible 1%)|frame</v>
      </c>
      <c r="J1736" s="34" t="n">
        <f aca="false" t="array" ref="J1736:J1736">MEDIAN(IF($I$4:$I$1803=I1736,$H$4:$H$1803))</f>
        <v>3529</v>
      </c>
      <c r="K1736" s="59" t="n">
        <f aca="false">H1736/J1736</f>
        <v>1.21054122981014</v>
      </c>
    </row>
    <row r="1737" customFormat="false" ht="15" hidden="false" customHeight="false" outlineLevel="0" collapsed="false">
      <c r="A1737" s="39" t="s">
        <v>912</v>
      </c>
      <c r="B1737" s="39" t="s">
        <v>911</v>
      </c>
      <c r="C1737" s="39" t="s">
        <v>931</v>
      </c>
      <c r="D1737" s="39" t="s">
        <v>916</v>
      </c>
      <c r="E1737" s="39"/>
      <c r="F1737" s="39" t="s">
        <v>915</v>
      </c>
      <c r="G1737" s="60"/>
      <c r="H1737" s="58" t="n">
        <v>3999</v>
      </c>
      <c r="I1737" s="39" t="str">
        <f aca="false">A1737&amp;"|"&amp;B1737&amp;"|"&amp;D1737&amp;"|"&amp;E1737&amp;F1737</f>
        <v>home|McAlester|scenario 2 (dwelling $200,000, deductible 1%)|masonry</v>
      </c>
      <c r="J1737" s="34" t="n">
        <f aca="false" t="array" ref="J1737:J1737">MEDIAN(IF($I$4:$I$1803=I1737,$H$4:$H$1803))</f>
        <v>3379.5</v>
      </c>
      <c r="K1737" s="59" t="n">
        <f aca="false">H1737/J1737</f>
        <v>1.18331114070129</v>
      </c>
    </row>
    <row r="1738" customFormat="false" ht="15" hidden="false" customHeight="false" outlineLevel="0" collapsed="false">
      <c r="A1738" s="39" t="s">
        <v>912</v>
      </c>
      <c r="B1738" s="39" t="s">
        <v>911</v>
      </c>
      <c r="C1738" s="39" t="s">
        <v>931</v>
      </c>
      <c r="D1738" s="39" t="s">
        <v>917</v>
      </c>
      <c r="E1738" s="39"/>
      <c r="F1738" s="39" t="s">
        <v>133</v>
      </c>
      <c r="G1738" s="60"/>
      <c r="H1738" s="58" t="n">
        <v>5941</v>
      </c>
      <c r="I1738" s="39" t="str">
        <f aca="false">A1738&amp;"|"&amp;B1738&amp;"|"&amp;D1738&amp;"|"&amp;E1738&amp;F1738</f>
        <v>home|McAlester|scenario 3 (dwelling $300,000, deductible 1%)|frame</v>
      </c>
      <c r="J1738" s="34" t="n">
        <f aca="false" t="array" ref="J1738:J1738">MEDIAN(IF($I$4:$I$1803=I1738,$H$4:$H$1803))</f>
        <v>4827</v>
      </c>
      <c r="K1738" s="59" t="n">
        <f aca="false">H1738/J1738</f>
        <v>1.23078516677025</v>
      </c>
    </row>
    <row r="1739" customFormat="false" ht="15" hidden="false" customHeight="false" outlineLevel="0" collapsed="false">
      <c r="A1739" s="39" t="s">
        <v>912</v>
      </c>
      <c r="B1739" s="39" t="s">
        <v>911</v>
      </c>
      <c r="C1739" s="39" t="s">
        <v>931</v>
      </c>
      <c r="D1739" s="39" t="s">
        <v>917</v>
      </c>
      <c r="E1739" s="39"/>
      <c r="F1739" s="39" t="s">
        <v>915</v>
      </c>
      <c r="G1739" s="60"/>
      <c r="H1739" s="58" t="n">
        <v>5561</v>
      </c>
      <c r="I1739" s="39" t="str">
        <f aca="false">A1739&amp;"|"&amp;B1739&amp;"|"&amp;D1739&amp;"|"&amp;E1739&amp;F1739</f>
        <v>home|McAlester|scenario 3 (dwelling $300,000, deductible 1%)|masonry</v>
      </c>
      <c r="J1739" s="34" t="n">
        <f aca="false" t="array" ref="J1739:J1739">MEDIAN(IF($I$4:$I$1803=I1739,$H$4:$H$1803))</f>
        <v>4539</v>
      </c>
      <c r="K1739" s="59" t="n">
        <f aca="false">H1739/J1739</f>
        <v>1.22515972681207</v>
      </c>
    </row>
    <row r="1740" customFormat="false" ht="15" hidden="false" customHeight="false" outlineLevel="0" collapsed="false">
      <c r="A1740" s="39" t="s">
        <v>912</v>
      </c>
      <c r="B1740" s="39" t="s">
        <v>911</v>
      </c>
      <c r="C1740" s="39" t="s">
        <v>931</v>
      </c>
      <c r="D1740" s="39" t="s">
        <v>918</v>
      </c>
      <c r="E1740" s="39"/>
      <c r="F1740" s="39" t="s">
        <v>133</v>
      </c>
      <c r="G1740" s="60"/>
      <c r="H1740" s="58" t="n">
        <v>7610</v>
      </c>
      <c r="I1740" s="39" t="str">
        <f aca="false">A1740&amp;"|"&amp;B1740&amp;"|"&amp;D1740&amp;"|"&amp;E1740&amp;F1740</f>
        <v>home|McAlester|scenario 4 (dwelling $400,000, deductible 1%)|frame</v>
      </c>
      <c r="J1740" s="34" t="n">
        <f aca="false" t="array" ref="J1740:J1740">MEDIAN(IF($I$4:$I$1803=I1740,$H$4:$H$1803))</f>
        <v>6199</v>
      </c>
      <c r="K1740" s="59" t="n">
        <f aca="false">H1740/J1740</f>
        <v>1.22761735763833</v>
      </c>
    </row>
    <row r="1741" customFormat="false" ht="15" hidden="false" customHeight="false" outlineLevel="0" collapsed="false">
      <c r="A1741" s="39" t="s">
        <v>912</v>
      </c>
      <c r="B1741" s="39" t="s">
        <v>911</v>
      </c>
      <c r="C1741" s="39" t="s">
        <v>931</v>
      </c>
      <c r="D1741" s="39" t="s">
        <v>918</v>
      </c>
      <c r="E1741" s="39"/>
      <c r="F1741" s="39" t="s">
        <v>915</v>
      </c>
      <c r="G1741" s="60"/>
      <c r="H1741" s="58" t="n">
        <v>7123</v>
      </c>
      <c r="I1741" s="39" t="str">
        <f aca="false">A1741&amp;"|"&amp;B1741&amp;"|"&amp;D1741&amp;"|"&amp;E1741&amp;F1741</f>
        <v>home|McAlester|scenario 4 (dwelling $400,000, deductible 1%)|masonry</v>
      </c>
      <c r="J1741" s="34" t="n">
        <f aca="false" t="array" ref="J1741:J1741">MEDIAN(IF($I$4:$I$1803=I1741,$H$4:$H$1803))</f>
        <v>5930</v>
      </c>
      <c r="K1741" s="59" t="n">
        <f aca="false">H1741/J1741</f>
        <v>1.20118043844857</v>
      </c>
    </row>
    <row r="1742" customFormat="false" ht="15" hidden="false" customHeight="false" outlineLevel="0" collapsed="false">
      <c r="A1742" s="39" t="s">
        <v>912</v>
      </c>
      <c r="B1742" s="39" t="s">
        <v>911</v>
      </c>
      <c r="C1742" s="39" t="s">
        <v>931</v>
      </c>
      <c r="D1742" s="39" t="s">
        <v>919</v>
      </c>
      <c r="E1742" s="39"/>
      <c r="F1742" s="39" t="s">
        <v>133</v>
      </c>
      <c r="G1742" s="60"/>
      <c r="H1742" s="58" t="n">
        <v>9078</v>
      </c>
      <c r="I1742" s="39" t="str">
        <f aca="false">A1742&amp;"|"&amp;B1742&amp;"|"&amp;D1742&amp;"|"&amp;E1742&amp;F1742</f>
        <v>home|McAlester|scenario 5 (dwelling $500,000, deductible 1%)|frame</v>
      </c>
      <c r="J1742" s="34" t="n">
        <f aca="false" t="array" ref="J1742:J1742">MEDIAN(IF($I$4:$I$1803=I1742,$H$4:$H$1803))</f>
        <v>7321.5</v>
      </c>
      <c r="K1742" s="59" t="n">
        <f aca="false">H1742/J1742</f>
        <v>1.239909854538</v>
      </c>
    </row>
    <row r="1743" customFormat="false" ht="15" hidden="false" customHeight="false" outlineLevel="0" collapsed="false">
      <c r="A1743" s="39" t="s">
        <v>912</v>
      </c>
      <c r="B1743" s="39" t="s">
        <v>911</v>
      </c>
      <c r="C1743" s="39" t="s">
        <v>931</v>
      </c>
      <c r="D1743" s="39" t="s">
        <v>919</v>
      </c>
      <c r="E1743" s="39"/>
      <c r="F1743" s="39" t="s">
        <v>915</v>
      </c>
      <c r="G1743" s="60"/>
      <c r="H1743" s="58" t="n">
        <v>8498</v>
      </c>
      <c r="I1743" s="39" t="str">
        <f aca="false">A1743&amp;"|"&amp;B1743&amp;"|"&amp;D1743&amp;"|"&amp;E1743&amp;F1743</f>
        <v>home|McAlester|scenario 5 (dwelling $500,000, deductible 1%)|masonry</v>
      </c>
      <c r="J1743" s="34" t="n">
        <f aca="false" t="array" ref="J1743:J1743">MEDIAN(IF($I$4:$I$1803=I1743,$H$4:$H$1803))</f>
        <v>6962.5</v>
      </c>
      <c r="K1743" s="59" t="n">
        <f aca="false">H1743/J1743</f>
        <v>1.22053859964093</v>
      </c>
    </row>
    <row r="1744" customFormat="false" ht="15" hidden="false" customHeight="false" outlineLevel="0" collapsed="false">
      <c r="A1744" s="39" t="s">
        <v>912</v>
      </c>
      <c r="B1744" s="39" t="s">
        <v>911</v>
      </c>
      <c r="C1744" s="39" t="s">
        <v>899</v>
      </c>
      <c r="D1744" s="39" t="s">
        <v>914</v>
      </c>
      <c r="E1744" s="39"/>
      <c r="F1744" s="39" t="s">
        <v>133</v>
      </c>
      <c r="G1744" s="60"/>
      <c r="H1744" s="58" t="n">
        <v>4397</v>
      </c>
      <c r="I1744" s="39" t="str">
        <f aca="false">A1744&amp;"|"&amp;B1744&amp;"|"&amp;D1744&amp;"|"&amp;E1744&amp;F1744</f>
        <v>home|McAlester|scenario 1 (dwelling $100,000, deductible 1%)|frame</v>
      </c>
      <c r="J1744" s="34" t="n">
        <f aca="false" t="array" ref="J1744:J1744">MEDIAN(IF($I$4:$I$1803=I1744,$H$4:$H$1803))</f>
        <v>2453.5</v>
      </c>
      <c r="K1744" s="59" t="n">
        <f aca="false">H1744/J1744</f>
        <v>1.79213368657021</v>
      </c>
    </row>
    <row r="1745" customFormat="false" ht="15" hidden="false" customHeight="false" outlineLevel="0" collapsed="false">
      <c r="A1745" s="39" t="s">
        <v>912</v>
      </c>
      <c r="B1745" s="39" t="s">
        <v>911</v>
      </c>
      <c r="C1745" s="39" t="s">
        <v>899</v>
      </c>
      <c r="D1745" s="39" t="s">
        <v>914</v>
      </c>
      <c r="E1745" s="39"/>
      <c r="F1745" s="39" t="s">
        <v>915</v>
      </c>
      <c r="G1745" s="60"/>
      <c r="H1745" s="58" t="n">
        <v>4311</v>
      </c>
      <c r="I1745" s="39" t="str">
        <f aca="false">A1745&amp;"|"&amp;B1745&amp;"|"&amp;D1745&amp;"|"&amp;E1745&amp;F1745</f>
        <v>home|McAlester|scenario 1 (dwelling $100,000, deductible 1%)|masonry</v>
      </c>
      <c r="J1745" s="34" t="n">
        <f aca="false" t="array" ref="J1745:J1745">MEDIAN(IF($I$4:$I$1803=I1745,$H$4:$H$1803))</f>
        <v>2322.5</v>
      </c>
      <c r="K1745" s="59" t="n">
        <f aca="false">H1745/J1745</f>
        <v>1.85618945102261</v>
      </c>
    </row>
    <row r="1746" customFormat="false" ht="15" hidden="false" customHeight="false" outlineLevel="0" collapsed="false">
      <c r="A1746" s="39" t="s">
        <v>912</v>
      </c>
      <c r="B1746" s="39" t="s">
        <v>911</v>
      </c>
      <c r="C1746" s="39" t="s">
        <v>899</v>
      </c>
      <c r="D1746" s="39" t="s">
        <v>916</v>
      </c>
      <c r="E1746" s="39"/>
      <c r="F1746" s="39" t="s">
        <v>133</v>
      </c>
      <c r="G1746" s="60"/>
      <c r="H1746" s="58" t="n">
        <v>6288</v>
      </c>
      <c r="I1746" s="39" t="str">
        <f aca="false">A1746&amp;"|"&amp;B1746&amp;"|"&amp;D1746&amp;"|"&amp;E1746&amp;F1746</f>
        <v>home|McAlester|scenario 2 (dwelling $200,000, deductible 1%)|frame</v>
      </c>
      <c r="J1746" s="34" t="n">
        <f aca="false" t="array" ref="J1746:J1746">MEDIAN(IF($I$4:$I$1803=I1746,$H$4:$H$1803))</f>
        <v>3529</v>
      </c>
      <c r="K1746" s="59" t="n">
        <f aca="false">H1746/J1746</f>
        <v>1.78180787758572</v>
      </c>
    </row>
    <row r="1747" customFormat="false" ht="15" hidden="false" customHeight="false" outlineLevel="0" collapsed="false">
      <c r="A1747" s="39" t="s">
        <v>912</v>
      </c>
      <c r="B1747" s="39" t="s">
        <v>911</v>
      </c>
      <c r="C1747" s="39" t="s">
        <v>899</v>
      </c>
      <c r="D1747" s="39" t="s">
        <v>916</v>
      </c>
      <c r="E1747" s="39"/>
      <c r="F1747" s="39" t="s">
        <v>915</v>
      </c>
      <c r="G1747" s="60"/>
      <c r="H1747" s="58" t="n">
        <v>6264</v>
      </c>
      <c r="I1747" s="39" t="str">
        <f aca="false">A1747&amp;"|"&amp;B1747&amp;"|"&amp;D1747&amp;"|"&amp;E1747&amp;F1747</f>
        <v>home|McAlester|scenario 2 (dwelling $200,000, deductible 1%)|masonry</v>
      </c>
      <c r="J1747" s="34" t="n">
        <f aca="false" t="array" ref="J1747:J1747">MEDIAN(IF($I$4:$I$1803=I1747,$H$4:$H$1803))</f>
        <v>3379.5</v>
      </c>
      <c r="K1747" s="59" t="n">
        <f aca="false">H1747/J1747</f>
        <v>1.85352862849534</v>
      </c>
    </row>
    <row r="1748" customFormat="false" ht="15" hidden="false" customHeight="false" outlineLevel="0" collapsed="false">
      <c r="A1748" s="39" t="s">
        <v>912</v>
      </c>
      <c r="B1748" s="39" t="s">
        <v>911</v>
      </c>
      <c r="C1748" s="39" t="s">
        <v>899</v>
      </c>
      <c r="D1748" s="39" t="s">
        <v>917</v>
      </c>
      <c r="E1748" s="39"/>
      <c r="F1748" s="39" t="s">
        <v>133</v>
      </c>
      <c r="G1748" s="60"/>
      <c r="H1748" s="58" t="n">
        <v>7390</v>
      </c>
      <c r="I1748" s="39" t="str">
        <f aca="false">A1748&amp;"|"&amp;B1748&amp;"|"&amp;D1748&amp;"|"&amp;E1748&amp;F1748</f>
        <v>home|McAlester|scenario 3 (dwelling $300,000, deductible 1%)|frame</v>
      </c>
      <c r="J1748" s="34" t="n">
        <f aca="false" t="array" ref="J1748:J1748">MEDIAN(IF($I$4:$I$1803=I1748,$H$4:$H$1803))</f>
        <v>4827</v>
      </c>
      <c r="K1748" s="59" t="n">
        <f aca="false">H1748/J1748</f>
        <v>1.53097161798218</v>
      </c>
    </row>
    <row r="1749" customFormat="false" ht="15" hidden="false" customHeight="false" outlineLevel="0" collapsed="false">
      <c r="A1749" s="39" t="s">
        <v>912</v>
      </c>
      <c r="B1749" s="39" t="s">
        <v>911</v>
      </c>
      <c r="C1749" s="39" t="s">
        <v>899</v>
      </c>
      <c r="D1749" s="39" t="s">
        <v>917</v>
      </c>
      <c r="E1749" s="39"/>
      <c r="F1749" s="39" t="s">
        <v>915</v>
      </c>
      <c r="G1749" s="60"/>
      <c r="H1749" s="58" t="n">
        <v>7243</v>
      </c>
      <c r="I1749" s="39" t="str">
        <f aca="false">A1749&amp;"|"&amp;B1749&amp;"|"&amp;D1749&amp;"|"&amp;E1749&amp;F1749</f>
        <v>home|McAlester|scenario 3 (dwelling $300,000, deductible 1%)|masonry</v>
      </c>
      <c r="J1749" s="34" t="n">
        <f aca="false" t="array" ref="J1749:J1749">MEDIAN(IF($I$4:$I$1803=I1749,$H$4:$H$1803))</f>
        <v>4539</v>
      </c>
      <c r="K1749" s="59" t="n">
        <f aca="false">H1749/J1749</f>
        <v>1.59572593082177</v>
      </c>
    </row>
    <row r="1750" customFormat="false" ht="15" hidden="false" customHeight="false" outlineLevel="0" collapsed="false">
      <c r="A1750" s="39" t="s">
        <v>912</v>
      </c>
      <c r="B1750" s="39" t="s">
        <v>911</v>
      </c>
      <c r="C1750" s="39" t="s">
        <v>899</v>
      </c>
      <c r="D1750" s="39" t="s">
        <v>918</v>
      </c>
      <c r="E1750" s="39"/>
      <c r="F1750" s="39" t="s">
        <v>133</v>
      </c>
      <c r="G1750" s="60"/>
      <c r="H1750" s="58" t="n">
        <v>8722</v>
      </c>
      <c r="I1750" s="39" t="str">
        <f aca="false">A1750&amp;"|"&amp;B1750&amp;"|"&amp;D1750&amp;"|"&amp;E1750&amp;F1750</f>
        <v>home|McAlester|scenario 4 (dwelling $400,000, deductible 1%)|frame</v>
      </c>
      <c r="J1750" s="34" t="n">
        <f aca="false" t="array" ref="J1750:J1750">MEDIAN(IF($I$4:$I$1803=I1750,$H$4:$H$1803))</f>
        <v>6199</v>
      </c>
      <c r="K1750" s="59" t="n">
        <f aca="false">H1750/J1750</f>
        <v>1.40700112921439</v>
      </c>
    </row>
    <row r="1751" customFormat="false" ht="15" hidden="false" customHeight="false" outlineLevel="0" collapsed="false">
      <c r="A1751" s="39" t="s">
        <v>912</v>
      </c>
      <c r="B1751" s="39" t="s">
        <v>911</v>
      </c>
      <c r="C1751" s="39" t="s">
        <v>899</v>
      </c>
      <c r="D1751" s="39" t="s">
        <v>918</v>
      </c>
      <c r="E1751" s="39"/>
      <c r="F1751" s="39" t="s">
        <v>915</v>
      </c>
      <c r="G1751" s="60"/>
      <c r="H1751" s="58" t="n">
        <v>8548</v>
      </c>
      <c r="I1751" s="39" t="str">
        <f aca="false">A1751&amp;"|"&amp;B1751&amp;"|"&amp;D1751&amp;"|"&amp;E1751&amp;F1751</f>
        <v>home|McAlester|scenario 4 (dwelling $400,000, deductible 1%)|masonry</v>
      </c>
      <c r="J1751" s="34" t="n">
        <f aca="false" t="array" ref="J1751:J1751">MEDIAN(IF($I$4:$I$1803=I1751,$H$4:$H$1803))</f>
        <v>5930</v>
      </c>
      <c r="K1751" s="59" t="n">
        <f aca="false">H1751/J1751</f>
        <v>1.44148397976391</v>
      </c>
    </row>
    <row r="1752" customFormat="false" ht="15" hidden="false" customHeight="false" outlineLevel="0" collapsed="false">
      <c r="A1752" s="39" t="s">
        <v>912</v>
      </c>
      <c r="B1752" s="39" t="s">
        <v>911</v>
      </c>
      <c r="C1752" s="39" t="s">
        <v>899</v>
      </c>
      <c r="D1752" s="39" t="s">
        <v>919</v>
      </c>
      <c r="E1752" s="39"/>
      <c r="F1752" s="39" t="s">
        <v>133</v>
      </c>
      <c r="G1752" s="60"/>
      <c r="H1752" s="58" t="n">
        <v>10005</v>
      </c>
      <c r="I1752" s="39" t="str">
        <f aca="false">A1752&amp;"|"&amp;B1752&amp;"|"&amp;D1752&amp;"|"&amp;E1752&amp;F1752</f>
        <v>home|McAlester|scenario 5 (dwelling $500,000, deductible 1%)|frame</v>
      </c>
      <c r="J1752" s="34" t="n">
        <f aca="false" t="array" ref="J1752:J1752">MEDIAN(IF($I$4:$I$1803=I1752,$H$4:$H$1803))</f>
        <v>7321.5</v>
      </c>
      <c r="K1752" s="59" t="n">
        <f aca="false">H1752/J1752</f>
        <v>1.36652325343167</v>
      </c>
    </row>
    <row r="1753" customFormat="false" ht="15" hidden="false" customHeight="false" outlineLevel="0" collapsed="false">
      <c r="A1753" s="39" t="s">
        <v>912</v>
      </c>
      <c r="B1753" s="39" t="s">
        <v>911</v>
      </c>
      <c r="C1753" s="39" t="s">
        <v>899</v>
      </c>
      <c r="D1753" s="39" t="s">
        <v>919</v>
      </c>
      <c r="E1753" s="39"/>
      <c r="F1753" s="39" t="s">
        <v>915</v>
      </c>
      <c r="G1753" s="60"/>
      <c r="H1753" s="58" t="n">
        <v>9806</v>
      </c>
      <c r="I1753" s="39" t="str">
        <f aca="false">A1753&amp;"|"&amp;B1753&amp;"|"&amp;D1753&amp;"|"&amp;E1753&amp;F1753</f>
        <v>home|McAlester|scenario 5 (dwelling $500,000, deductible 1%)|masonry</v>
      </c>
      <c r="J1753" s="34" t="n">
        <f aca="false" t="array" ref="J1753:J1753">MEDIAN(IF($I$4:$I$1803=I1753,$H$4:$H$1803))</f>
        <v>6962.5</v>
      </c>
      <c r="K1753" s="59" t="n">
        <f aca="false">H1753/J1753</f>
        <v>1.40840215439856</v>
      </c>
    </row>
    <row r="1754" customFormat="false" ht="15" hidden="false" customHeight="false" outlineLevel="0" collapsed="false">
      <c r="A1754" s="39" t="s">
        <v>912</v>
      </c>
      <c r="B1754" s="39" t="s">
        <v>911</v>
      </c>
      <c r="C1754" s="39" t="s">
        <v>900</v>
      </c>
      <c r="D1754" s="39" t="s">
        <v>914</v>
      </c>
      <c r="E1754" s="39"/>
      <c r="F1754" s="39" t="s">
        <v>133</v>
      </c>
      <c r="G1754" s="60"/>
      <c r="H1754" s="58" t="n">
        <v>1993</v>
      </c>
      <c r="I1754" s="39" t="str">
        <f aca="false">A1754&amp;"|"&amp;B1754&amp;"|"&amp;D1754&amp;"|"&amp;E1754&amp;F1754</f>
        <v>home|McAlester|scenario 1 (dwelling $100,000, deductible 1%)|frame</v>
      </c>
      <c r="J1754" s="34" t="n">
        <f aca="false" t="array" ref="J1754:J1754">MEDIAN(IF($I$4:$I$1803=I1754,$H$4:$H$1803))</f>
        <v>2453.5</v>
      </c>
      <c r="K1754" s="59" t="n">
        <f aca="false">H1754/J1754</f>
        <v>0.812308946403098</v>
      </c>
    </row>
    <row r="1755" customFormat="false" ht="15" hidden="false" customHeight="false" outlineLevel="0" collapsed="false">
      <c r="A1755" s="39" t="s">
        <v>912</v>
      </c>
      <c r="B1755" s="39" t="s">
        <v>911</v>
      </c>
      <c r="C1755" s="39" t="s">
        <v>900</v>
      </c>
      <c r="D1755" s="39" t="s">
        <v>914</v>
      </c>
      <c r="E1755" s="39"/>
      <c r="F1755" s="39" t="s">
        <v>915</v>
      </c>
      <c r="G1755" s="60"/>
      <c r="H1755" s="58" t="n">
        <v>1956</v>
      </c>
      <c r="I1755" s="39" t="str">
        <f aca="false">A1755&amp;"|"&amp;B1755&amp;"|"&amp;D1755&amp;"|"&amp;E1755&amp;F1755</f>
        <v>home|McAlester|scenario 1 (dwelling $100,000, deductible 1%)|masonry</v>
      </c>
      <c r="J1755" s="34" t="n">
        <f aca="false" t="array" ref="J1755:J1755">MEDIAN(IF($I$4:$I$1803=I1755,$H$4:$H$1803))</f>
        <v>2322.5</v>
      </c>
      <c r="K1755" s="59" t="n">
        <f aca="false">H1755/J1755</f>
        <v>0.842195909580194</v>
      </c>
    </row>
    <row r="1756" customFormat="false" ht="15" hidden="false" customHeight="false" outlineLevel="0" collapsed="false">
      <c r="A1756" s="39" t="s">
        <v>912</v>
      </c>
      <c r="B1756" s="39" t="s">
        <v>911</v>
      </c>
      <c r="C1756" s="39" t="s">
        <v>900</v>
      </c>
      <c r="D1756" s="39" t="s">
        <v>916</v>
      </c>
      <c r="E1756" s="39"/>
      <c r="F1756" s="39" t="s">
        <v>133</v>
      </c>
      <c r="G1756" s="60"/>
      <c r="H1756" s="58" t="n">
        <v>3440</v>
      </c>
      <c r="I1756" s="39" t="str">
        <f aca="false">A1756&amp;"|"&amp;B1756&amp;"|"&amp;D1756&amp;"|"&amp;E1756&amp;F1756</f>
        <v>home|McAlester|scenario 2 (dwelling $200,000, deductible 1%)|frame</v>
      </c>
      <c r="J1756" s="34" t="n">
        <f aca="false" t="array" ref="J1756:J1756">MEDIAN(IF($I$4:$I$1803=I1756,$H$4:$H$1803))</f>
        <v>3529</v>
      </c>
      <c r="K1756" s="59" t="n">
        <f aca="false">H1756/J1756</f>
        <v>0.974780391045622</v>
      </c>
    </row>
    <row r="1757" customFormat="false" ht="15" hidden="false" customHeight="false" outlineLevel="0" collapsed="false">
      <c r="A1757" s="39" t="s">
        <v>912</v>
      </c>
      <c r="B1757" s="39" t="s">
        <v>911</v>
      </c>
      <c r="C1757" s="39" t="s">
        <v>900</v>
      </c>
      <c r="D1757" s="39" t="s">
        <v>916</v>
      </c>
      <c r="E1757" s="39"/>
      <c r="F1757" s="39" t="s">
        <v>915</v>
      </c>
      <c r="G1757" s="60"/>
      <c r="H1757" s="58" t="n">
        <v>3375</v>
      </c>
      <c r="I1757" s="39" t="str">
        <f aca="false">A1757&amp;"|"&amp;B1757&amp;"|"&amp;D1757&amp;"|"&amp;E1757&amp;F1757</f>
        <v>home|McAlester|scenario 2 (dwelling $200,000, deductible 1%)|masonry</v>
      </c>
      <c r="J1757" s="34" t="n">
        <f aca="false" t="array" ref="J1757:J1757">MEDIAN(IF($I$4:$I$1803=I1757,$H$4:$H$1803))</f>
        <v>3379.5</v>
      </c>
      <c r="K1757" s="59" t="n">
        <f aca="false">H1757/J1757</f>
        <v>0.99866844207723</v>
      </c>
    </row>
    <row r="1758" customFormat="false" ht="15" hidden="false" customHeight="false" outlineLevel="0" collapsed="false">
      <c r="A1758" s="39" t="s">
        <v>912</v>
      </c>
      <c r="B1758" s="39" t="s">
        <v>911</v>
      </c>
      <c r="C1758" s="39" t="s">
        <v>900</v>
      </c>
      <c r="D1758" s="39" t="s">
        <v>917</v>
      </c>
      <c r="E1758" s="39"/>
      <c r="F1758" s="39" t="s">
        <v>133</v>
      </c>
      <c r="G1758" s="60"/>
      <c r="H1758" s="58" t="n">
        <v>4850</v>
      </c>
      <c r="I1758" s="39" t="str">
        <f aca="false">A1758&amp;"|"&amp;B1758&amp;"|"&amp;D1758&amp;"|"&amp;E1758&amp;F1758</f>
        <v>home|McAlester|scenario 3 (dwelling $300,000, deductible 1%)|frame</v>
      </c>
      <c r="J1758" s="34" t="n">
        <f aca="false" t="array" ref="J1758:J1758">MEDIAN(IF($I$4:$I$1803=I1758,$H$4:$H$1803))</f>
        <v>4827</v>
      </c>
      <c r="K1758" s="59" t="n">
        <f aca="false">H1758/J1758</f>
        <v>1.00476486430495</v>
      </c>
    </row>
    <row r="1759" customFormat="false" ht="15" hidden="false" customHeight="false" outlineLevel="0" collapsed="false">
      <c r="A1759" s="39" t="s">
        <v>912</v>
      </c>
      <c r="B1759" s="39" t="s">
        <v>911</v>
      </c>
      <c r="C1759" s="39" t="s">
        <v>900</v>
      </c>
      <c r="D1759" s="39" t="s">
        <v>917</v>
      </c>
      <c r="E1759" s="39"/>
      <c r="F1759" s="39" t="s">
        <v>915</v>
      </c>
      <c r="G1759" s="60"/>
      <c r="H1759" s="58" t="n">
        <v>4757</v>
      </c>
      <c r="I1759" s="39" t="str">
        <f aca="false">A1759&amp;"|"&amp;B1759&amp;"|"&amp;D1759&amp;"|"&amp;E1759&amp;F1759</f>
        <v>home|McAlester|scenario 3 (dwelling $300,000, deductible 1%)|masonry</v>
      </c>
      <c r="J1759" s="34" t="n">
        <f aca="false" t="array" ref="J1759:J1759">MEDIAN(IF($I$4:$I$1803=I1759,$H$4:$H$1803))</f>
        <v>4539</v>
      </c>
      <c r="K1759" s="59" t="n">
        <f aca="false">H1759/J1759</f>
        <v>1.04802820004406</v>
      </c>
    </row>
    <row r="1760" customFormat="false" ht="15" hidden="false" customHeight="false" outlineLevel="0" collapsed="false">
      <c r="A1760" s="39" t="s">
        <v>912</v>
      </c>
      <c r="B1760" s="39" t="s">
        <v>911</v>
      </c>
      <c r="C1760" s="39" t="s">
        <v>900</v>
      </c>
      <c r="D1760" s="39" t="s">
        <v>918</v>
      </c>
      <c r="E1760" s="39"/>
      <c r="F1760" s="39" t="s">
        <v>133</v>
      </c>
      <c r="G1760" s="60"/>
      <c r="H1760" s="58" t="n">
        <v>6373</v>
      </c>
      <c r="I1760" s="39" t="str">
        <f aca="false">A1760&amp;"|"&amp;B1760&amp;"|"&amp;D1760&amp;"|"&amp;E1760&amp;F1760</f>
        <v>home|McAlester|scenario 4 (dwelling $400,000, deductible 1%)|frame</v>
      </c>
      <c r="J1760" s="34" t="n">
        <f aca="false" t="array" ref="J1760:J1760">MEDIAN(IF($I$4:$I$1803=I1760,$H$4:$H$1803))</f>
        <v>6199</v>
      </c>
      <c r="K1760" s="59" t="n">
        <f aca="false">H1760/J1760</f>
        <v>1.0280690433941</v>
      </c>
    </row>
    <row r="1761" customFormat="false" ht="15" hidden="false" customHeight="false" outlineLevel="0" collapsed="false">
      <c r="A1761" s="39" t="s">
        <v>912</v>
      </c>
      <c r="B1761" s="39" t="s">
        <v>911</v>
      </c>
      <c r="C1761" s="39" t="s">
        <v>900</v>
      </c>
      <c r="D1761" s="39" t="s">
        <v>918</v>
      </c>
      <c r="E1761" s="39"/>
      <c r="F1761" s="39" t="s">
        <v>915</v>
      </c>
      <c r="G1761" s="60"/>
      <c r="H1761" s="58" t="n">
        <v>6250</v>
      </c>
      <c r="I1761" s="39" t="str">
        <f aca="false">A1761&amp;"|"&amp;B1761&amp;"|"&amp;D1761&amp;"|"&amp;E1761&amp;F1761</f>
        <v>home|McAlester|scenario 4 (dwelling $400,000, deductible 1%)|masonry</v>
      </c>
      <c r="J1761" s="34" t="n">
        <f aca="false" t="array" ref="J1761:J1761">MEDIAN(IF($I$4:$I$1803=I1761,$H$4:$H$1803))</f>
        <v>5930</v>
      </c>
      <c r="K1761" s="59" t="n">
        <f aca="false">H1761/J1761</f>
        <v>1.0539629005059</v>
      </c>
    </row>
    <row r="1762" customFormat="false" ht="15" hidden="false" customHeight="false" outlineLevel="0" collapsed="false">
      <c r="A1762" s="39" t="s">
        <v>912</v>
      </c>
      <c r="B1762" s="39" t="s">
        <v>911</v>
      </c>
      <c r="C1762" s="39" t="s">
        <v>900</v>
      </c>
      <c r="D1762" s="39" t="s">
        <v>919</v>
      </c>
      <c r="E1762" s="39"/>
      <c r="F1762" s="39" t="s">
        <v>133</v>
      </c>
      <c r="G1762" s="60"/>
      <c r="H1762" s="58" t="n">
        <v>7529</v>
      </c>
      <c r="I1762" s="39" t="str">
        <f aca="false">A1762&amp;"|"&amp;B1762&amp;"|"&amp;D1762&amp;"|"&amp;E1762&amp;F1762</f>
        <v>home|McAlester|scenario 5 (dwelling $500,000, deductible 1%)|frame</v>
      </c>
      <c r="J1762" s="34" t="n">
        <f aca="false" t="array" ref="J1762:J1762">MEDIAN(IF($I$4:$I$1803=I1762,$H$4:$H$1803))</f>
        <v>7321.5</v>
      </c>
      <c r="K1762" s="59" t="n">
        <f aca="false">H1762/J1762</f>
        <v>1.02834118691525</v>
      </c>
    </row>
    <row r="1763" customFormat="false" ht="15" hidden="false" customHeight="false" outlineLevel="0" collapsed="false">
      <c r="A1763" s="39" t="s">
        <v>912</v>
      </c>
      <c r="B1763" s="39" t="s">
        <v>911</v>
      </c>
      <c r="C1763" s="39" t="s">
        <v>900</v>
      </c>
      <c r="D1763" s="39" t="s">
        <v>919</v>
      </c>
      <c r="E1763" s="39"/>
      <c r="F1763" s="39" t="s">
        <v>915</v>
      </c>
      <c r="G1763" s="60"/>
      <c r="H1763" s="58" t="n">
        <v>7383</v>
      </c>
      <c r="I1763" s="39" t="str">
        <f aca="false">A1763&amp;"|"&amp;B1763&amp;"|"&amp;D1763&amp;"|"&amp;E1763&amp;F1763</f>
        <v>home|McAlester|scenario 5 (dwelling $500,000, deductible 1%)|masonry</v>
      </c>
      <c r="J1763" s="34" t="n">
        <f aca="false" t="array" ref="J1763:J1763">MEDIAN(IF($I$4:$I$1803=I1763,$H$4:$H$1803))</f>
        <v>6962.5</v>
      </c>
      <c r="K1763" s="59" t="n">
        <f aca="false">H1763/J1763</f>
        <v>1.06039497307002</v>
      </c>
    </row>
    <row r="1764" customFormat="false" ht="15" hidden="false" customHeight="false" outlineLevel="0" collapsed="false">
      <c r="A1764" s="39" t="s">
        <v>912</v>
      </c>
      <c r="B1764" s="39" t="s">
        <v>911</v>
      </c>
      <c r="C1764" s="39" t="s">
        <v>932</v>
      </c>
      <c r="D1764" s="39" t="s">
        <v>914</v>
      </c>
      <c r="E1764" s="39"/>
      <c r="F1764" s="39" t="s">
        <v>133</v>
      </c>
      <c r="G1764" s="60"/>
      <c r="H1764" s="58" t="n">
        <v>3059</v>
      </c>
      <c r="I1764" s="39" t="str">
        <f aca="false">A1764&amp;"|"&amp;B1764&amp;"|"&amp;D1764&amp;"|"&amp;E1764&amp;F1764</f>
        <v>home|McAlester|scenario 1 (dwelling $100,000, deductible 1%)|frame</v>
      </c>
      <c r="J1764" s="34" t="n">
        <f aca="false" t="array" ref="J1764:J1764">MEDIAN(IF($I$4:$I$1803=I1764,$H$4:$H$1803))</f>
        <v>2453.5</v>
      </c>
      <c r="K1764" s="59" t="n">
        <f aca="false">H1764/J1764</f>
        <v>1.24679029957204</v>
      </c>
    </row>
    <row r="1765" customFormat="false" ht="15" hidden="false" customHeight="false" outlineLevel="0" collapsed="false">
      <c r="A1765" s="39" t="s">
        <v>912</v>
      </c>
      <c r="B1765" s="39" t="s">
        <v>911</v>
      </c>
      <c r="C1765" s="39" t="s">
        <v>932</v>
      </c>
      <c r="D1765" s="39" t="s">
        <v>914</v>
      </c>
      <c r="E1765" s="39"/>
      <c r="F1765" s="39" t="s">
        <v>915</v>
      </c>
      <c r="G1765" s="60"/>
      <c r="H1765" s="58" t="n">
        <v>2716</v>
      </c>
      <c r="I1765" s="39" t="str">
        <f aca="false">A1765&amp;"|"&amp;B1765&amp;"|"&amp;D1765&amp;"|"&amp;E1765&amp;F1765</f>
        <v>home|McAlester|scenario 1 (dwelling $100,000, deductible 1%)|masonry</v>
      </c>
      <c r="J1765" s="34" t="n">
        <f aca="false" t="array" ref="J1765:J1765">MEDIAN(IF($I$4:$I$1803=I1765,$H$4:$H$1803))</f>
        <v>2322.5</v>
      </c>
      <c r="K1765" s="59" t="n">
        <f aca="false">H1765/J1765</f>
        <v>1.16942949407966</v>
      </c>
    </row>
    <row r="1766" customFormat="false" ht="15" hidden="false" customHeight="false" outlineLevel="0" collapsed="false">
      <c r="A1766" s="39" t="s">
        <v>912</v>
      </c>
      <c r="B1766" s="39" t="s">
        <v>911</v>
      </c>
      <c r="C1766" s="39" t="s">
        <v>932</v>
      </c>
      <c r="D1766" s="39" t="s">
        <v>916</v>
      </c>
      <c r="E1766" s="39"/>
      <c r="F1766" s="39" t="s">
        <v>133</v>
      </c>
      <c r="G1766" s="60"/>
      <c r="H1766" s="58" t="n">
        <v>4626</v>
      </c>
      <c r="I1766" s="39" t="str">
        <f aca="false">A1766&amp;"|"&amp;B1766&amp;"|"&amp;D1766&amp;"|"&amp;E1766&amp;F1766</f>
        <v>home|McAlester|scenario 2 (dwelling $200,000, deductible 1%)|frame</v>
      </c>
      <c r="J1766" s="34" t="n">
        <f aca="false" t="array" ref="J1766:J1766">MEDIAN(IF($I$4:$I$1803=I1766,$H$4:$H$1803))</f>
        <v>3529</v>
      </c>
      <c r="K1766" s="59" t="n">
        <f aca="false">H1766/J1766</f>
        <v>1.31085293284217</v>
      </c>
    </row>
    <row r="1767" customFormat="false" ht="15" hidden="false" customHeight="false" outlineLevel="0" collapsed="false">
      <c r="A1767" s="39" t="s">
        <v>912</v>
      </c>
      <c r="B1767" s="39" t="s">
        <v>911</v>
      </c>
      <c r="C1767" s="39" t="s">
        <v>932</v>
      </c>
      <c r="D1767" s="39" t="s">
        <v>916</v>
      </c>
      <c r="E1767" s="39"/>
      <c r="F1767" s="39" t="s">
        <v>915</v>
      </c>
      <c r="G1767" s="60"/>
      <c r="H1767" s="58" t="n">
        <v>4049</v>
      </c>
      <c r="I1767" s="39" t="str">
        <f aca="false">A1767&amp;"|"&amp;B1767&amp;"|"&amp;D1767&amp;"|"&amp;E1767&amp;F1767</f>
        <v>home|McAlester|scenario 2 (dwelling $200,000, deductible 1%)|masonry</v>
      </c>
      <c r="J1767" s="34" t="n">
        <f aca="false" t="array" ref="J1767:J1767">MEDIAN(IF($I$4:$I$1803=I1767,$H$4:$H$1803))</f>
        <v>3379.5</v>
      </c>
      <c r="K1767" s="59" t="n">
        <f aca="false">H1767/J1767</f>
        <v>1.19810622873206</v>
      </c>
    </row>
    <row r="1768" customFormat="false" ht="15" hidden="false" customHeight="false" outlineLevel="0" collapsed="false">
      <c r="A1768" s="39" t="s">
        <v>912</v>
      </c>
      <c r="B1768" s="39" t="s">
        <v>911</v>
      </c>
      <c r="C1768" s="39" t="s">
        <v>932</v>
      </c>
      <c r="D1768" s="39" t="s">
        <v>917</v>
      </c>
      <c r="E1768" s="39"/>
      <c r="F1768" s="39" t="s">
        <v>133</v>
      </c>
      <c r="G1768" s="60"/>
      <c r="H1768" s="58" t="n">
        <v>5753</v>
      </c>
      <c r="I1768" s="39" t="str">
        <f aca="false">A1768&amp;"|"&amp;B1768&amp;"|"&amp;D1768&amp;"|"&amp;E1768&amp;F1768</f>
        <v>home|McAlester|scenario 3 (dwelling $300,000, deductible 1%)|frame</v>
      </c>
      <c r="J1768" s="34" t="n">
        <f aca="false" t="array" ref="J1768:J1768">MEDIAN(IF($I$4:$I$1803=I1768,$H$4:$H$1803))</f>
        <v>4827</v>
      </c>
      <c r="K1768" s="59" t="n">
        <f aca="false">H1768/J1768</f>
        <v>1.19183758027761</v>
      </c>
    </row>
    <row r="1769" customFormat="false" ht="15" hidden="false" customHeight="false" outlineLevel="0" collapsed="false">
      <c r="A1769" s="39" t="s">
        <v>912</v>
      </c>
      <c r="B1769" s="39" t="s">
        <v>911</v>
      </c>
      <c r="C1769" s="39" t="s">
        <v>932</v>
      </c>
      <c r="D1769" s="39" t="s">
        <v>917</v>
      </c>
      <c r="E1769" s="39"/>
      <c r="F1769" s="39" t="s">
        <v>915</v>
      </c>
      <c r="G1769" s="60"/>
      <c r="H1769" s="58" t="n">
        <v>5010</v>
      </c>
      <c r="I1769" s="39" t="str">
        <f aca="false">A1769&amp;"|"&amp;B1769&amp;"|"&amp;D1769&amp;"|"&amp;E1769&amp;F1769</f>
        <v>home|McAlester|scenario 3 (dwelling $300,000, deductible 1%)|masonry</v>
      </c>
      <c r="J1769" s="34" t="n">
        <f aca="false" t="array" ref="J1769:J1769">MEDIAN(IF($I$4:$I$1803=I1769,$H$4:$H$1803))</f>
        <v>4539</v>
      </c>
      <c r="K1769" s="59" t="n">
        <f aca="false">H1769/J1769</f>
        <v>1.10376734963648</v>
      </c>
    </row>
    <row r="1770" customFormat="false" ht="15" hidden="false" customHeight="false" outlineLevel="0" collapsed="false">
      <c r="A1770" s="39" t="s">
        <v>912</v>
      </c>
      <c r="B1770" s="39" t="s">
        <v>911</v>
      </c>
      <c r="C1770" s="39" t="s">
        <v>932</v>
      </c>
      <c r="D1770" s="39" t="s">
        <v>918</v>
      </c>
      <c r="E1770" s="39"/>
      <c r="F1770" s="39" t="s">
        <v>133</v>
      </c>
      <c r="G1770" s="60"/>
      <c r="H1770" s="58" t="n">
        <v>6720</v>
      </c>
      <c r="I1770" s="39" t="str">
        <f aca="false">A1770&amp;"|"&amp;B1770&amp;"|"&amp;D1770&amp;"|"&amp;E1770&amp;F1770</f>
        <v>home|McAlester|scenario 4 (dwelling $400,000, deductible 1%)|frame</v>
      </c>
      <c r="J1770" s="34" t="n">
        <f aca="false" t="array" ref="J1770:J1770">MEDIAN(IF($I$4:$I$1803=I1770,$H$4:$H$1803))</f>
        <v>6199</v>
      </c>
      <c r="K1770" s="59" t="n">
        <f aca="false">H1770/J1770</f>
        <v>1.08404581384094</v>
      </c>
    </row>
    <row r="1771" customFormat="false" ht="15" hidden="false" customHeight="false" outlineLevel="0" collapsed="false">
      <c r="A1771" s="39" t="s">
        <v>912</v>
      </c>
      <c r="B1771" s="39" t="s">
        <v>911</v>
      </c>
      <c r="C1771" s="39" t="s">
        <v>932</v>
      </c>
      <c r="D1771" s="39" t="s">
        <v>918</v>
      </c>
      <c r="E1771" s="39"/>
      <c r="F1771" s="39" t="s">
        <v>915</v>
      </c>
      <c r="G1771" s="60"/>
      <c r="H1771" s="58" t="n">
        <v>5836</v>
      </c>
      <c r="I1771" s="39" t="str">
        <f aca="false">A1771&amp;"|"&amp;B1771&amp;"|"&amp;D1771&amp;"|"&amp;E1771&amp;F1771</f>
        <v>home|McAlester|scenario 4 (dwelling $400,000, deductible 1%)|masonry</v>
      </c>
      <c r="J1771" s="34" t="n">
        <f aca="false" t="array" ref="J1771:J1771">MEDIAN(IF($I$4:$I$1803=I1771,$H$4:$H$1803))</f>
        <v>5930</v>
      </c>
      <c r="K1771" s="59" t="n">
        <f aca="false">H1771/J1771</f>
        <v>0.984148397976391</v>
      </c>
    </row>
    <row r="1772" customFormat="false" ht="15" hidden="false" customHeight="false" outlineLevel="0" collapsed="false">
      <c r="A1772" s="39" t="s">
        <v>912</v>
      </c>
      <c r="B1772" s="39" t="s">
        <v>911</v>
      </c>
      <c r="C1772" s="39" t="s">
        <v>932</v>
      </c>
      <c r="D1772" s="39" t="s">
        <v>919</v>
      </c>
      <c r="E1772" s="39"/>
      <c r="F1772" s="39" t="s">
        <v>133</v>
      </c>
      <c r="G1772" s="60"/>
      <c r="H1772" s="58" t="n">
        <v>7549</v>
      </c>
      <c r="I1772" s="39" t="str">
        <f aca="false">A1772&amp;"|"&amp;B1772&amp;"|"&amp;D1772&amp;"|"&amp;E1772&amp;F1772</f>
        <v>home|McAlester|scenario 5 (dwelling $500,000, deductible 1%)|frame</v>
      </c>
      <c r="J1772" s="34" t="n">
        <f aca="false" t="array" ref="J1772:J1772">MEDIAN(IF($I$4:$I$1803=I1772,$H$4:$H$1803))</f>
        <v>7321.5</v>
      </c>
      <c r="K1772" s="59" t="n">
        <f aca="false">H1772/J1772</f>
        <v>1.03107286758178</v>
      </c>
    </row>
    <row r="1773" customFormat="false" ht="15" hidden="false" customHeight="false" outlineLevel="0" collapsed="false">
      <c r="A1773" s="39" t="s">
        <v>912</v>
      </c>
      <c r="B1773" s="39" t="s">
        <v>911</v>
      </c>
      <c r="C1773" s="39" t="s">
        <v>932</v>
      </c>
      <c r="D1773" s="39" t="s">
        <v>919</v>
      </c>
      <c r="E1773" s="39"/>
      <c r="F1773" s="39" t="s">
        <v>915</v>
      </c>
      <c r="G1773" s="60"/>
      <c r="H1773" s="58" t="n">
        <v>6542</v>
      </c>
      <c r="I1773" s="39" t="str">
        <f aca="false">A1773&amp;"|"&amp;B1773&amp;"|"&amp;D1773&amp;"|"&amp;E1773&amp;F1773</f>
        <v>home|McAlester|scenario 5 (dwelling $500,000, deductible 1%)|masonry</v>
      </c>
      <c r="J1773" s="34" t="n">
        <f aca="false" t="array" ref="J1773:J1773">MEDIAN(IF($I$4:$I$1803=I1773,$H$4:$H$1803))</f>
        <v>6962.5</v>
      </c>
      <c r="K1773" s="59" t="n">
        <f aca="false">H1773/J1773</f>
        <v>0.939605026929982</v>
      </c>
    </row>
    <row r="1774" customFormat="false" ht="15" hidden="false" customHeight="false" outlineLevel="0" collapsed="false">
      <c r="A1774" s="39" t="s">
        <v>912</v>
      </c>
      <c r="B1774" s="39" t="s">
        <v>911</v>
      </c>
      <c r="C1774" s="39" t="s">
        <v>933</v>
      </c>
      <c r="D1774" s="39" t="s">
        <v>914</v>
      </c>
      <c r="E1774" s="39"/>
      <c r="F1774" s="39" t="s">
        <v>133</v>
      </c>
      <c r="G1774" s="60"/>
      <c r="H1774" s="58" t="n">
        <v>3065</v>
      </c>
      <c r="I1774" s="39" t="str">
        <f aca="false">A1774&amp;"|"&amp;B1774&amp;"|"&amp;D1774&amp;"|"&amp;E1774&amp;F1774</f>
        <v>home|McAlester|scenario 1 (dwelling $100,000, deductible 1%)|frame</v>
      </c>
      <c r="J1774" s="34" t="n">
        <f aca="false" t="array" ref="J1774:J1774">MEDIAN(IF($I$4:$I$1803=I1774,$H$4:$H$1803))</f>
        <v>2453.5</v>
      </c>
      <c r="K1774" s="59" t="n">
        <f aca="false">H1774/J1774</f>
        <v>1.24923578561239</v>
      </c>
    </row>
    <row r="1775" customFormat="false" ht="15" hidden="false" customHeight="false" outlineLevel="0" collapsed="false">
      <c r="A1775" s="39" t="s">
        <v>912</v>
      </c>
      <c r="B1775" s="39" t="s">
        <v>911</v>
      </c>
      <c r="C1775" s="39" t="s">
        <v>933</v>
      </c>
      <c r="D1775" s="39" t="s">
        <v>914</v>
      </c>
      <c r="E1775" s="39"/>
      <c r="F1775" s="39" t="s">
        <v>915</v>
      </c>
      <c r="G1775" s="60"/>
      <c r="H1775" s="58" t="n">
        <v>3110</v>
      </c>
      <c r="I1775" s="39" t="str">
        <f aca="false">A1775&amp;"|"&amp;B1775&amp;"|"&amp;D1775&amp;"|"&amp;E1775&amp;F1775</f>
        <v>home|McAlester|scenario 1 (dwelling $100,000, deductible 1%)|masonry</v>
      </c>
      <c r="J1775" s="34" t="n">
        <f aca="false" t="array" ref="J1775:J1775">MEDIAN(IF($I$4:$I$1803=I1775,$H$4:$H$1803))</f>
        <v>2322.5</v>
      </c>
      <c r="K1775" s="59" t="n">
        <f aca="false">H1775/J1775</f>
        <v>1.33907427341227</v>
      </c>
    </row>
    <row r="1776" customFormat="false" ht="15" hidden="false" customHeight="false" outlineLevel="0" collapsed="false">
      <c r="A1776" s="39" t="s">
        <v>912</v>
      </c>
      <c r="B1776" s="39" t="s">
        <v>911</v>
      </c>
      <c r="C1776" s="39" t="s">
        <v>933</v>
      </c>
      <c r="D1776" s="39" t="s">
        <v>916</v>
      </c>
      <c r="E1776" s="39"/>
      <c r="F1776" s="39" t="s">
        <v>133</v>
      </c>
      <c r="G1776" s="60"/>
      <c r="H1776" s="58" t="n">
        <v>4520</v>
      </c>
      <c r="I1776" s="39" t="str">
        <f aca="false">A1776&amp;"|"&amp;B1776&amp;"|"&amp;D1776&amp;"|"&amp;E1776&amp;F1776</f>
        <v>home|McAlester|scenario 2 (dwelling $200,000, deductible 1%)|frame</v>
      </c>
      <c r="J1776" s="34" t="n">
        <f aca="false" t="array" ref="J1776:J1776">MEDIAN(IF($I$4:$I$1803=I1776,$H$4:$H$1803))</f>
        <v>3529</v>
      </c>
      <c r="K1776" s="59" t="n">
        <f aca="false">H1776/J1776</f>
        <v>1.28081609521111</v>
      </c>
    </row>
    <row r="1777" customFormat="false" ht="15" hidden="false" customHeight="false" outlineLevel="0" collapsed="false">
      <c r="A1777" s="39" t="s">
        <v>912</v>
      </c>
      <c r="B1777" s="39" t="s">
        <v>911</v>
      </c>
      <c r="C1777" s="39" t="s">
        <v>933</v>
      </c>
      <c r="D1777" s="39" t="s">
        <v>916</v>
      </c>
      <c r="E1777" s="39"/>
      <c r="F1777" s="39" t="s">
        <v>915</v>
      </c>
      <c r="G1777" s="60"/>
      <c r="H1777" s="58" t="n">
        <v>4571</v>
      </c>
      <c r="I1777" s="39" t="str">
        <f aca="false">A1777&amp;"|"&amp;B1777&amp;"|"&amp;D1777&amp;"|"&amp;E1777&amp;F1777</f>
        <v>home|McAlester|scenario 2 (dwelling $200,000, deductible 1%)|masonry</v>
      </c>
      <c r="J1777" s="34" t="n">
        <f aca="false" t="array" ref="J1777:J1777">MEDIAN(IF($I$4:$I$1803=I1777,$H$4:$H$1803))</f>
        <v>3379.5</v>
      </c>
      <c r="K1777" s="59" t="n">
        <f aca="false">H1777/J1777</f>
        <v>1.35256694777334</v>
      </c>
    </row>
    <row r="1778" customFormat="false" ht="15" hidden="false" customHeight="false" outlineLevel="0" collapsed="false">
      <c r="A1778" s="39" t="s">
        <v>912</v>
      </c>
      <c r="B1778" s="39" t="s">
        <v>911</v>
      </c>
      <c r="C1778" s="39" t="s">
        <v>933</v>
      </c>
      <c r="D1778" s="39" t="s">
        <v>917</v>
      </c>
      <c r="E1778" s="39"/>
      <c r="F1778" s="39" t="s">
        <v>133</v>
      </c>
      <c r="G1778" s="60"/>
      <c r="H1778" s="58" t="n">
        <v>5873</v>
      </c>
      <c r="I1778" s="39" t="str">
        <f aca="false">A1778&amp;"|"&amp;B1778&amp;"|"&amp;D1778&amp;"|"&amp;E1778&amp;F1778</f>
        <v>home|McAlester|scenario 3 (dwelling $300,000, deductible 1%)|frame</v>
      </c>
      <c r="J1778" s="34" t="n">
        <f aca="false" t="array" ref="J1778:J1778">MEDIAN(IF($I$4:$I$1803=I1778,$H$4:$H$1803))</f>
        <v>4827</v>
      </c>
      <c r="K1778" s="59" t="n">
        <f aca="false">H1778/J1778</f>
        <v>1.21669774186866</v>
      </c>
    </row>
    <row r="1779" customFormat="false" ht="15" hidden="false" customHeight="false" outlineLevel="0" collapsed="false">
      <c r="A1779" s="39" t="s">
        <v>912</v>
      </c>
      <c r="B1779" s="39" t="s">
        <v>911</v>
      </c>
      <c r="C1779" s="39" t="s">
        <v>933</v>
      </c>
      <c r="D1779" s="39" t="s">
        <v>917</v>
      </c>
      <c r="E1779" s="39"/>
      <c r="F1779" s="39" t="s">
        <v>915</v>
      </c>
      <c r="G1779" s="60"/>
      <c r="H1779" s="58" t="n">
        <v>5925</v>
      </c>
      <c r="I1779" s="39" t="str">
        <f aca="false">A1779&amp;"|"&amp;B1779&amp;"|"&amp;D1779&amp;"|"&amp;E1779&amp;F1779</f>
        <v>home|McAlester|scenario 3 (dwelling $300,000, deductible 1%)|masonry</v>
      </c>
      <c r="J1779" s="34" t="n">
        <f aca="false" t="array" ref="J1779:J1779">MEDIAN(IF($I$4:$I$1803=I1779,$H$4:$H$1803))</f>
        <v>4539</v>
      </c>
      <c r="K1779" s="59" t="n">
        <f aca="false">H1779/J1779</f>
        <v>1.305353602115</v>
      </c>
    </row>
    <row r="1780" customFormat="false" ht="15" hidden="false" customHeight="false" outlineLevel="0" collapsed="false">
      <c r="A1780" s="39" t="s">
        <v>912</v>
      </c>
      <c r="B1780" s="39" t="s">
        <v>911</v>
      </c>
      <c r="C1780" s="39" t="s">
        <v>933</v>
      </c>
      <c r="D1780" s="39" t="s">
        <v>918</v>
      </c>
      <c r="E1780" s="39"/>
      <c r="F1780" s="39" t="s">
        <v>133</v>
      </c>
      <c r="G1780" s="60"/>
      <c r="H1780" s="58" t="n">
        <v>7131</v>
      </c>
      <c r="I1780" s="39" t="str">
        <f aca="false">A1780&amp;"|"&amp;B1780&amp;"|"&amp;D1780&amp;"|"&amp;E1780&amp;F1780</f>
        <v>home|McAlester|scenario 4 (dwelling $400,000, deductible 1%)|frame</v>
      </c>
      <c r="J1780" s="34" t="n">
        <f aca="false" t="array" ref="J1780:J1780">MEDIAN(IF($I$4:$I$1803=I1780,$H$4:$H$1803))</f>
        <v>6199</v>
      </c>
      <c r="K1780" s="59" t="n">
        <f aca="false">H1780/J1780</f>
        <v>1.15034683013389</v>
      </c>
    </row>
    <row r="1781" customFormat="false" ht="15" hidden="false" customHeight="false" outlineLevel="0" collapsed="false">
      <c r="A1781" s="39" t="s">
        <v>912</v>
      </c>
      <c r="B1781" s="39" t="s">
        <v>911</v>
      </c>
      <c r="C1781" s="39" t="s">
        <v>933</v>
      </c>
      <c r="D1781" s="39" t="s">
        <v>918</v>
      </c>
      <c r="E1781" s="39"/>
      <c r="F1781" s="39" t="s">
        <v>915</v>
      </c>
      <c r="G1781" s="60"/>
      <c r="H1781" s="58" t="n">
        <v>7185</v>
      </c>
      <c r="I1781" s="39" t="str">
        <f aca="false">A1781&amp;"|"&amp;B1781&amp;"|"&amp;D1781&amp;"|"&amp;E1781&amp;F1781</f>
        <v>home|McAlester|scenario 4 (dwelling $400,000, deductible 1%)|masonry</v>
      </c>
      <c r="J1781" s="34" t="n">
        <f aca="false" t="array" ref="J1781:J1781">MEDIAN(IF($I$4:$I$1803=I1781,$H$4:$H$1803))</f>
        <v>5930</v>
      </c>
      <c r="K1781" s="59" t="n">
        <f aca="false">H1781/J1781</f>
        <v>1.21163575042159</v>
      </c>
    </row>
    <row r="1782" customFormat="false" ht="15" hidden="false" customHeight="false" outlineLevel="0" collapsed="false">
      <c r="A1782" s="39" t="s">
        <v>912</v>
      </c>
      <c r="B1782" s="39" t="s">
        <v>911</v>
      </c>
      <c r="C1782" s="39" t="s">
        <v>933</v>
      </c>
      <c r="D1782" s="39" t="s">
        <v>919</v>
      </c>
      <c r="E1782" s="39"/>
      <c r="F1782" s="39" t="s">
        <v>133</v>
      </c>
      <c r="G1782" s="60"/>
      <c r="H1782" s="58" t="n">
        <v>8209</v>
      </c>
      <c r="I1782" s="39" t="str">
        <f aca="false">A1782&amp;"|"&amp;B1782&amp;"|"&amp;D1782&amp;"|"&amp;E1782&amp;F1782</f>
        <v>home|McAlester|scenario 5 (dwelling $500,000, deductible 1%)|frame</v>
      </c>
      <c r="J1782" s="34" t="n">
        <f aca="false" t="array" ref="J1782:J1782">MEDIAN(IF($I$4:$I$1803=I1782,$H$4:$H$1803))</f>
        <v>7321.5</v>
      </c>
      <c r="K1782" s="59" t="n">
        <f aca="false">H1782/J1782</f>
        <v>1.12121832957727</v>
      </c>
    </row>
    <row r="1783" customFormat="false" ht="15" hidden="false" customHeight="false" outlineLevel="0" collapsed="false">
      <c r="A1783" s="39" t="s">
        <v>912</v>
      </c>
      <c r="B1783" s="39" t="s">
        <v>911</v>
      </c>
      <c r="C1783" s="39" t="s">
        <v>933</v>
      </c>
      <c r="D1783" s="39" t="s">
        <v>919</v>
      </c>
      <c r="E1783" s="39"/>
      <c r="F1783" s="39" t="s">
        <v>915</v>
      </c>
      <c r="G1783" s="60"/>
      <c r="H1783" s="58" t="n">
        <v>8264</v>
      </c>
      <c r="I1783" s="39" t="str">
        <f aca="false">A1783&amp;"|"&amp;B1783&amp;"|"&amp;D1783&amp;"|"&amp;E1783&amp;F1783</f>
        <v>home|McAlester|scenario 5 (dwelling $500,000, deductible 1%)|masonry</v>
      </c>
      <c r="J1783" s="34" t="n">
        <f aca="false" t="array" ref="J1783:J1783">MEDIAN(IF($I$4:$I$1803=I1783,$H$4:$H$1803))</f>
        <v>6962.5</v>
      </c>
      <c r="K1783" s="59" t="n">
        <f aca="false">H1783/J1783</f>
        <v>1.18692998204668</v>
      </c>
    </row>
    <row r="1784" customFormat="false" ht="15" hidden="false" customHeight="false" outlineLevel="0" collapsed="false">
      <c r="A1784" s="39" t="s">
        <v>912</v>
      </c>
      <c r="B1784" s="39" t="s">
        <v>911</v>
      </c>
      <c r="C1784" s="39" t="s">
        <v>934</v>
      </c>
      <c r="D1784" s="39" t="s">
        <v>914</v>
      </c>
      <c r="E1784" s="39"/>
      <c r="F1784" s="39" t="s">
        <v>133</v>
      </c>
      <c r="G1784" s="60"/>
      <c r="H1784" s="58" t="n">
        <v>2927</v>
      </c>
      <c r="I1784" s="39" t="str">
        <f aca="false">A1784&amp;"|"&amp;B1784&amp;"|"&amp;D1784&amp;"|"&amp;E1784&amp;F1784</f>
        <v>home|McAlester|scenario 1 (dwelling $100,000, deductible 1%)|frame</v>
      </c>
      <c r="J1784" s="34" t="n">
        <f aca="false" t="array" ref="J1784:J1784">MEDIAN(IF($I$4:$I$1803=I1784,$H$4:$H$1803))</f>
        <v>2453.5</v>
      </c>
      <c r="K1784" s="59" t="n">
        <f aca="false">H1784/J1784</f>
        <v>1.19298960668433</v>
      </c>
    </row>
    <row r="1785" customFormat="false" ht="15" hidden="false" customHeight="false" outlineLevel="0" collapsed="false">
      <c r="A1785" s="39" t="s">
        <v>912</v>
      </c>
      <c r="B1785" s="39" t="s">
        <v>911</v>
      </c>
      <c r="C1785" s="39" t="s">
        <v>934</v>
      </c>
      <c r="D1785" s="39" t="s">
        <v>914</v>
      </c>
      <c r="E1785" s="39"/>
      <c r="F1785" s="39" t="s">
        <v>915</v>
      </c>
      <c r="G1785" s="60"/>
      <c r="H1785" s="58" t="n">
        <v>2970</v>
      </c>
      <c r="I1785" s="39" t="str">
        <f aca="false">A1785&amp;"|"&amp;B1785&amp;"|"&amp;D1785&amp;"|"&amp;E1785&amp;F1785</f>
        <v>home|McAlester|scenario 1 (dwelling $100,000, deductible 1%)|masonry</v>
      </c>
      <c r="J1785" s="34" t="n">
        <f aca="false" t="array" ref="J1785:J1785">MEDIAN(IF($I$4:$I$1803=I1785,$H$4:$H$1803))</f>
        <v>2322.5</v>
      </c>
      <c r="K1785" s="59" t="n">
        <f aca="false">H1785/J1785</f>
        <v>1.27879440258342</v>
      </c>
    </row>
    <row r="1786" customFormat="false" ht="15" hidden="false" customHeight="false" outlineLevel="0" collapsed="false">
      <c r="A1786" s="39" t="s">
        <v>912</v>
      </c>
      <c r="B1786" s="39" t="s">
        <v>911</v>
      </c>
      <c r="C1786" s="39" t="s">
        <v>934</v>
      </c>
      <c r="D1786" s="39" t="s">
        <v>916</v>
      </c>
      <c r="E1786" s="39"/>
      <c r="F1786" s="39" t="s">
        <v>133</v>
      </c>
      <c r="G1786" s="60"/>
      <c r="H1786" s="58" t="n">
        <v>4336</v>
      </c>
      <c r="I1786" s="39" t="str">
        <f aca="false">A1786&amp;"|"&amp;B1786&amp;"|"&amp;D1786&amp;"|"&amp;E1786&amp;F1786</f>
        <v>home|McAlester|scenario 2 (dwelling $200,000, deductible 1%)|frame</v>
      </c>
      <c r="J1786" s="34" t="n">
        <f aca="false" t="array" ref="J1786:J1786">MEDIAN(IF($I$4:$I$1803=I1786,$H$4:$H$1803))</f>
        <v>3529</v>
      </c>
      <c r="K1786" s="59" t="n">
        <f aca="false">H1786/J1786</f>
        <v>1.22867667894588</v>
      </c>
    </row>
    <row r="1787" customFormat="false" ht="15" hidden="false" customHeight="false" outlineLevel="0" collapsed="false">
      <c r="A1787" s="39" t="s">
        <v>912</v>
      </c>
      <c r="B1787" s="39" t="s">
        <v>911</v>
      </c>
      <c r="C1787" s="39" t="s">
        <v>934</v>
      </c>
      <c r="D1787" s="39" t="s">
        <v>916</v>
      </c>
      <c r="E1787" s="39"/>
      <c r="F1787" s="39" t="s">
        <v>915</v>
      </c>
      <c r="G1787" s="60"/>
      <c r="H1787" s="58" t="n">
        <v>4385</v>
      </c>
      <c r="I1787" s="39" t="str">
        <f aca="false">A1787&amp;"|"&amp;B1787&amp;"|"&amp;D1787&amp;"|"&amp;E1787&amp;F1787</f>
        <v>home|McAlester|scenario 2 (dwelling $200,000, deductible 1%)|masonry</v>
      </c>
      <c r="J1787" s="34" t="n">
        <f aca="false" t="array" ref="J1787:J1787">MEDIAN(IF($I$4:$I$1803=I1787,$H$4:$H$1803))</f>
        <v>3379.5</v>
      </c>
      <c r="K1787" s="59" t="n">
        <f aca="false">H1787/J1787</f>
        <v>1.29752922029886</v>
      </c>
    </row>
    <row r="1788" customFormat="false" ht="15" hidden="false" customHeight="false" outlineLevel="0" collapsed="false">
      <c r="A1788" s="39" t="s">
        <v>912</v>
      </c>
      <c r="B1788" s="39" t="s">
        <v>911</v>
      </c>
      <c r="C1788" s="39" t="s">
        <v>934</v>
      </c>
      <c r="D1788" s="39" t="s">
        <v>917</v>
      </c>
      <c r="E1788" s="39"/>
      <c r="F1788" s="39" t="s">
        <v>133</v>
      </c>
      <c r="G1788" s="60"/>
      <c r="H1788" s="58" t="n">
        <v>5648</v>
      </c>
      <c r="I1788" s="39" t="str">
        <f aca="false">A1788&amp;"|"&amp;B1788&amp;"|"&amp;D1788&amp;"|"&amp;E1788&amp;F1788</f>
        <v>home|McAlester|scenario 3 (dwelling $300,000, deductible 1%)|frame</v>
      </c>
      <c r="J1788" s="34" t="n">
        <f aca="false" t="array" ref="J1788:J1788">MEDIAN(IF($I$4:$I$1803=I1788,$H$4:$H$1803))</f>
        <v>4827</v>
      </c>
      <c r="K1788" s="59" t="n">
        <f aca="false">H1788/J1788</f>
        <v>1.17008493888544</v>
      </c>
    </row>
    <row r="1789" customFormat="false" ht="15" hidden="false" customHeight="false" outlineLevel="0" collapsed="false">
      <c r="A1789" s="39" t="s">
        <v>912</v>
      </c>
      <c r="B1789" s="39" t="s">
        <v>911</v>
      </c>
      <c r="C1789" s="39" t="s">
        <v>934</v>
      </c>
      <c r="D1789" s="39" t="s">
        <v>917</v>
      </c>
      <c r="E1789" s="39"/>
      <c r="F1789" s="39" t="s">
        <v>915</v>
      </c>
      <c r="G1789" s="60"/>
      <c r="H1789" s="58" t="n">
        <v>5702</v>
      </c>
      <c r="I1789" s="39" t="str">
        <f aca="false">A1789&amp;"|"&amp;B1789&amp;"|"&amp;D1789&amp;"|"&amp;E1789&amp;F1789</f>
        <v>home|McAlester|scenario 3 (dwelling $300,000, deductible 1%)|masonry</v>
      </c>
      <c r="J1789" s="34" t="n">
        <f aca="false" t="array" ref="J1789:J1789">MEDIAN(IF($I$4:$I$1803=I1789,$H$4:$H$1803))</f>
        <v>4539</v>
      </c>
      <c r="K1789" s="59" t="n">
        <f aca="false">H1789/J1789</f>
        <v>1.25622383784975</v>
      </c>
    </row>
    <row r="1790" customFormat="false" ht="15" hidden="false" customHeight="false" outlineLevel="0" collapsed="false">
      <c r="A1790" s="39" t="s">
        <v>912</v>
      </c>
      <c r="B1790" s="39" t="s">
        <v>911</v>
      </c>
      <c r="C1790" s="39" t="s">
        <v>934</v>
      </c>
      <c r="D1790" s="39" t="s">
        <v>918</v>
      </c>
      <c r="E1790" s="39"/>
      <c r="F1790" s="39" t="s">
        <v>133</v>
      </c>
      <c r="G1790" s="60"/>
      <c r="H1790" s="58" t="n">
        <v>6871</v>
      </c>
      <c r="I1790" s="39" t="str">
        <f aca="false">A1790&amp;"|"&amp;B1790&amp;"|"&amp;D1790&amp;"|"&amp;E1790&amp;F1790</f>
        <v>home|McAlester|scenario 4 (dwelling $400,000, deductible 1%)|frame</v>
      </c>
      <c r="J1790" s="34" t="n">
        <f aca="false" t="array" ref="J1790:J1790">MEDIAN(IF($I$4:$I$1803=I1790,$H$4:$H$1803))</f>
        <v>6199</v>
      </c>
      <c r="K1790" s="59" t="n">
        <f aca="false">H1790/J1790</f>
        <v>1.10840458138409</v>
      </c>
    </row>
    <row r="1791" customFormat="false" ht="15" hidden="false" customHeight="false" outlineLevel="0" collapsed="false">
      <c r="A1791" s="39" t="s">
        <v>912</v>
      </c>
      <c r="B1791" s="39" t="s">
        <v>911</v>
      </c>
      <c r="C1791" s="39" t="s">
        <v>934</v>
      </c>
      <c r="D1791" s="39" t="s">
        <v>918</v>
      </c>
      <c r="E1791" s="39"/>
      <c r="F1791" s="39" t="s">
        <v>915</v>
      </c>
      <c r="G1791" s="60"/>
      <c r="H1791" s="58" t="n">
        <v>6927</v>
      </c>
      <c r="I1791" s="39" t="str">
        <f aca="false">A1791&amp;"|"&amp;B1791&amp;"|"&amp;D1791&amp;"|"&amp;E1791&amp;F1791</f>
        <v>home|McAlester|scenario 4 (dwelling $400,000, deductible 1%)|masonry</v>
      </c>
      <c r="J1791" s="34" t="n">
        <f aca="false" t="array" ref="J1791:J1791">MEDIAN(IF($I$4:$I$1803=I1791,$H$4:$H$1803))</f>
        <v>5930</v>
      </c>
      <c r="K1791" s="59" t="n">
        <f aca="false">H1791/J1791</f>
        <v>1.1681281618887</v>
      </c>
    </row>
    <row r="1792" customFormat="false" ht="15" hidden="false" customHeight="false" outlineLevel="0" collapsed="false">
      <c r="A1792" s="39" t="s">
        <v>912</v>
      </c>
      <c r="B1792" s="39" t="s">
        <v>911</v>
      </c>
      <c r="C1792" s="39" t="s">
        <v>934</v>
      </c>
      <c r="D1792" s="39" t="s">
        <v>919</v>
      </c>
      <c r="E1792" s="39"/>
      <c r="F1792" s="39" t="s">
        <v>133</v>
      </c>
      <c r="G1792" s="60"/>
      <c r="H1792" s="58" t="n">
        <v>7920</v>
      </c>
      <c r="I1792" s="39" t="str">
        <f aca="false">A1792&amp;"|"&amp;B1792&amp;"|"&amp;D1792&amp;"|"&amp;E1792&amp;F1792</f>
        <v>home|McAlester|scenario 5 (dwelling $500,000, deductible 1%)|frame</v>
      </c>
      <c r="J1792" s="34" t="n">
        <f aca="false" t="array" ref="J1792:J1792">MEDIAN(IF($I$4:$I$1803=I1792,$H$4:$H$1803))</f>
        <v>7321.5</v>
      </c>
      <c r="K1792" s="59" t="n">
        <f aca="false">H1792/J1792</f>
        <v>1.08174554394591</v>
      </c>
    </row>
    <row r="1793" customFormat="false" ht="15" hidden="false" customHeight="false" outlineLevel="0" collapsed="false">
      <c r="A1793" s="39" t="s">
        <v>912</v>
      </c>
      <c r="B1793" s="39" t="s">
        <v>911</v>
      </c>
      <c r="C1793" s="39" t="s">
        <v>934</v>
      </c>
      <c r="D1793" s="39" t="s">
        <v>919</v>
      </c>
      <c r="E1793" s="39"/>
      <c r="F1793" s="39" t="s">
        <v>915</v>
      </c>
      <c r="G1793" s="60"/>
      <c r="H1793" s="58" t="n">
        <v>7978</v>
      </c>
      <c r="I1793" s="39" t="str">
        <f aca="false">A1793&amp;"|"&amp;B1793&amp;"|"&amp;D1793&amp;"|"&amp;E1793&amp;F1793</f>
        <v>home|McAlester|scenario 5 (dwelling $500,000, deductible 1%)|masonry</v>
      </c>
      <c r="J1793" s="34" t="n">
        <f aca="false" t="array" ref="J1793:J1793">MEDIAN(IF($I$4:$I$1803=I1793,$H$4:$H$1803))</f>
        <v>6962.5</v>
      </c>
      <c r="K1793" s="59" t="n">
        <f aca="false">H1793/J1793</f>
        <v>1.14585278276481</v>
      </c>
    </row>
    <row r="1794" customFormat="false" ht="15" hidden="false" customHeight="false" outlineLevel="0" collapsed="false">
      <c r="A1794" s="39" t="s">
        <v>912</v>
      </c>
      <c r="B1794" s="39" t="s">
        <v>911</v>
      </c>
      <c r="C1794" s="39" t="s">
        <v>907</v>
      </c>
      <c r="D1794" s="39" t="s">
        <v>914</v>
      </c>
      <c r="E1794" s="39"/>
      <c r="F1794" s="39" t="s">
        <v>133</v>
      </c>
      <c r="G1794" s="60"/>
      <c r="H1794" s="58" t="n">
        <v>3198</v>
      </c>
      <c r="I1794" s="39" t="str">
        <f aca="false">A1794&amp;"|"&amp;B1794&amp;"|"&amp;D1794&amp;"|"&amp;E1794&amp;F1794</f>
        <v>home|McAlester|scenario 1 (dwelling $100,000, deductible 1%)|frame</v>
      </c>
      <c r="J1794" s="34" t="n">
        <f aca="false" t="array" ref="J1794:J1794">MEDIAN(IF($I$4:$I$1803=I1794,$H$4:$H$1803))</f>
        <v>2453.5</v>
      </c>
      <c r="K1794" s="59" t="n">
        <f aca="false">H1794/J1794</f>
        <v>1.30344405950683</v>
      </c>
    </row>
    <row r="1795" customFormat="false" ht="15" hidden="false" customHeight="false" outlineLevel="0" collapsed="false">
      <c r="A1795" s="39" t="s">
        <v>912</v>
      </c>
      <c r="B1795" s="39" t="s">
        <v>911</v>
      </c>
      <c r="C1795" s="39" t="s">
        <v>907</v>
      </c>
      <c r="D1795" s="39" t="s">
        <v>914</v>
      </c>
      <c r="E1795" s="39"/>
      <c r="F1795" s="39" t="s">
        <v>915</v>
      </c>
      <c r="G1795" s="60"/>
      <c r="H1795" s="58" t="n">
        <v>3246</v>
      </c>
      <c r="I1795" s="39" t="str">
        <f aca="false">A1795&amp;"|"&amp;B1795&amp;"|"&amp;D1795&amp;"|"&amp;E1795&amp;F1795</f>
        <v>home|McAlester|scenario 1 (dwelling $100,000, deductible 1%)|masonry</v>
      </c>
      <c r="J1795" s="34" t="n">
        <f aca="false" t="array" ref="J1795:J1795">MEDIAN(IF($I$4:$I$1803=I1795,$H$4:$H$1803))</f>
        <v>2322.5</v>
      </c>
      <c r="K1795" s="59" t="n">
        <f aca="false">H1795/J1795</f>
        <v>1.39763186221744</v>
      </c>
    </row>
    <row r="1796" customFormat="false" ht="15" hidden="false" customHeight="false" outlineLevel="0" collapsed="false">
      <c r="A1796" s="39" t="s">
        <v>912</v>
      </c>
      <c r="B1796" s="39" t="s">
        <v>911</v>
      </c>
      <c r="C1796" s="39" t="s">
        <v>907</v>
      </c>
      <c r="D1796" s="39" t="s">
        <v>916</v>
      </c>
      <c r="E1796" s="39"/>
      <c r="F1796" s="39" t="s">
        <v>133</v>
      </c>
      <c r="G1796" s="60"/>
      <c r="H1796" s="58" t="n">
        <v>4748</v>
      </c>
      <c r="I1796" s="39" t="str">
        <f aca="false">A1796&amp;"|"&amp;B1796&amp;"|"&amp;D1796&amp;"|"&amp;E1796&amp;F1796</f>
        <v>home|McAlester|scenario 2 (dwelling $200,000, deductible 1%)|frame</v>
      </c>
      <c r="J1796" s="34" t="n">
        <f aca="false" t="array" ref="J1796:J1796">MEDIAN(IF($I$4:$I$1803=I1796,$H$4:$H$1803))</f>
        <v>3529</v>
      </c>
      <c r="K1796" s="59" t="n">
        <f aca="false">H1796/J1796</f>
        <v>1.34542363275716</v>
      </c>
    </row>
    <row r="1797" customFormat="false" ht="15" hidden="false" customHeight="false" outlineLevel="0" collapsed="false">
      <c r="A1797" s="39" t="s">
        <v>912</v>
      </c>
      <c r="B1797" s="39" t="s">
        <v>911</v>
      </c>
      <c r="C1797" s="39" t="s">
        <v>907</v>
      </c>
      <c r="D1797" s="39" t="s">
        <v>916</v>
      </c>
      <c r="E1797" s="39"/>
      <c r="F1797" s="39" t="s">
        <v>915</v>
      </c>
      <c r="G1797" s="60"/>
      <c r="H1797" s="58" t="n">
        <v>4808</v>
      </c>
      <c r="I1797" s="39" t="str">
        <f aca="false">A1797&amp;"|"&amp;B1797&amp;"|"&amp;D1797&amp;"|"&amp;E1797&amp;F1797</f>
        <v>home|McAlester|scenario 2 (dwelling $200,000, deductible 1%)|masonry</v>
      </c>
      <c r="J1797" s="34" t="n">
        <f aca="false" t="array" ref="J1797:J1797">MEDIAN(IF($I$4:$I$1803=I1797,$H$4:$H$1803))</f>
        <v>3379.5</v>
      </c>
      <c r="K1797" s="59" t="n">
        <f aca="false">H1797/J1797</f>
        <v>1.42269566503921</v>
      </c>
    </row>
    <row r="1798" customFormat="false" ht="15" hidden="false" customHeight="false" outlineLevel="0" collapsed="false">
      <c r="A1798" s="39" t="s">
        <v>912</v>
      </c>
      <c r="B1798" s="39" t="s">
        <v>911</v>
      </c>
      <c r="C1798" s="39" t="s">
        <v>907</v>
      </c>
      <c r="D1798" s="39" t="s">
        <v>917</v>
      </c>
      <c r="E1798" s="39"/>
      <c r="F1798" s="39" t="s">
        <v>133</v>
      </c>
      <c r="G1798" s="60"/>
      <c r="H1798" s="58" t="n">
        <v>6198</v>
      </c>
      <c r="I1798" s="39" t="str">
        <f aca="false">A1798&amp;"|"&amp;B1798&amp;"|"&amp;D1798&amp;"|"&amp;E1798&amp;F1798</f>
        <v>home|McAlester|scenario 3 (dwelling $300,000, deductible 1%)|frame</v>
      </c>
      <c r="J1798" s="34" t="n">
        <f aca="false" t="array" ref="J1798:J1798">MEDIAN(IF($I$4:$I$1803=I1798,$H$4:$H$1803))</f>
        <v>4827</v>
      </c>
      <c r="K1798" s="59" t="n">
        <f aca="false">H1798/J1798</f>
        <v>1.28402734617775</v>
      </c>
    </row>
    <row r="1799" customFormat="false" ht="15" hidden="false" customHeight="false" outlineLevel="0" collapsed="false">
      <c r="A1799" s="39" t="s">
        <v>912</v>
      </c>
      <c r="B1799" s="39" t="s">
        <v>911</v>
      </c>
      <c r="C1799" s="39" t="s">
        <v>907</v>
      </c>
      <c r="D1799" s="39" t="s">
        <v>917</v>
      </c>
      <c r="E1799" s="39"/>
      <c r="F1799" s="39" t="s">
        <v>915</v>
      </c>
      <c r="G1799" s="60"/>
      <c r="H1799" s="58" t="n">
        <v>6266</v>
      </c>
      <c r="I1799" s="39" t="str">
        <f aca="false">A1799&amp;"|"&amp;B1799&amp;"|"&amp;D1799&amp;"|"&amp;E1799&amp;F1799</f>
        <v>home|McAlester|scenario 3 (dwelling $300,000, deductible 1%)|masonry</v>
      </c>
      <c r="J1799" s="34" t="n">
        <f aca="false" t="array" ref="J1799:J1799">MEDIAN(IF($I$4:$I$1803=I1799,$H$4:$H$1803))</f>
        <v>4539</v>
      </c>
      <c r="K1799" s="59" t="n">
        <f aca="false">H1799/J1799</f>
        <v>1.38048028200044</v>
      </c>
    </row>
    <row r="1800" customFormat="false" ht="15" hidden="false" customHeight="false" outlineLevel="0" collapsed="false">
      <c r="A1800" s="39" t="s">
        <v>912</v>
      </c>
      <c r="B1800" s="39" t="s">
        <v>911</v>
      </c>
      <c r="C1800" s="39" t="s">
        <v>907</v>
      </c>
      <c r="D1800" s="39" t="s">
        <v>918</v>
      </c>
      <c r="E1800" s="39"/>
      <c r="F1800" s="39" t="s">
        <v>133</v>
      </c>
      <c r="G1800" s="60"/>
      <c r="H1800" s="58" t="n">
        <v>7546</v>
      </c>
      <c r="I1800" s="39" t="str">
        <f aca="false">A1800&amp;"|"&amp;B1800&amp;"|"&amp;D1800&amp;"|"&amp;E1800&amp;F1800</f>
        <v>home|McAlester|scenario 4 (dwelling $400,000, deductible 1%)|frame</v>
      </c>
      <c r="J1800" s="34" t="n">
        <f aca="false" t="array" ref="J1800:J1800">MEDIAN(IF($I$4:$I$1803=I1800,$H$4:$H$1803))</f>
        <v>6199</v>
      </c>
      <c r="K1800" s="59" t="n">
        <f aca="false">H1800/J1800</f>
        <v>1.21729311179222</v>
      </c>
    </row>
    <row r="1801" customFormat="false" ht="15" hidden="false" customHeight="false" outlineLevel="0" collapsed="false">
      <c r="A1801" s="39" t="s">
        <v>912</v>
      </c>
      <c r="B1801" s="39" t="s">
        <v>911</v>
      </c>
      <c r="C1801" s="39" t="s">
        <v>907</v>
      </c>
      <c r="D1801" s="39" t="s">
        <v>918</v>
      </c>
      <c r="E1801" s="39"/>
      <c r="F1801" s="39" t="s">
        <v>915</v>
      </c>
      <c r="G1801" s="60"/>
      <c r="H1801" s="58" t="n">
        <v>7622</v>
      </c>
      <c r="I1801" s="39" t="str">
        <f aca="false">A1801&amp;"|"&amp;B1801&amp;"|"&amp;D1801&amp;"|"&amp;E1801&amp;F1801</f>
        <v>home|McAlester|scenario 4 (dwelling $400,000, deductible 1%)|masonry</v>
      </c>
      <c r="J1801" s="34" t="n">
        <f aca="false" t="array" ref="J1801:J1801">MEDIAN(IF($I$4:$I$1803=I1801,$H$4:$H$1803))</f>
        <v>5930</v>
      </c>
      <c r="K1801" s="59" t="n">
        <f aca="false">H1801/J1801</f>
        <v>1.28532883642496</v>
      </c>
    </row>
    <row r="1802" customFormat="false" ht="15" hidden="false" customHeight="false" outlineLevel="0" collapsed="false">
      <c r="A1802" s="39" t="s">
        <v>912</v>
      </c>
      <c r="B1802" s="39" t="s">
        <v>911</v>
      </c>
      <c r="C1802" s="39" t="s">
        <v>907</v>
      </c>
      <c r="D1802" s="39" t="s">
        <v>919</v>
      </c>
      <c r="E1802" s="39"/>
      <c r="F1802" s="39" t="s">
        <v>133</v>
      </c>
      <c r="G1802" s="60"/>
      <c r="H1802" s="58" t="n">
        <v>8694</v>
      </c>
      <c r="I1802" s="39" t="str">
        <f aca="false">A1802&amp;"|"&amp;B1802&amp;"|"&amp;D1802&amp;"|"&amp;E1802&amp;F1802</f>
        <v>home|McAlester|scenario 5 (dwelling $500,000, deductible 1%)|frame</v>
      </c>
      <c r="J1802" s="34" t="n">
        <f aca="false" t="array" ref="J1802:J1802">MEDIAN(IF($I$4:$I$1803=I1802,$H$4:$H$1803))</f>
        <v>7321.5</v>
      </c>
      <c r="K1802" s="59" t="n">
        <f aca="false">H1802/J1802</f>
        <v>1.18746158574063</v>
      </c>
    </row>
    <row r="1803" customFormat="false" ht="15" hidden="false" customHeight="false" outlineLevel="0" collapsed="false">
      <c r="A1803" s="39" t="s">
        <v>912</v>
      </c>
      <c r="B1803" s="39" t="s">
        <v>911</v>
      </c>
      <c r="C1803" s="39" t="s">
        <v>907</v>
      </c>
      <c r="D1803" s="39" t="s">
        <v>919</v>
      </c>
      <c r="E1803" s="39"/>
      <c r="F1803" s="39" t="s">
        <v>915</v>
      </c>
      <c r="G1803" s="60"/>
      <c r="H1803" s="58" t="n">
        <v>8776</v>
      </c>
      <c r="I1803" s="39" t="str">
        <f aca="false">A1803&amp;"|"&amp;B1803&amp;"|"&amp;D1803&amp;"|"&amp;E1803&amp;F1803</f>
        <v>home|McAlester|scenario 5 (dwelling $500,000, deductible 1%)|masonry</v>
      </c>
      <c r="J1803" s="34" t="n">
        <f aca="false" t="array" ref="J1803:J1803">MEDIAN(IF($I$4:$I$1803=I1803,$H$4:$H$1803))</f>
        <v>6962.5</v>
      </c>
      <c r="K1803" s="59" t="n">
        <f aca="false">H1803/J1803</f>
        <v>1.26046678635548</v>
      </c>
    </row>
  </sheetData>
  <autoFilter ref="A3:K18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6"/>
    <col collapsed="false" customWidth="true" hidden="false" outlineLevel="0" max="4" min="4" style="0" width="14"/>
    <col collapsed="false" customWidth="true" hidden="false" outlineLevel="0" max="6" min="5" style="0" width="22"/>
    <col collapsed="false" customWidth="true" hidden="false" outlineLevel="0" max="7" min="7" style="0" width="30"/>
    <col collapsed="false" customWidth="true" hidden="false" outlineLevel="0" max="8" min="8" style="0" width="3"/>
    <col collapsed="false" customWidth="true" hidden="false" outlineLevel="0" max="9" min="9" style="0" width="28"/>
    <col collapsed="false" customWidth="true" hidden="false" outlineLevel="0" max="10" min="10" style="0" width="12"/>
  </cols>
  <sheetData>
    <row r="1" customFormat="false" ht="19.7" hidden="false" customHeight="false" outlineLevel="0" collapsed="false">
      <c r="A1" s="1" t="s">
        <v>935</v>
      </c>
    </row>
    <row r="2" customFormat="false" ht="15" hidden="false" customHeight="false" outlineLevel="0" collapsed="false">
      <c r="A2" s="2" t="s">
        <v>936</v>
      </c>
    </row>
    <row r="4" customFormat="false" ht="23.85" hidden="false" customHeight="false" outlineLevel="0" collapsed="false">
      <c r="A4" s="9" t="s">
        <v>937</v>
      </c>
      <c r="B4" s="9" t="s">
        <v>938</v>
      </c>
      <c r="C4" s="9" t="s">
        <v>939</v>
      </c>
      <c r="D4" s="9" t="s">
        <v>940</v>
      </c>
      <c r="E4" s="9" t="s">
        <v>941</v>
      </c>
      <c r="F4" s="9" t="s">
        <v>942</v>
      </c>
      <c r="G4" s="9" t="s">
        <v>527</v>
      </c>
      <c r="I4" s="29" t="s">
        <v>943</v>
      </c>
    </row>
    <row r="5" customFormat="false" ht="15" hidden="false" customHeight="false" outlineLevel="0" collapsed="false">
      <c r="A5" s="5" t="s">
        <v>944</v>
      </c>
      <c r="B5" s="24" t="n">
        <v>300</v>
      </c>
      <c r="C5" s="24" t="n">
        <v>186</v>
      </c>
      <c r="D5" s="61" t="n">
        <f aca="false">IF(AND(ISNUMBER(B5),B5&gt;0),C5/B5,"")</f>
        <v>0.62</v>
      </c>
      <c r="E5" s="45" t="n">
        <f aca="false">IF(D5="","",D5/MAX($D$5:$D$12))</f>
        <v>1</v>
      </c>
      <c r="F5" s="21" t="str">
        <f aca="false">IF(OR(D5="",D5=$J$5),"",2*(1-NORMSDIST(ABS(D5-$J$5)/SQRT(((C5+$J$7)/(B5+$J$6))*(1-(C5+$J$7)/(B5+$J$6))*(1/B5+1/$J$6)))))</f>
        <v/>
      </c>
      <c r="G5" s="43" t="str">
        <f aca="false">IF(D5="","",IF(D5=MAX($D$5:$D$12),"Highest rate",IF(B5&lt;30,"Too few rows",IF(E5&lt;0.8,IF(AND(F5&lt;&gt;"",F5&lt;0.05),"Review (statistically clear)","Review (may be noise)"),"Within 0.80"))))</f>
        <v>Highest rate</v>
      </c>
      <c r="I5" s="2" t="s">
        <v>945</v>
      </c>
      <c r="J5" s="40" t="n">
        <f aca="false">MAX($D$5:$D$12)</f>
        <v>0.62</v>
      </c>
    </row>
    <row r="6" customFormat="false" ht="15" hidden="false" customHeight="false" outlineLevel="0" collapsed="false">
      <c r="A6" s="5" t="s">
        <v>946</v>
      </c>
      <c r="B6" s="24" t="n">
        <v>300</v>
      </c>
      <c r="C6" s="24" t="n">
        <v>150</v>
      </c>
      <c r="D6" s="61" t="n">
        <f aca="false">IF(AND(ISNUMBER(B6),B6&gt;0),C6/B6,"")</f>
        <v>0.5</v>
      </c>
      <c r="E6" s="45" t="n">
        <f aca="false">IF(D6="","",D6/MAX($D$5:$D$12))</f>
        <v>0.806451612903226</v>
      </c>
      <c r="F6" s="21" t="n">
        <f aca="false">IF(OR(D6="",D6=$J$5),"",2*(1-NORMSDIST(ABS(D6-$J$5)/SQRT(((C6+$J$7)/(B6+$J$6))*(1-(C6+$J$7)/(B6+$J$6))*(1/B6+1/$J$6)))))</f>
        <v>0.00306858431084356</v>
      </c>
      <c r="G6" s="43" t="str">
        <f aca="false">IF(D6="","",IF(D6=MAX($D$5:$D$12),"Highest rate",IF(B6&lt;30,"Too few rows",IF(E6&lt;0.8,IF(AND(F6&lt;&gt;"",F6&lt;0.05),"Review (statistically clear)","Review (may be noise)"),"Within 0.80"))))</f>
        <v>Within 0.80</v>
      </c>
      <c r="I6" s="2" t="s">
        <v>947</v>
      </c>
      <c r="J6" s="62" t="n">
        <f aca="false">INDEX($B$5:$B$12,MATCH($J$5,$D$5:$D$12,0))</f>
        <v>300</v>
      </c>
    </row>
    <row r="7" customFormat="false" ht="15" hidden="false" customHeight="false" outlineLevel="0" collapsed="false">
      <c r="A7" s="5" t="s">
        <v>948</v>
      </c>
      <c r="B7" s="24" t="n">
        <v>300</v>
      </c>
      <c r="C7" s="24" t="n">
        <v>108</v>
      </c>
      <c r="D7" s="61" t="n">
        <f aca="false">IF(AND(ISNUMBER(B7),B7&gt;0),C7/B7,"")</f>
        <v>0.36</v>
      </c>
      <c r="E7" s="45" t="n">
        <f aca="false">IF(D7="","",D7/MAX($D$5:$D$12))</f>
        <v>0.580645161290323</v>
      </c>
      <c r="F7" s="21" t="n">
        <f aca="false">IF(OR(D7="",D7=$J$5),"",2*(1-NORMSDIST(ABS(D7-$J$5)/SQRT(((C7+$J$7)/(B7+$J$6))*(1-(C7+$J$7)/(B7+$J$6))*(1/B7+1/$J$6)))))</f>
        <v>1.89092963509552E-010</v>
      </c>
      <c r="G7" s="43" t="str">
        <f aca="false">IF(D7="","",IF(D7=MAX($D$5:$D$12),"Highest rate",IF(B7&lt;30,"Too few rows",IF(E7&lt;0.8,IF(AND(F7&lt;&gt;"",F7&lt;0.05),"Review (statistically clear)","Review (may be noise)"),"Within 0.80"))))</f>
        <v>Review (statistically clear)</v>
      </c>
      <c r="I7" s="2" t="s">
        <v>939</v>
      </c>
      <c r="J7" s="62" t="n">
        <f aca="false">INDEX($C$5:$C$12,MATCH($J$5,$D$5:$D$12,0))</f>
        <v>186</v>
      </c>
    </row>
    <row r="8" customFormat="false" ht="15" hidden="false" customHeight="false" outlineLevel="0" collapsed="false">
      <c r="A8" s="5"/>
      <c r="B8" s="24"/>
      <c r="C8" s="24"/>
      <c r="D8" s="61" t="str">
        <f aca="false">IF(AND(ISNUMBER(B8),B8&gt;0),C8/B8,"")</f>
        <v/>
      </c>
      <c r="E8" s="45" t="str">
        <f aca="false">IF(D8="","",D8/MAX($D$5:$D$12))</f>
        <v/>
      </c>
      <c r="F8" s="21" t="str">
        <f aca="false">IF(OR(D8="",D8=$J$5),"",2*(1-NORMSDIST(ABS(D8-$J$5)/SQRT(((C8+$J$7)/(B8+$J$6))*(1-(C8+$J$7)/(B8+$J$6))*(1/B8+1/$J$6)))))</f>
        <v/>
      </c>
      <c r="G8" s="43" t="str">
        <f aca="false">IF(D8="","",IF(D8=MAX($D$5:$D$12),"Highest rate",IF(B8&lt;30,"Too few rows",IF(E8&lt;0.8,IF(AND(F8&lt;&gt;"",F8&lt;0.05),"Review (statistically clear)","Review (may be noise)"),"Within 0.80"))))</f>
        <v/>
      </c>
    </row>
    <row r="9" customFormat="false" ht="15" hidden="false" customHeight="false" outlineLevel="0" collapsed="false">
      <c r="A9" s="5"/>
      <c r="B9" s="24"/>
      <c r="C9" s="24"/>
      <c r="D9" s="61" t="str">
        <f aca="false">IF(AND(ISNUMBER(B9),B9&gt;0),C9/B9,"")</f>
        <v/>
      </c>
      <c r="E9" s="45" t="str">
        <f aca="false">IF(D9="","",D9/MAX($D$5:$D$12))</f>
        <v/>
      </c>
      <c r="F9" s="21" t="str">
        <f aca="false">IF(OR(D9="",D9=$J$5),"",2*(1-NORMSDIST(ABS(D9-$J$5)/SQRT(((C9+$J$7)/(B9+$J$6))*(1-(C9+$J$7)/(B9+$J$6))*(1/B9+1/$J$6)))))</f>
        <v/>
      </c>
      <c r="G9" s="43" t="str">
        <f aca="false">IF(D9="","",IF(D9=MAX($D$5:$D$12),"Highest rate",IF(B9&lt;30,"Too few rows",IF(E9&lt;0.8,IF(AND(F9&lt;&gt;"",F9&lt;0.05),"Review (statistically clear)","Review (may be noise)"),"Within 0.80"))))</f>
        <v/>
      </c>
    </row>
    <row r="10" customFormat="false" ht="15" hidden="false" customHeight="false" outlineLevel="0" collapsed="false">
      <c r="A10" s="5"/>
      <c r="B10" s="24"/>
      <c r="C10" s="24"/>
      <c r="D10" s="61" t="str">
        <f aca="false">IF(AND(ISNUMBER(B10),B10&gt;0),C10/B10,"")</f>
        <v/>
      </c>
      <c r="E10" s="45" t="str">
        <f aca="false">IF(D10="","",D10/MAX($D$5:$D$12))</f>
        <v/>
      </c>
      <c r="F10" s="21" t="str">
        <f aca="false">IF(OR(D10="",D10=$J$5),"",2*(1-NORMSDIST(ABS(D10-$J$5)/SQRT(((C10+$J$7)/(B10+$J$6))*(1-(C10+$J$7)/(B10+$J$6))*(1/B10+1/$J$6)))))</f>
        <v/>
      </c>
      <c r="G10" s="43" t="str">
        <f aca="false">IF(D10="","",IF(D10=MAX($D$5:$D$12),"Highest rate",IF(B10&lt;30,"Too few rows",IF(E10&lt;0.8,IF(AND(F10&lt;&gt;"",F10&lt;0.05),"Review (statistically clear)","Review (may be noise)"),"Within 0.80"))))</f>
        <v/>
      </c>
    </row>
    <row r="11" customFormat="false" ht="15" hidden="false" customHeight="false" outlineLevel="0" collapsed="false">
      <c r="A11" s="5"/>
      <c r="B11" s="24"/>
      <c r="C11" s="24"/>
      <c r="D11" s="61" t="str">
        <f aca="false">IF(AND(ISNUMBER(B11),B11&gt;0),C11/B11,"")</f>
        <v/>
      </c>
      <c r="E11" s="45" t="str">
        <f aca="false">IF(D11="","",D11/MAX($D$5:$D$12))</f>
        <v/>
      </c>
      <c r="F11" s="21" t="str">
        <f aca="false">IF(OR(D11="",D11=$J$5),"",2*(1-NORMSDIST(ABS(D11-$J$5)/SQRT(((C11+$J$7)/(B11+$J$6))*(1-(C11+$J$7)/(B11+$J$6))*(1/B11+1/$J$6)))))</f>
        <v/>
      </c>
      <c r="G11" s="43" t="str">
        <f aca="false">IF(D11="","",IF(D11=MAX($D$5:$D$12),"Highest rate",IF(B11&lt;30,"Too few rows",IF(E11&lt;0.8,IF(AND(F11&lt;&gt;"",F11&lt;0.05),"Review (statistically clear)","Review (may be noise)"),"Within 0.80"))))</f>
        <v/>
      </c>
    </row>
    <row r="12" customFormat="false" ht="15" hidden="false" customHeight="false" outlineLevel="0" collapsed="false">
      <c r="A12" s="5"/>
      <c r="B12" s="24"/>
      <c r="C12" s="24"/>
      <c r="D12" s="61" t="str">
        <f aca="false">IF(AND(ISNUMBER(B12),B12&gt;0),C12/B12,"")</f>
        <v/>
      </c>
      <c r="E12" s="45" t="str">
        <f aca="false">IF(D12="","",D12/MAX($D$5:$D$12))</f>
        <v/>
      </c>
      <c r="F12" s="21" t="str">
        <f aca="false">IF(OR(D12="",D12=$J$5),"",2*(1-NORMSDIST(ABS(D12-$J$5)/SQRT(((C12+$J$7)/(B12+$J$6))*(1-(C12+$J$7)/(B12+$J$6))*(1/B12+1/$J$6)))))</f>
        <v/>
      </c>
      <c r="G12" s="43" t="str">
        <f aca="false">IF(D12="","",IF(D12=MAX($D$5:$D$12),"Highest rate",IF(B12&lt;30,"Too few rows",IF(E12&lt;0.8,IF(AND(F12&lt;&gt;"",F12&lt;0.05),"Review (statistically clear)","Review (may be noise)"),"Within 0.80"))))</f>
        <v/>
      </c>
    </row>
    <row r="14" customFormat="false" ht="15" hidden="false" customHeight="false" outlineLevel="0" collapsed="false">
      <c r="A14" s="3" t="s">
        <v>96</v>
      </c>
    </row>
    <row r="15" customFormat="false" ht="15" hidden="false" customHeight="false" outlineLevel="0" collapsed="false">
      <c r="A15" s="2" t="s">
        <v>949</v>
      </c>
    </row>
    <row r="16" customFormat="false" ht="15" hidden="false" customHeight="false" outlineLevel="0" collapsed="false">
      <c r="A16" s="2" t="s">
        <v>950</v>
      </c>
    </row>
    <row r="17" customFormat="false" ht="15" hidden="false" customHeight="false" outlineLevel="0" collapsed="false">
      <c r="A17" s="2" t="s">
        <v>951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5" min="3" style="0" width="14"/>
    <col collapsed="false" customWidth="true" hidden="false" outlineLevel="0" max="6" min="6" style="0" width="48"/>
  </cols>
  <sheetData>
    <row r="1" customFormat="false" ht="19.7" hidden="false" customHeight="false" outlineLevel="0" collapsed="false">
      <c r="A1" s="1" t="s">
        <v>952</v>
      </c>
    </row>
    <row r="2" customFormat="false" ht="15" hidden="false" customHeight="false" outlineLevel="0" collapsed="false">
      <c r="A2" s="2" t="s">
        <v>953</v>
      </c>
    </row>
    <row r="4" customFormat="false" ht="15" hidden="false" customHeight="false" outlineLevel="0" collapsed="false">
      <c r="A4" s="9" t="s">
        <v>954</v>
      </c>
      <c r="B4" s="9" t="s">
        <v>470</v>
      </c>
      <c r="C4" s="9" t="s">
        <v>471</v>
      </c>
      <c r="D4" s="9" t="s">
        <v>955</v>
      </c>
      <c r="E4" s="9" t="s">
        <v>956</v>
      </c>
      <c r="F4" s="9" t="s">
        <v>957</v>
      </c>
    </row>
    <row r="5" customFormat="false" ht="15" hidden="false" customHeight="false" outlineLevel="0" collapsed="false">
      <c r="A5" s="5" t="s">
        <v>958</v>
      </c>
      <c r="B5" s="24" t="n">
        <v>42</v>
      </c>
      <c r="C5" s="27" t="n">
        <v>0.86</v>
      </c>
      <c r="D5" s="27" t="n">
        <v>0.11</v>
      </c>
      <c r="E5" s="27" t="n">
        <v>0.02</v>
      </c>
      <c r="F5" s="43" t="str">
        <f aca="false">IF(A5="","",IF(B5&lt;10,"Too few quotes to judge",IF(OR(ABS(E5)&gt;0.1,C5&lt;0.8),"ACT: bias above 10% or coverage below 80%",IF(D5&gt;0.15,"WATCH: median error above 15%","OK"))))</f>
        <v>OK</v>
      </c>
    </row>
    <row r="6" customFormat="false" ht="15" hidden="false" customHeight="false" outlineLevel="0" collapsed="false">
      <c r="A6" s="5" t="s">
        <v>959</v>
      </c>
      <c r="B6" s="24" t="n">
        <v>40</v>
      </c>
      <c r="C6" s="27" t="n">
        <v>0.84</v>
      </c>
      <c r="D6" s="27" t="n">
        <v>0.12</v>
      </c>
      <c r="E6" s="27" t="n">
        <v>0.05</v>
      </c>
      <c r="F6" s="43" t="str">
        <f aca="false">IF(A6="","",IF(B6&lt;10,"Too few quotes to judge",IF(OR(ABS(E6)&gt;0.1,C6&lt;0.8),"ACT: bias above 10% or coverage below 80%",IF(D6&gt;0.15,"WATCH: median error above 15%","OK"))))</f>
        <v>OK</v>
      </c>
    </row>
    <row r="7" customFormat="false" ht="15" hidden="false" customHeight="false" outlineLevel="0" collapsed="false">
      <c r="A7" s="5" t="s">
        <v>960</v>
      </c>
      <c r="B7" s="24" t="n">
        <v>38</v>
      </c>
      <c r="C7" s="27" t="n">
        <v>0.71</v>
      </c>
      <c r="D7" s="27" t="n">
        <v>0.19</v>
      </c>
      <c r="E7" s="27" t="n">
        <v>0.14</v>
      </c>
      <c r="F7" s="43" t="str">
        <f aca="false">IF(A7="","",IF(B7&lt;10,"Too few quotes to judge",IF(OR(ABS(E7)&gt;0.1,C7&lt;0.8),"ACT: bias above 10% or coverage below 80%",IF(D7&gt;0.15,"WATCH: median error above 15%","OK"))))</f>
        <v>ACT: bias above 10% or coverage below 80%</v>
      </c>
    </row>
    <row r="8" customFormat="false" ht="15" hidden="false" customHeight="false" outlineLevel="0" collapsed="false">
      <c r="A8" s="5" t="s">
        <v>961</v>
      </c>
      <c r="B8" s="24" t="n">
        <v>44</v>
      </c>
      <c r="C8" s="27" t="n">
        <v>0.66</v>
      </c>
      <c r="D8" s="27" t="n">
        <v>0.22</v>
      </c>
      <c r="E8" s="27" t="n">
        <v>0.18</v>
      </c>
      <c r="F8" s="43" t="str">
        <f aca="false">IF(A8="","",IF(B8&lt;10,"Too few quotes to judge",IF(OR(ABS(E8)&gt;0.1,C8&lt;0.8),"ACT: bias above 10% or coverage below 80%",IF(D8&gt;0.15,"WATCH: median error above 15%","OK"))))</f>
        <v>ACT: bias above 10% or coverage below 80%</v>
      </c>
    </row>
    <row r="9" customFormat="false" ht="15" hidden="false" customHeight="false" outlineLevel="0" collapsed="false">
      <c r="A9" s="5"/>
      <c r="B9" s="24"/>
      <c r="C9" s="27"/>
      <c r="D9" s="27"/>
      <c r="E9" s="27"/>
      <c r="F9" s="43" t="str">
        <f aca="false">IF(A9="","",IF(B9&lt;10,"Too few quotes to judge",IF(OR(ABS(E9)&gt;0.1,C9&lt;0.8),"ACT: bias above 10% or coverage below 80%",IF(D9&gt;0.15,"WATCH: median error above 15%","OK"))))</f>
        <v/>
      </c>
    </row>
    <row r="10" customFormat="false" ht="15" hidden="false" customHeight="false" outlineLevel="0" collapsed="false">
      <c r="A10" s="5"/>
      <c r="B10" s="24"/>
      <c r="C10" s="27"/>
      <c r="D10" s="27"/>
      <c r="E10" s="27"/>
      <c r="F10" s="43" t="str">
        <f aca="false">IF(A10="","",IF(B10&lt;10,"Too few quotes to judge",IF(OR(ABS(E10)&gt;0.1,C10&lt;0.8),"ACT: bias above 10% or coverage below 80%",IF(D10&gt;0.15,"WATCH: median error above 15%","OK"))))</f>
        <v/>
      </c>
    </row>
    <row r="11" customFormat="false" ht="15" hidden="false" customHeight="false" outlineLevel="0" collapsed="false">
      <c r="A11" s="5"/>
      <c r="B11" s="24"/>
      <c r="C11" s="27"/>
      <c r="D11" s="27"/>
      <c r="E11" s="27"/>
      <c r="F11" s="43" t="str">
        <f aca="false">IF(A11="","",IF(B11&lt;10,"Too few quotes to judge",IF(OR(ABS(E11)&gt;0.1,C11&lt;0.8),"ACT: bias above 10% or coverage below 80%",IF(D11&gt;0.15,"WATCH: median error above 15%","OK"))))</f>
        <v/>
      </c>
    </row>
    <row r="12" customFormat="false" ht="15" hidden="false" customHeight="false" outlineLevel="0" collapsed="false">
      <c r="A12" s="5"/>
      <c r="B12" s="24"/>
      <c r="C12" s="27"/>
      <c r="D12" s="27"/>
      <c r="E12" s="27"/>
      <c r="F12" s="43" t="str">
        <f aca="false">IF(A12="","",IF(B12&lt;10,"Too few quotes to judge",IF(OR(ABS(E12)&gt;0.1,C12&lt;0.8),"ACT: bias above 10% or coverage below 80%",IF(D12&gt;0.15,"WATCH: median error above 15%","OK"))))</f>
        <v/>
      </c>
    </row>
    <row r="13" customFormat="false" ht="15" hidden="false" customHeight="false" outlineLevel="0" collapsed="false">
      <c r="A13" s="5"/>
      <c r="B13" s="24"/>
      <c r="C13" s="27"/>
      <c r="D13" s="27"/>
      <c r="E13" s="27"/>
      <c r="F13" s="43" t="str">
        <f aca="false">IF(A13="","",IF(B13&lt;10,"Too few quotes to judge",IF(OR(ABS(E13)&gt;0.1,C13&lt;0.8),"ACT: bias above 10% or coverage below 80%",IF(D13&gt;0.15,"WATCH: median error above 15%","OK"))))</f>
        <v/>
      </c>
    </row>
    <row r="14" customFormat="false" ht="15" hidden="false" customHeight="false" outlineLevel="0" collapsed="false">
      <c r="A14" s="5"/>
      <c r="B14" s="24"/>
      <c r="C14" s="27"/>
      <c r="D14" s="27"/>
      <c r="E14" s="27"/>
      <c r="F14" s="43" t="str">
        <f aca="false">IF(A14="","",IF(B14&lt;10,"Too few quotes to judge",IF(OR(ABS(E14)&gt;0.1,C14&lt;0.8),"ACT: bias above 10% or coverage below 80%",IF(D14&gt;0.15,"WATCH: median error above 15%","OK"))))</f>
        <v/>
      </c>
    </row>
    <row r="15" customFormat="false" ht="15" hidden="false" customHeight="false" outlineLevel="0" collapsed="false">
      <c r="A15" s="5"/>
      <c r="B15" s="24"/>
      <c r="C15" s="27"/>
      <c r="D15" s="27"/>
      <c r="E15" s="27"/>
      <c r="F15" s="43" t="str">
        <f aca="false">IF(A15="","",IF(B15&lt;10,"Too few quotes to judge",IF(OR(ABS(E15)&gt;0.1,C15&lt;0.8),"ACT: bias above 10% or coverage below 80%",IF(D15&gt;0.15,"WATCH: median error above 15%","OK"))))</f>
        <v/>
      </c>
    </row>
    <row r="16" customFormat="false" ht="15" hidden="false" customHeight="false" outlineLevel="0" collapsed="false">
      <c r="A16" s="5"/>
      <c r="B16" s="24"/>
      <c r="C16" s="27"/>
      <c r="D16" s="27"/>
      <c r="E16" s="27"/>
      <c r="F16" s="43" t="str">
        <f aca="false">IF(A16="","",IF(B16&lt;10,"Too few quotes to judge",IF(OR(ABS(E16)&gt;0.1,C16&lt;0.8),"ACT: bias above 10% or coverage below 80%",IF(D16&gt;0.15,"WATCH: median error above 15%","OK"))))</f>
        <v/>
      </c>
    </row>
    <row r="19" customFormat="false" ht="43.5" hidden="false" customHeight="true" outlineLevel="0" collapsed="false">
      <c r="A19" s="30" t="s">
        <v>962</v>
      </c>
      <c r="B19" s="30"/>
      <c r="C19" s="30"/>
      <c r="D19" s="30"/>
      <c r="E19" s="30"/>
      <c r="F19" s="30"/>
    </row>
  </sheetData>
  <mergeCells count="1">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8"/>
    <col collapsed="false" customWidth="true" hidden="false" outlineLevel="0" max="4" min="4" style="0" width="28"/>
    <col collapsed="false" customWidth="true" hidden="false" outlineLevel="0" max="5" min="5" style="0" width="90"/>
  </cols>
  <sheetData>
    <row r="1" customFormat="false" ht="19.7" hidden="false" customHeight="false" outlineLevel="0" collapsed="false">
      <c r="A1" s="1" t="s">
        <v>963</v>
      </c>
    </row>
    <row r="2" customFormat="false" ht="15" hidden="false" customHeight="false" outlineLevel="0" collapsed="false">
      <c r="A2" s="2" t="s">
        <v>964</v>
      </c>
    </row>
    <row r="4" customFormat="false" ht="15" hidden="false" customHeight="false" outlineLevel="0" collapsed="false">
      <c r="A4" s="9" t="s">
        <v>499</v>
      </c>
      <c r="B4" s="9" t="s">
        <v>965</v>
      </c>
      <c r="C4" s="9" t="s">
        <v>966</v>
      </c>
      <c r="D4" s="9" t="s">
        <v>704</v>
      </c>
      <c r="E4" s="9" t="s">
        <v>967</v>
      </c>
    </row>
    <row r="5" customFormat="false" ht="15" hidden="false" customHeight="false" outlineLevel="0" collapsed="false">
      <c r="A5" s="10" t="s">
        <v>506</v>
      </c>
      <c r="B5" s="10" t="s">
        <v>968</v>
      </c>
      <c r="C5" s="63" t="n">
        <v>2.04</v>
      </c>
      <c r="D5" s="10" t="s">
        <v>969</v>
      </c>
      <c r="E5" s="10" t="s">
        <v>970</v>
      </c>
    </row>
    <row r="6" customFormat="false" ht="15" hidden="false" customHeight="false" outlineLevel="0" collapsed="false">
      <c r="A6" s="10" t="s">
        <v>506</v>
      </c>
      <c r="B6" s="10" t="s">
        <v>971</v>
      </c>
      <c r="C6" s="63" t="n">
        <v>0.822</v>
      </c>
      <c r="D6" s="10" t="s">
        <v>972</v>
      </c>
      <c r="E6" s="10"/>
    </row>
    <row r="7" customFormat="false" ht="15" hidden="false" customHeight="false" outlineLevel="0" collapsed="false">
      <c r="A7" s="10" t="s">
        <v>506</v>
      </c>
      <c r="B7" s="10" t="s">
        <v>973</v>
      </c>
      <c r="C7" s="63" t="n">
        <v>1.29</v>
      </c>
      <c r="D7" s="10" t="s">
        <v>969</v>
      </c>
      <c r="E7" s="10" t="s">
        <v>974</v>
      </c>
    </row>
    <row r="8" customFormat="false" ht="15" hidden="false" customHeight="false" outlineLevel="0" collapsed="false">
      <c r="A8" s="10" t="s">
        <v>506</v>
      </c>
      <c r="B8" s="10" t="s">
        <v>975</v>
      </c>
      <c r="C8" s="63" t="n">
        <v>1.49</v>
      </c>
      <c r="D8" s="10" t="s">
        <v>969</v>
      </c>
      <c r="E8" s="10" t="s">
        <v>974</v>
      </c>
    </row>
    <row r="9" customFormat="false" ht="15" hidden="false" customHeight="false" outlineLevel="0" collapsed="false">
      <c r="A9" s="10" t="s">
        <v>506</v>
      </c>
      <c r="B9" s="10" t="s">
        <v>725</v>
      </c>
      <c r="C9" s="63" t="n">
        <v>1.89</v>
      </c>
      <c r="D9" s="10" t="s">
        <v>969</v>
      </c>
      <c r="E9" s="10" t="s">
        <v>974</v>
      </c>
    </row>
    <row r="10" customFormat="false" ht="23.85" hidden="false" customHeight="false" outlineLevel="0" collapsed="false">
      <c r="A10" s="10" t="s">
        <v>506</v>
      </c>
      <c r="B10" s="10" t="s">
        <v>976</v>
      </c>
      <c r="C10" s="63" t="n">
        <v>1.68</v>
      </c>
      <c r="D10" s="10" t="s">
        <v>969</v>
      </c>
      <c r="E10" s="10" t="s">
        <v>977</v>
      </c>
    </row>
    <row r="11" customFormat="false" ht="15" hidden="false" customHeight="false" outlineLevel="0" collapsed="false">
      <c r="A11" s="10" t="s">
        <v>506</v>
      </c>
      <c r="B11" s="10" t="s">
        <v>978</v>
      </c>
      <c r="C11" s="63" t="n">
        <v>0.92</v>
      </c>
      <c r="D11" s="10" t="s">
        <v>708</v>
      </c>
      <c r="E11" s="10" t="s">
        <v>979</v>
      </c>
    </row>
    <row r="12" customFormat="false" ht="15" hidden="false" customHeight="false" outlineLevel="0" collapsed="false">
      <c r="A12" s="10" t="s">
        <v>506</v>
      </c>
      <c r="B12" s="10" t="s">
        <v>730</v>
      </c>
      <c r="C12" s="63" t="n">
        <v>1.1</v>
      </c>
      <c r="D12" s="10" t="s">
        <v>708</v>
      </c>
      <c r="E12" s="10"/>
    </row>
    <row r="13" customFormat="false" ht="15" hidden="false" customHeight="false" outlineLevel="0" collapsed="false">
      <c r="A13" s="10" t="s">
        <v>506</v>
      </c>
      <c r="B13" s="10" t="s">
        <v>732</v>
      </c>
      <c r="C13" s="63" t="n">
        <v>1.35</v>
      </c>
      <c r="D13" s="10" t="s">
        <v>708</v>
      </c>
      <c r="E13" s="10"/>
    </row>
    <row r="14" customFormat="false" ht="15" hidden="false" customHeight="false" outlineLevel="0" collapsed="false">
      <c r="A14" s="10" t="s">
        <v>507</v>
      </c>
      <c r="B14" s="10" t="s">
        <v>980</v>
      </c>
      <c r="C14" s="63" t="n">
        <v>1.16</v>
      </c>
      <c r="D14" s="10" t="s">
        <v>981</v>
      </c>
      <c r="E14" s="10" t="s">
        <v>982</v>
      </c>
    </row>
    <row r="15" customFormat="false" ht="15" hidden="false" customHeight="false" outlineLevel="0" collapsed="false">
      <c r="A15" s="10" t="s">
        <v>507</v>
      </c>
      <c r="B15" s="10" t="s">
        <v>983</v>
      </c>
      <c r="C15" s="63" t="n">
        <v>1.29</v>
      </c>
      <c r="D15" s="10" t="s">
        <v>981</v>
      </c>
      <c r="E15" s="10"/>
    </row>
    <row r="16" customFormat="false" ht="23.85" hidden="false" customHeight="false" outlineLevel="0" collapsed="false">
      <c r="A16" s="10" t="s">
        <v>507</v>
      </c>
      <c r="B16" s="10" t="s">
        <v>976</v>
      </c>
      <c r="C16" s="63" t="n">
        <v>2.11</v>
      </c>
      <c r="D16" s="10" t="s">
        <v>984</v>
      </c>
      <c r="E16" s="10" t="s">
        <v>985</v>
      </c>
    </row>
    <row r="17" customFormat="false" ht="15" hidden="false" customHeight="false" outlineLevel="0" collapsed="false">
      <c r="A17" s="10" t="s">
        <v>507</v>
      </c>
      <c r="B17" s="10" t="s">
        <v>986</v>
      </c>
      <c r="C17" s="63" t="n">
        <v>1.3</v>
      </c>
      <c r="D17" s="10" t="s">
        <v>708</v>
      </c>
      <c r="E17" s="10" t="s">
        <v>987</v>
      </c>
    </row>
    <row r="18" customFormat="false" ht="15" hidden="false" customHeight="false" outlineLevel="0" collapsed="false">
      <c r="A18" s="10" t="s">
        <v>507</v>
      </c>
      <c r="B18" s="10" t="s">
        <v>988</v>
      </c>
      <c r="C18" s="63" t="n">
        <v>1.2</v>
      </c>
      <c r="D18" s="10" t="s">
        <v>708</v>
      </c>
      <c r="E18" s="10"/>
    </row>
    <row r="19" customFormat="false" ht="15" hidden="false" customHeight="false" outlineLevel="0" collapsed="false">
      <c r="A19" s="10" t="s">
        <v>507</v>
      </c>
      <c r="B19" s="10" t="s">
        <v>831</v>
      </c>
      <c r="C19" s="63" t="n">
        <v>1.15</v>
      </c>
      <c r="D19" s="10" t="s">
        <v>708</v>
      </c>
      <c r="E19" s="10" t="s">
        <v>989</v>
      </c>
    </row>
    <row r="20" customFormat="false" ht="15" hidden="false" customHeight="false" outlineLevel="0" collapsed="false">
      <c r="A20" s="10" t="s">
        <v>506</v>
      </c>
      <c r="B20" s="10" t="s">
        <v>990</v>
      </c>
      <c r="C20" s="63" t="n">
        <v>3.74216027874564</v>
      </c>
      <c r="D20" s="10" t="s">
        <v>969</v>
      </c>
      <c r="E20" s="10" t="s">
        <v>991</v>
      </c>
    </row>
    <row r="21" customFormat="false" ht="15" hidden="false" customHeight="false" outlineLevel="0" collapsed="false">
      <c r="A21" s="10" t="s">
        <v>507</v>
      </c>
      <c r="B21" s="10" t="s">
        <v>992</v>
      </c>
      <c r="C21" s="63" t="n">
        <v>11.4783197831978</v>
      </c>
      <c r="D21" s="10" t="s">
        <v>993</v>
      </c>
      <c r="E21" s="10" t="s">
        <v>994</v>
      </c>
    </row>
    <row r="23" customFormat="false" ht="15" hidden="false" customHeight="false" outlineLevel="0" collapsed="false">
      <c r="A23" s="2" t="s">
        <v>995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0"/>
    <col collapsed="false" customWidth="true" hidden="false" outlineLevel="0" max="3" min="3" style="0" width="30"/>
  </cols>
  <sheetData>
    <row r="1" customFormat="false" ht="19.7" hidden="false" customHeight="false" outlineLevel="0" collapsed="false">
      <c r="A1" s="1" t="s">
        <v>996</v>
      </c>
    </row>
    <row r="2" customFormat="false" ht="15" hidden="false" customHeight="false" outlineLevel="0" collapsed="false">
      <c r="A2" s="2" t="s">
        <v>997</v>
      </c>
    </row>
    <row r="4" customFormat="false" ht="15" hidden="false" customHeight="false" outlineLevel="0" collapsed="false">
      <c r="A4" s="9" t="s">
        <v>998</v>
      </c>
      <c r="B4" s="9" t="s">
        <v>999</v>
      </c>
      <c r="C4" s="9" t="s">
        <v>1000</v>
      </c>
    </row>
    <row r="5" customFormat="false" ht="15" hidden="false" customHeight="false" outlineLevel="0" collapsed="false">
      <c r="A5" s="10" t="s">
        <v>1001</v>
      </c>
      <c r="B5" s="10" t="s">
        <v>1002</v>
      </c>
      <c r="C5" s="64" t="s">
        <v>1003</v>
      </c>
    </row>
    <row r="6" customFormat="false" ht="15" hidden="false" customHeight="false" outlineLevel="0" collapsed="false">
      <c r="A6" s="10" t="s">
        <v>1004</v>
      </c>
      <c r="B6" s="10" t="s">
        <v>1005</v>
      </c>
      <c r="C6" s="64" t="s">
        <v>1006</v>
      </c>
    </row>
    <row r="7" customFormat="false" ht="15" hidden="false" customHeight="false" outlineLevel="0" collapsed="false">
      <c r="A7" s="10" t="s">
        <v>1007</v>
      </c>
      <c r="B7" s="10" t="s">
        <v>1008</v>
      </c>
      <c r="C7" s="64" t="s">
        <v>1003</v>
      </c>
    </row>
    <row r="8" customFormat="false" ht="23.85" hidden="false" customHeight="false" outlineLevel="0" collapsed="false">
      <c r="A8" s="10" t="s">
        <v>1009</v>
      </c>
      <c r="B8" s="10" t="s">
        <v>1010</v>
      </c>
      <c r="C8" s="65" t="s">
        <v>1011</v>
      </c>
    </row>
    <row r="9" customFormat="false" ht="15" hidden="false" customHeight="false" outlineLevel="0" collapsed="false">
      <c r="A9" s="10" t="s">
        <v>1012</v>
      </c>
      <c r="B9" s="10" t="s">
        <v>1013</v>
      </c>
      <c r="C9" s="64" t="s">
        <v>1014</v>
      </c>
    </row>
    <row r="10" customFormat="false" ht="15" hidden="false" customHeight="false" outlineLevel="0" collapsed="false">
      <c r="A10" s="10" t="s">
        <v>1015</v>
      </c>
      <c r="B10" s="10" t="s">
        <v>1016</v>
      </c>
      <c r="C10" s="64" t="s">
        <v>1014</v>
      </c>
    </row>
    <row r="11" customFormat="false" ht="15" hidden="false" customHeight="false" outlineLevel="0" collapsed="false">
      <c r="A11" s="10" t="s">
        <v>1017</v>
      </c>
      <c r="B11" s="10" t="s">
        <v>1018</v>
      </c>
      <c r="C11" s="65" t="s">
        <v>1011</v>
      </c>
    </row>
    <row r="12" customFormat="false" ht="15" hidden="false" customHeight="false" outlineLevel="0" collapsed="false">
      <c r="A12" s="10" t="s">
        <v>1019</v>
      </c>
      <c r="B12" s="10" t="s">
        <v>1020</v>
      </c>
      <c r="C12" s="65" t="s">
        <v>1021</v>
      </c>
    </row>
    <row r="13" customFormat="false" ht="15" hidden="false" customHeight="false" outlineLevel="0" collapsed="false">
      <c r="A13" s="10" t="s">
        <v>1022</v>
      </c>
      <c r="B13" s="10" t="s">
        <v>1023</v>
      </c>
      <c r="C13" s="65" t="s">
        <v>1011</v>
      </c>
    </row>
    <row r="14" customFormat="false" ht="15" hidden="false" customHeight="false" outlineLevel="0" collapsed="false">
      <c r="A14" s="10" t="s">
        <v>1024</v>
      </c>
      <c r="B14" s="10" t="s">
        <v>1025</v>
      </c>
      <c r="C14" s="65" t="s">
        <v>1011</v>
      </c>
    </row>
    <row r="15" customFormat="false" ht="23.85" hidden="false" customHeight="false" outlineLevel="0" collapsed="false">
      <c r="A15" s="10" t="s">
        <v>1026</v>
      </c>
      <c r="B15" s="10" t="s">
        <v>1027</v>
      </c>
      <c r="C15" s="65" t="s">
        <v>1021</v>
      </c>
    </row>
    <row r="16" customFormat="false" ht="15" hidden="false" customHeight="false" outlineLevel="0" collapsed="false">
      <c r="A16" s="10" t="s">
        <v>1028</v>
      </c>
      <c r="B16" s="10" t="s">
        <v>1029</v>
      </c>
      <c r="C16" s="64" t="s">
        <v>1003</v>
      </c>
    </row>
    <row r="18" customFormat="false" ht="15" hidden="false" customHeight="false" outlineLevel="0" collapsed="false">
      <c r="A18" s="11" t="s">
        <v>1030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0"/>
    <col collapsed="false" customWidth="true" hidden="false" outlineLevel="0" max="3" min="3" style="0" width="16"/>
    <col collapsed="false" customWidth="true" hidden="false" outlineLevel="0" max="4" min="4" style="0" width="70"/>
  </cols>
  <sheetData>
    <row r="1" customFormat="false" ht="19.7" hidden="false" customHeight="false" outlineLevel="0" collapsed="false">
      <c r="A1" s="1" t="s">
        <v>1031</v>
      </c>
    </row>
    <row r="2" customFormat="false" ht="15" hidden="false" customHeight="false" outlineLevel="0" collapsed="false">
      <c r="A2" s="2" t="s">
        <v>1032</v>
      </c>
    </row>
    <row r="4" customFormat="false" ht="15" hidden="false" customHeight="false" outlineLevel="0" collapsed="false">
      <c r="A4" s="9" t="s">
        <v>239</v>
      </c>
      <c r="B4" s="9" t="s">
        <v>1033</v>
      </c>
      <c r="C4" s="9" t="s">
        <v>1000</v>
      </c>
      <c r="D4" s="9" t="s">
        <v>1034</v>
      </c>
    </row>
    <row r="5" customFormat="false" ht="15" hidden="false" customHeight="false" outlineLevel="0" collapsed="false">
      <c r="A5" s="10" t="s">
        <v>676</v>
      </c>
      <c r="B5" s="10" t="s">
        <v>677</v>
      </c>
      <c r="C5" s="10" t="s">
        <v>1035</v>
      </c>
      <c r="D5" s="10" t="s">
        <v>1036</v>
      </c>
    </row>
    <row r="6" customFormat="false" ht="23.85" hidden="false" customHeight="false" outlineLevel="0" collapsed="false">
      <c r="A6" s="10" t="s">
        <v>577</v>
      </c>
      <c r="B6" s="10" t="s">
        <v>579</v>
      </c>
      <c r="C6" s="10" t="s">
        <v>1035</v>
      </c>
      <c r="D6" s="10" t="s">
        <v>1037</v>
      </c>
    </row>
    <row r="7" customFormat="false" ht="23.85" hidden="false" customHeight="false" outlineLevel="0" collapsed="false">
      <c r="A7" s="10" t="s">
        <v>648</v>
      </c>
      <c r="B7" s="10" t="s">
        <v>651</v>
      </c>
      <c r="C7" s="10" t="s">
        <v>1035</v>
      </c>
      <c r="D7" s="10" t="s">
        <v>1038</v>
      </c>
    </row>
    <row r="8" customFormat="false" ht="23.85" hidden="false" customHeight="false" outlineLevel="0" collapsed="false">
      <c r="A8" s="10" t="s">
        <v>621</v>
      </c>
      <c r="B8" s="10" t="s">
        <v>624</v>
      </c>
      <c r="C8" s="10" t="s">
        <v>1035</v>
      </c>
      <c r="D8" s="10" t="s">
        <v>1039</v>
      </c>
    </row>
    <row r="9" customFormat="false" ht="23.85" hidden="false" customHeight="false" outlineLevel="0" collapsed="false">
      <c r="A9" s="10" t="s">
        <v>664</v>
      </c>
      <c r="B9" s="10" t="s">
        <v>667</v>
      </c>
      <c r="C9" s="10" t="s">
        <v>1035</v>
      </c>
      <c r="D9" s="10" t="s">
        <v>1040</v>
      </c>
    </row>
    <row r="10" customFormat="false" ht="15" hidden="false" customHeight="false" outlineLevel="0" collapsed="false">
      <c r="A10" s="10" t="s">
        <v>686</v>
      </c>
      <c r="B10" s="10" t="s">
        <v>688</v>
      </c>
      <c r="C10" s="10" t="s">
        <v>1035</v>
      </c>
      <c r="D10" s="10" t="s">
        <v>1041</v>
      </c>
    </row>
    <row r="11" customFormat="false" ht="23.85" hidden="false" customHeight="false" outlineLevel="0" collapsed="false">
      <c r="A11" s="10" t="s">
        <v>617</v>
      </c>
      <c r="B11" s="10" t="s">
        <v>620</v>
      </c>
      <c r="C11" s="10" t="s">
        <v>1035</v>
      </c>
      <c r="D11" s="10" t="s">
        <v>1042</v>
      </c>
    </row>
    <row r="12" customFormat="false" ht="15" hidden="false" customHeight="false" outlineLevel="0" collapsed="false">
      <c r="A12" s="10" t="s">
        <v>583</v>
      </c>
      <c r="B12" s="10" t="s">
        <v>587</v>
      </c>
      <c r="C12" s="10" t="s">
        <v>1035</v>
      </c>
      <c r="D12" s="10" t="s">
        <v>1043</v>
      </c>
    </row>
    <row r="13" customFormat="false" ht="15" hidden="false" customHeight="false" outlineLevel="0" collapsed="false">
      <c r="A13" s="10" t="s">
        <v>658</v>
      </c>
      <c r="B13" s="10" t="s">
        <v>555</v>
      </c>
      <c r="C13" s="10" t="s">
        <v>1035</v>
      </c>
      <c r="D13" s="10" t="s">
        <v>1044</v>
      </c>
    </row>
    <row r="14" customFormat="false" ht="23.85" hidden="false" customHeight="false" outlineLevel="0" collapsed="false">
      <c r="A14" s="10" t="s">
        <v>652</v>
      </c>
      <c r="B14" s="10" t="s">
        <v>654</v>
      </c>
      <c r="C14" s="10" t="s">
        <v>1035</v>
      </c>
      <c r="D14" s="10" t="s">
        <v>1045</v>
      </c>
    </row>
    <row r="15" customFormat="false" ht="15" hidden="false" customHeight="false" outlineLevel="0" collapsed="false">
      <c r="A15" s="10" t="s">
        <v>565</v>
      </c>
      <c r="B15" s="10" t="s">
        <v>566</v>
      </c>
      <c r="C15" s="10" t="s">
        <v>1046</v>
      </c>
      <c r="D15" s="10" t="s">
        <v>1047</v>
      </c>
    </row>
    <row r="16" customFormat="false" ht="23.85" hidden="false" customHeight="false" outlineLevel="0" collapsed="false">
      <c r="A16" s="10" t="s">
        <v>590</v>
      </c>
      <c r="B16" s="10" t="s">
        <v>592</v>
      </c>
      <c r="C16" s="10" t="s">
        <v>1048</v>
      </c>
      <c r="D16" s="10" t="s">
        <v>1049</v>
      </c>
    </row>
    <row r="18" customFormat="false" ht="15" hidden="false" customHeight="false" outlineLevel="0" collapsed="false">
      <c r="A18" s="2" t="s">
        <v>1050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50"/>
  </cols>
  <sheetData>
    <row r="1" customFormat="false" ht="19.7" hidden="false" customHeight="false" outlineLevel="0" collapsed="false">
      <c r="A1" s="1" t="s">
        <v>1051</v>
      </c>
    </row>
    <row r="2" customFormat="false" ht="15" hidden="false" customHeight="false" outlineLevel="0" collapsed="false">
      <c r="A2" s="2" t="s">
        <v>1052</v>
      </c>
    </row>
    <row r="4" customFormat="false" ht="15" hidden="false" customHeight="false" outlineLevel="0" collapsed="false">
      <c r="A4" s="9" t="s">
        <v>1053</v>
      </c>
      <c r="B4" s="9" t="s">
        <v>1054</v>
      </c>
      <c r="C4" s="9" t="s">
        <v>1034</v>
      </c>
    </row>
    <row r="5" customFormat="false" ht="23.85" hidden="false" customHeight="false" outlineLevel="0" collapsed="false">
      <c r="A5" s="10" t="s">
        <v>1055</v>
      </c>
      <c r="B5" s="10" t="s">
        <v>1056</v>
      </c>
      <c r="C5" s="10" t="s">
        <v>1057</v>
      </c>
    </row>
    <row r="6" customFormat="false" ht="23.85" hidden="false" customHeight="false" outlineLevel="0" collapsed="false">
      <c r="A6" s="10" t="s">
        <v>1058</v>
      </c>
      <c r="B6" s="10" t="s">
        <v>1059</v>
      </c>
      <c r="C6" s="10" t="s">
        <v>1060</v>
      </c>
    </row>
    <row r="7" customFormat="false" ht="15" hidden="false" customHeight="false" outlineLevel="0" collapsed="false">
      <c r="A7" s="10" t="s">
        <v>1061</v>
      </c>
      <c r="B7" s="10" t="s">
        <v>1062</v>
      </c>
      <c r="C7" s="10" t="s">
        <v>1060</v>
      </c>
    </row>
    <row r="8" customFormat="false" ht="15" hidden="false" customHeight="false" outlineLevel="0" collapsed="false">
      <c r="A8" s="10" t="s">
        <v>1063</v>
      </c>
      <c r="B8" s="10" t="s">
        <v>1064</v>
      </c>
      <c r="C8" s="10" t="s">
        <v>1065</v>
      </c>
    </row>
    <row r="9" customFormat="false" ht="15" hidden="false" customHeight="false" outlineLevel="0" collapsed="false">
      <c r="A9" s="10" t="s">
        <v>1066</v>
      </c>
      <c r="B9" s="10" t="s">
        <v>1067</v>
      </c>
      <c r="C9" s="10" t="s">
        <v>1068</v>
      </c>
    </row>
    <row r="10" customFormat="false" ht="15" hidden="false" customHeight="false" outlineLevel="0" collapsed="false">
      <c r="A10" s="10" t="s">
        <v>1069</v>
      </c>
      <c r="B10" s="10" t="s">
        <v>1070</v>
      </c>
      <c r="C10" s="10" t="s">
        <v>1071</v>
      </c>
    </row>
    <row r="11" customFormat="false" ht="35.05" hidden="false" customHeight="false" outlineLevel="0" collapsed="false">
      <c r="A11" s="10" t="s">
        <v>160</v>
      </c>
      <c r="B11" s="10" t="s">
        <v>1072</v>
      </c>
      <c r="C11" s="10" t="s">
        <v>1073</v>
      </c>
    </row>
    <row r="12" customFormat="false" ht="23.85" hidden="false" customHeight="false" outlineLevel="0" collapsed="false">
      <c r="A12" s="10" t="s">
        <v>241</v>
      </c>
      <c r="B12" s="10" t="s">
        <v>1074</v>
      </c>
      <c r="C12" s="10" t="s">
        <v>1075</v>
      </c>
    </row>
    <row r="13" customFormat="false" ht="23.85" hidden="false" customHeight="false" outlineLevel="0" collapsed="false">
      <c r="A13" s="10" t="s">
        <v>247</v>
      </c>
      <c r="B13" s="10" t="s">
        <v>1076</v>
      </c>
      <c r="C13" s="10" t="s">
        <v>1077</v>
      </c>
    </row>
    <row r="14" customFormat="false" ht="15" hidden="false" customHeight="false" outlineLevel="0" collapsed="false">
      <c r="A14" s="10" t="s">
        <v>1078</v>
      </c>
      <c r="B14" s="10" t="s">
        <v>1079</v>
      </c>
      <c r="C14" s="10" t="s">
        <v>1080</v>
      </c>
    </row>
    <row r="15" customFormat="false" ht="23.85" hidden="false" customHeight="false" outlineLevel="0" collapsed="false">
      <c r="A15" s="10" t="s">
        <v>1081</v>
      </c>
      <c r="B15" s="10" t="s">
        <v>1082</v>
      </c>
      <c r="C15" s="10" t="s">
        <v>1083</v>
      </c>
    </row>
    <row r="16" customFormat="false" ht="23.85" hidden="false" customHeight="false" outlineLevel="0" collapsed="false">
      <c r="A16" s="10" t="s">
        <v>1084</v>
      </c>
      <c r="B16" s="10" t="s">
        <v>1085</v>
      </c>
      <c r="C16" s="10" t="s">
        <v>1086</v>
      </c>
    </row>
    <row r="17" customFormat="false" ht="15" hidden="false" customHeight="false" outlineLevel="0" collapsed="false">
      <c r="A17" s="10" t="s">
        <v>1087</v>
      </c>
      <c r="B17" s="10" t="s">
        <v>1088</v>
      </c>
      <c r="C17" s="10" t="s">
        <v>1089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0"/>
    <col collapsed="false" customWidth="true" hidden="false" outlineLevel="0" max="3" min="3" style="0" width="60"/>
    <col collapsed="false" customWidth="true" hidden="false" outlineLevel="0" max="4" min="4" style="0" width="34"/>
  </cols>
  <sheetData>
    <row r="1" customFormat="false" ht="19.7" hidden="false" customHeight="false" outlineLevel="0" collapsed="false">
      <c r="A1" s="1" t="s">
        <v>1090</v>
      </c>
    </row>
    <row r="2" customFormat="false" ht="15" hidden="false" customHeight="false" outlineLevel="0" collapsed="false">
      <c r="A2" s="2" t="s">
        <v>1091</v>
      </c>
    </row>
    <row r="4" customFormat="false" ht="15" hidden="false" customHeight="false" outlineLevel="0" collapsed="false">
      <c r="A4" s="9" t="s">
        <v>1092</v>
      </c>
      <c r="B4" s="9" t="s">
        <v>1093</v>
      </c>
      <c r="C4" s="9" t="s">
        <v>1094</v>
      </c>
      <c r="D4" s="9" t="s">
        <v>46</v>
      </c>
    </row>
    <row r="5" customFormat="false" ht="35.05" hidden="false" customHeight="false" outlineLevel="0" collapsed="false">
      <c r="A5" s="10" t="s">
        <v>1095</v>
      </c>
      <c r="B5" s="10" t="s">
        <v>1096</v>
      </c>
      <c r="C5" s="10" t="s">
        <v>1097</v>
      </c>
      <c r="D5" s="10" t="s">
        <v>1098</v>
      </c>
    </row>
    <row r="6" customFormat="false" ht="15" hidden="false" customHeight="false" outlineLevel="0" collapsed="false">
      <c r="A6" s="10" t="s">
        <v>1099</v>
      </c>
      <c r="B6" s="10" t="s">
        <v>1100</v>
      </c>
      <c r="C6" s="10" t="s">
        <v>1101</v>
      </c>
      <c r="D6" s="10" t="s">
        <v>1102</v>
      </c>
    </row>
    <row r="7" customFormat="false" ht="23.85" hidden="false" customHeight="false" outlineLevel="0" collapsed="false">
      <c r="A7" s="10" t="s">
        <v>1103</v>
      </c>
      <c r="B7" s="10" t="s">
        <v>1104</v>
      </c>
      <c r="C7" s="10" t="s">
        <v>1105</v>
      </c>
      <c r="D7" s="10" t="s">
        <v>1106</v>
      </c>
    </row>
    <row r="8" customFormat="false" ht="15" hidden="false" customHeight="false" outlineLevel="0" collapsed="false">
      <c r="A8" s="10" t="s">
        <v>1107</v>
      </c>
      <c r="B8" s="10" t="s">
        <v>1108</v>
      </c>
      <c r="C8" s="10" t="s">
        <v>1109</v>
      </c>
      <c r="D8" s="10" t="s">
        <v>1110</v>
      </c>
    </row>
    <row r="9" customFormat="false" ht="15" hidden="false" customHeight="false" outlineLevel="0" collapsed="false">
      <c r="A9" s="10" t="s">
        <v>1111</v>
      </c>
      <c r="B9" s="10" t="s">
        <v>1112</v>
      </c>
      <c r="C9" s="10" t="s">
        <v>1113</v>
      </c>
      <c r="D9" s="10" t="s">
        <v>1114</v>
      </c>
    </row>
    <row r="10" customFormat="false" ht="15" hidden="false" customHeight="false" outlineLevel="0" collapsed="false">
      <c r="A10" s="10" t="s">
        <v>1115</v>
      </c>
      <c r="B10" s="10" t="s">
        <v>1116</v>
      </c>
      <c r="C10" s="10" t="s">
        <v>1117</v>
      </c>
      <c r="D10" s="10"/>
    </row>
    <row r="11" customFormat="false" ht="15" hidden="false" customHeight="false" outlineLevel="0" collapsed="false">
      <c r="A11" s="10" t="s">
        <v>1118</v>
      </c>
      <c r="B11" s="10" t="s">
        <v>1119</v>
      </c>
      <c r="C11" s="10" t="s">
        <v>1120</v>
      </c>
      <c r="D11" s="10"/>
    </row>
    <row r="12" customFormat="false" ht="23.85" hidden="false" customHeight="false" outlineLevel="0" collapsed="false">
      <c r="A12" s="10" t="s">
        <v>1121</v>
      </c>
      <c r="B12" s="10" t="s">
        <v>1122</v>
      </c>
      <c r="C12" s="10" t="s">
        <v>1123</v>
      </c>
      <c r="D12" s="10" t="s">
        <v>1124</v>
      </c>
    </row>
    <row r="13" customFormat="false" ht="15" hidden="false" customHeight="false" outlineLevel="0" collapsed="false">
      <c r="A13" s="10" t="s">
        <v>1125</v>
      </c>
      <c r="B13" s="10" t="s">
        <v>1126</v>
      </c>
      <c r="C13" s="10" t="s">
        <v>1127</v>
      </c>
      <c r="D13" s="10" t="s">
        <v>1128</v>
      </c>
    </row>
    <row r="14" customFormat="false" ht="15" hidden="false" customHeight="false" outlineLevel="0" collapsed="false">
      <c r="A14" s="10" t="s">
        <v>1129</v>
      </c>
      <c r="B14" s="10" t="s">
        <v>1130</v>
      </c>
      <c r="C14" s="10" t="s">
        <v>1131</v>
      </c>
      <c r="D14" s="10" t="s">
        <v>1132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0"/>
    <col collapsed="false" customWidth="true" hidden="false" outlineLevel="0" max="3" min="3" style="0" width="14"/>
  </cols>
  <sheetData>
    <row r="1" customFormat="false" ht="19.7" hidden="false" customHeight="false" outlineLevel="0" collapsed="false">
      <c r="A1" s="1" t="s">
        <v>1133</v>
      </c>
    </row>
    <row r="2" customFormat="false" ht="15" hidden="false" customHeight="false" outlineLevel="0" collapsed="false">
      <c r="A2" s="2" t="s">
        <v>1134</v>
      </c>
    </row>
    <row r="4" customFormat="false" ht="15" hidden="false" customHeight="false" outlineLevel="0" collapsed="false">
      <c r="A4" s="9" t="s">
        <v>1135</v>
      </c>
      <c r="B4" s="9" t="s">
        <v>1136</v>
      </c>
      <c r="C4" s="9" t="s">
        <v>1137</v>
      </c>
    </row>
    <row r="5" customFormat="false" ht="15" hidden="false" customHeight="false" outlineLevel="0" collapsed="false">
      <c r="A5" s="66" t="s">
        <v>1138</v>
      </c>
      <c r="B5" s="67"/>
      <c r="C5" s="67"/>
    </row>
    <row r="6" customFormat="false" ht="15" hidden="false" customHeight="false" outlineLevel="0" collapsed="false">
      <c r="A6" s="10" t="n">
        <v>1</v>
      </c>
      <c r="B6" s="10" t="s">
        <v>1139</v>
      </c>
      <c r="C6" s="68"/>
    </row>
    <row r="7" customFormat="false" ht="15" hidden="false" customHeight="false" outlineLevel="0" collapsed="false">
      <c r="A7" s="10" t="n">
        <v>2</v>
      </c>
      <c r="B7" s="10" t="s">
        <v>1140</v>
      </c>
      <c r="C7" s="68"/>
    </row>
    <row r="8" customFormat="false" ht="15" hidden="false" customHeight="false" outlineLevel="0" collapsed="false">
      <c r="A8" s="10" t="n">
        <v>3</v>
      </c>
      <c r="B8" s="10" t="s">
        <v>1141</v>
      </c>
      <c r="C8" s="68"/>
    </row>
    <row r="9" customFormat="false" ht="15" hidden="false" customHeight="false" outlineLevel="0" collapsed="false">
      <c r="A9" s="10" t="n">
        <v>4</v>
      </c>
      <c r="B9" s="10" t="s">
        <v>1142</v>
      </c>
      <c r="C9" s="68"/>
    </row>
    <row r="10" customFormat="false" ht="15" hidden="false" customHeight="false" outlineLevel="0" collapsed="false">
      <c r="A10" s="10" t="n">
        <v>5</v>
      </c>
      <c r="B10" s="10" t="s">
        <v>1143</v>
      </c>
      <c r="C10" s="68"/>
    </row>
    <row r="11" customFormat="false" ht="15" hidden="false" customHeight="false" outlineLevel="0" collapsed="false">
      <c r="A11" s="10" t="n">
        <v>6</v>
      </c>
      <c r="B11" s="10" t="s">
        <v>1144</v>
      </c>
      <c r="C11" s="68"/>
    </row>
    <row r="12" customFormat="false" ht="15" hidden="false" customHeight="false" outlineLevel="0" collapsed="false">
      <c r="A12" s="10" t="n">
        <v>7</v>
      </c>
      <c r="B12" s="10" t="s">
        <v>1145</v>
      </c>
      <c r="C12" s="68"/>
    </row>
    <row r="13" customFormat="false" ht="15" hidden="false" customHeight="false" outlineLevel="0" collapsed="false">
      <c r="A13" s="10" t="n">
        <v>8</v>
      </c>
      <c r="B13" s="10" t="s">
        <v>1146</v>
      </c>
      <c r="C13" s="68"/>
    </row>
    <row r="14" customFormat="false" ht="15" hidden="false" customHeight="false" outlineLevel="0" collapsed="false">
      <c r="A14" s="66" t="s">
        <v>1147</v>
      </c>
      <c r="B14" s="67"/>
      <c r="C14" s="67"/>
    </row>
    <row r="15" customFormat="false" ht="15" hidden="false" customHeight="false" outlineLevel="0" collapsed="false">
      <c r="A15" s="10" t="n">
        <v>1</v>
      </c>
      <c r="B15" s="10" t="s">
        <v>1148</v>
      </c>
      <c r="C15" s="68"/>
    </row>
    <row r="16" customFormat="false" ht="23.85" hidden="false" customHeight="false" outlineLevel="0" collapsed="false">
      <c r="A16" s="10" t="n">
        <v>2</v>
      </c>
      <c r="B16" s="10" t="s">
        <v>1149</v>
      </c>
      <c r="C16" s="68"/>
    </row>
    <row r="17" customFormat="false" ht="15" hidden="false" customHeight="false" outlineLevel="0" collapsed="false">
      <c r="A17" s="10" t="n">
        <v>3</v>
      </c>
      <c r="B17" s="10" t="s">
        <v>1150</v>
      </c>
      <c r="C17" s="68"/>
    </row>
    <row r="18" customFormat="false" ht="15" hidden="false" customHeight="false" outlineLevel="0" collapsed="false">
      <c r="A18" s="10" t="n">
        <v>4</v>
      </c>
      <c r="B18" s="10" t="s">
        <v>1151</v>
      </c>
      <c r="C18" s="68"/>
    </row>
    <row r="19" customFormat="false" ht="15" hidden="false" customHeight="false" outlineLevel="0" collapsed="false">
      <c r="A19" s="10" t="n">
        <v>5</v>
      </c>
      <c r="B19" s="10" t="s">
        <v>1152</v>
      </c>
      <c r="C19" s="68"/>
    </row>
    <row r="20" customFormat="false" ht="15" hidden="false" customHeight="false" outlineLevel="0" collapsed="false">
      <c r="A20" s="10" t="n">
        <v>6</v>
      </c>
      <c r="B20" s="10" t="s">
        <v>1153</v>
      </c>
      <c r="C20" s="68"/>
    </row>
    <row r="21" customFormat="false" ht="15" hidden="false" customHeight="false" outlineLevel="0" collapsed="false">
      <c r="A21" s="66" t="s">
        <v>1154</v>
      </c>
      <c r="B21" s="67"/>
      <c r="C21" s="67"/>
    </row>
    <row r="22" customFormat="false" ht="15" hidden="false" customHeight="false" outlineLevel="0" collapsed="false">
      <c r="A22" s="10" t="n">
        <v>1</v>
      </c>
      <c r="B22" s="10" t="s">
        <v>1155</v>
      </c>
      <c r="C22" s="68"/>
    </row>
    <row r="23" customFormat="false" ht="15" hidden="false" customHeight="false" outlineLevel="0" collapsed="false">
      <c r="A23" s="10" t="n">
        <v>2</v>
      </c>
      <c r="B23" s="10" t="s">
        <v>1156</v>
      </c>
      <c r="C23" s="68"/>
    </row>
    <row r="24" customFormat="false" ht="15" hidden="false" customHeight="false" outlineLevel="0" collapsed="false">
      <c r="A24" s="10" t="n">
        <v>3</v>
      </c>
      <c r="B24" s="10" t="s">
        <v>1157</v>
      </c>
      <c r="C24" s="68"/>
    </row>
    <row r="25" customFormat="false" ht="15" hidden="false" customHeight="false" outlineLevel="0" collapsed="false">
      <c r="A25" s="10" t="n">
        <v>4</v>
      </c>
      <c r="B25" s="10" t="s">
        <v>1158</v>
      </c>
      <c r="C25" s="6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0"/>
  </cols>
  <sheetData>
    <row r="1" customFormat="false" ht="19.7" hidden="false" customHeight="false" outlineLevel="0" collapsed="false">
      <c r="A1" s="1" t="s">
        <v>1159</v>
      </c>
    </row>
    <row r="2" customFormat="false" ht="15" hidden="false" customHeight="false" outlineLevel="0" collapsed="false">
      <c r="A2" s="2" t="s">
        <v>1160</v>
      </c>
    </row>
    <row r="4" customFormat="false" ht="15" hidden="false" customHeight="false" outlineLevel="0" collapsed="false">
      <c r="A4" s="9" t="s">
        <v>1053</v>
      </c>
      <c r="B4" s="9" t="s">
        <v>1161</v>
      </c>
    </row>
    <row r="5" customFormat="false" ht="23.85" hidden="false" customHeight="false" outlineLevel="0" collapsed="false">
      <c r="A5" s="10" t="s">
        <v>1162</v>
      </c>
      <c r="B5" s="10" t="s">
        <v>1163</v>
      </c>
    </row>
    <row r="6" customFormat="false" ht="15" hidden="false" customHeight="false" outlineLevel="0" collapsed="false">
      <c r="A6" s="10" t="s">
        <v>1164</v>
      </c>
      <c r="B6" s="10" t="s">
        <v>1165</v>
      </c>
    </row>
    <row r="7" customFormat="false" ht="35.05" hidden="false" customHeight="false" outlineLevel="0" collapsed="false">
      <c r="A7" s="10" t="s">
        <v>1166</v>
      </c>
      <c r="B7" s="10" t="s">
        <v>1167</v>
      </c>
    </row>
    <row r="8" customFormat="false" ht="23.85" hidden="false" customHeight="false" outlineLevel="0" collapsed="false">
      <c r="A8" s="10" t="s">
        <v>1168</v>
      </c>
      <c r="B8" s="10" t="s">
        <v>1169</v>
      </c>
    </row>
    <row r="9" customFormat="false" ht="15" hidden="false" customHeight="false" outlineLevel="0" collapsed="false">
      <c r="A9" s="10" t="s">
        <v>1170</v>
      </c>
      <c r="B9" s="10" t="s">
        <v>1171</v>
      </c>
    </row>
    <row r="10" customFormat="false" ht="15" hidden="false" customHeight="false" outlineLevel="0" collapsed="false">
      <c r="A10" s="10" t="s">
        <v>1172</v>
      </c>
      <c r="B10" s="10" t="s">
        <v>1173</v>
      </c>
    </row>
    <row r="11" customFormat="false" ht="23.85" hidden="false" customHeight="false" outlineLevel="0" collapsed="false">
      <c r="A11" s="10" t="s">
        <v>1174</v>
      </c>
      <c r="B11" s="10" t="s">
        <v>1175</v>
      </c>
    </row>
    <row r="12" customFormat="false" ht="23.85" hidden="false" customHeight="false" outlineLevel="0" collapsed="false">
      <c r="A12" s="10" t="s">
        <v>1176</v>
      </c>
      <c r="B12" s="10" t="s">
        <v>1177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0"/>
    <col collapsed="false" customWidth="true" hidden="false" outlineLevel="0" max="3" min="3" style="0" width="50"/>
  </cols>
  <sheetData>
    <row r="1" customFormat="false" ht="19.7" hidden="false" customHeight="false" outlineLevel="0" collapsed="false">
      <c r="A1" s="1" t="s">
        <v>1178</v>
      </c>
    </row>
    <row r="2" customFormat="false" ht="15" hidden="false" customHeight="false" outlineLevel="0" collapsed="false">
      <c r="A2" s="2" t="s">
        <v>1179</v>
      </c>
    </row>
    <row r="4" customFormat="false" ht="15" hidden="false" customHeight="false" outlineLevel="0" collapsed="false">
      <c r="A4" s="9" t="s">
        <v>1180</v>
      </c>
      <c r="B4" s="9" t="s">
        <v>1181</v>
      </c>
      <c r="C4" s="9" t="s">
        <v>1182</v>
      </c>
    </row>
    <row r="5" customFormat="false" ht="23.85" hidden="false" customHeight="false" outlineLevel="0" collapsed="false">
      <c r="A5" s="10" t="s">
        <v>1183</v>
      </c>
      <c r="B5" s="10" t="s">
        <v>1184</v>
      </c>
      <c r="C5" s="10" t="s">
        <v>1185</v>
      </c>
    </row>
    <row r="6" customFormat="false" ht="15" hidden="false" customHeight="false" outlineLevel="0" collapsed="false">
      <c r="A6" s="10" t="s">
        <v>1186</v>
      </c>
      <c r="B6" s="10" t="s">
        <v>1187</v>
      </c>
      <c r="C6" s="10" t="s">
        <v>1188</v>
      </c>
    </row>
    <row r="7" customFormat="false" ht="23.85" hidden="false" customHeight="false" outlineLevel="0" collapsed="false">
      <c r="A7" s="10" t="s">
        <v>1189</v>
      </c>
      <c r="B7" s="10" t="s">
        <v>1190</v>
      </c>
      <c r="C7" s="10" t="s">
        <v>1191</v>
      </c>
    </row>
    <row r="8" customFormat="false" ht="15" hidden="false" customHeight="false" outlineLevel="0" collapsed="false">
      <c r="A8" s="10" t="s">
        <v>1192</v>
      </c>
      <c r="B8" s="10" t="s">
        <v>1193</v>
      </c>
      <c r="C8" s="10" t="s">
        <v>1194</v>
      </c>
    </row>
    <row r="9" customFormat="false" ht="23.85" hidden="false" customHeight="false" outlineLevel="0" collapsed="false">
      <c r="A9" s="10" t="s">
        <v>1195</v>
      </c>
      <c r="B9" s="10" t="s">
        <v>1196</v>
      </c>
      <c r="C9" s="10" t="s">
        <v>1197</v>
      </c>
    </row>
    <row r="10" customFormat="false" ht="15" hidden="false" customHeight="false" outlineLevel="0" collapsed="false">
      <c r="A10" s="10" t="s">
        <v>1198</v>
      </c>
      <c r="B10" s="10" t="s">
        <v>1199</v>
      </c>
      <c r="C10" s="10" t="s">
        <v>1200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0"/>
    <col collapsed="false" customWidth="true" hidden="false" outlineLevel="0" max="3" min="3" style="0" width="130"/>
  </cols>
  <sheetData>
    <row r="1" customFormat="false" ht="19.7" hidden="false" customHeight="false" outlineLevel="0" collapsed="false">
      <c r="A1" s="1" t="s">
        <v>1201</v>
      </c>
    </row>
    <row r="2" customFormat="false" ht="15" hidden="false" customHeight="false" outlineLevel="0" collapsed="false">
      <c r="A2" s="2" t="s">
        <v>1202</v>
      </c>
    </row>
    <row r="4" customFormat="false" ht="15" hidden="false" customHeight="false" outlineLevel="0" collapsed="false">
      <c r="A4" s="9" t="s">
        <v>1053</v>
      </c>
      <c r="B4" s="9" t="s">
        <v>1034</v>
      </c>
      <c r="C4" s="9" t="s">
        <v>1203</v>
      </c>
    </row>
    <row r="5" customFormat="false" ht="15" hidden="false" customHeight="false" outlineLevel="0" collapsed="false">
      <c r="A5" s="10" t="s">
        <v>1204</v>
      </c>
      <c r="B5" s="10" t="s">
        <v>1205</v>
      </c>
      <c r="C5" s="10" t="s">
        <v>1206</v>
      </c>
    </row>
    <row r="6" customFormat="false" ht="15" hidden="false" customHeight="false" outlineLevel="0" collapsed="false">
      <c r="A6" s="10" t="s">
        <v>1204</v>
      </c>
      <c r="B6" s="10" t="s">
        <v>1207</v>
      </c>
      <c r="C6" s="10" t="s">
        <v>1208</v>
      </c>
    </row>
    <row r="7" customFormat="false" ht="15" hidden="false" customHeight="false" outlineLevel="0" collapsed="false">
      <c r="A7" s="10" t="s">
        <v>1204</v>
      </c>
      <c r="B7" s="10" t="s">
        <v>1209</v>
      </c>
      <c r="C7" s="10" t="s">
        <v>1210</v>
      </c>
    </row>
    <row r="8" customFormat="false" ht="15" hidden="false" customHeight="false" outlineLevel="0" collapsed="false">
      <c r="A8" s="10" t="s">
        <v>1211</v>
      </c>
      <c r="B8" s="10" t="s">
        <v>1212</v>
      </c>
      <c r="C8" s="10" t="s">
        <v>1213</v>
      </c>
    </row>
    <row r="9" customFormat="false" ht="15" hidden="false" customHeight="false" outlineLevel="0" collapsed="false">
      <c r="A9" s="10" t="s">
        <v>1211</v>
      </c>
      <c r="B9" s="10" t="s">
        <v>1214</v>
      </c>
      <c r="C9" s="10" t="s">
        <v>1215</v>
      </c>
    </row>
    <row r="10" customFormat="false" ht="15" hidden="false" customHeight="false" outlineLevel="0" collapsed="false">
      <c r="A10" s="10" t="s">
        <v>1211</v>
      </c>
      <c r="B10" s="10" t="s">
        <v>1216</v>
      </c>
      <c r="C10" s="10" t="s">
        <v>1217</v>
      </c>
    </row>
    <row r="11" customFormat="false" ht="15" hidden="false" customHeight="false" outlineLevel="0" collapsed="false">
      <c r="A11" s="10" t="s">
        <v>1211</v>
      </c>
      <c r="B11" s="10" t="s">
        <v>1218</v>
      </c>
      <c r="C11" s="10" t="s">
        <v>1219</v>
      </c>
    </row>
    <row r="12" customFormat="false" ht="15" hidden="false" customHeight="false" outlineLevel="0" collapsed="false">
      <c r="A12" s="10" t="s">
        <v>1220</v>
      </c>
      <c r="B12" s="10" t="s">
        <v>1221</v>
      </c>
      <c r="C12" s="10" t="s">
        <v>1222</v>
      </c>
    </row>
    <row r="13" customFormat="false" ht="15" hidden="false" customHeight="false" outlineLevel="0" collapsed="false">
      <c r="A13" s="10" t="s">
        <v>1220</v>
      </c>
      <c r="B13" s="10" t="s">
        <v>1223</v>
      </c>
      <c r="C13" s="10" t="s">
        <v>1224</v>
      </c>
    </row>
    <row r="14" customFormat="false" ht="15" hidden="false" customHeight="false" outlineLevel="0" collapsed="false">
      <c r="A14" s="10" t="s">
        <v>1220</v>
      </c>
      <c r="B14" s="10" t="s">
        <v>1225</v>
      </c>
      <c r="C14" s="10" t="s">
        <v>1226</v>
      </c>
    </row>
    <row r="15" customFormat="false" ht="15" hidden="false" customHeight="false" outlineLevel="0" collapsed="false">
      <c r="A15" s="10" t="s">
        <v>1227</v>
      </c>
      <c r="B15" s="10" t="s">
        <v>1228</v>
      </c>
      <c r="C15" s="10" t="s">
        <v>1229</v>
      </c>
    </row>
    <row r="16" customFormat="false" ht="15" hidden="false" customHeight="false" outlineLevel="0" collapsed="false">
      <c r="A16" s="10" t="s">
        <v>1227</v>
      </c>
      <c r="B16" s="10" t="s">
        <v>1230</v>
      </c>
      <c r="C16" s="10" t="s">
        <v>1231</v>
      </c>
    </row>
    <row r="17" customFormat="false" ht="15" hidden="false" customHeight="false" outlineLevel="0" collapsed="false">
      <c r="A17" s="10" t="s">
        <v>1232</v>
      </c>
      <c r="B17" s="10" t="s">
        <v>1233</v>
      </c>
      <c r="C17" s="10" t="s">
        <v>1234</v>
      </c>
    </row>
    <row r="18" customFormat="false" ht="15" hidden="false" customHeight="false" outlineLevel="0" collapsed="false">
      <c r="A18" s="10" t="s">
        <v>1232</v>
      </c>
      <c r="B18" s="10" t="s">
        <v>1235</v>
      </c>
      <c r="C18" s="10" t="s">
        <v>1236</v>
      </c>
    </row>
    <row r="19" customFormat="false" ht="15" hidden="false" customHeight="false" outlineLevel="0" collapsed="false">
      <c r="A19" s="10" t="s">
        <v>1237</v>
      </c>
      <c r="B19" s="10" t="s">
        <v>1089</v>
      </c>
      <c r="C19" s="10" t="s">
        <v>1238</v>
      </c>
    </row>
    <row r="20" customFormat="false" ht="15" hidden="false" customHeight="false" outlineLevel="0" collapsed="false">
      <c r="A20" s="10" t="s">
        <v>1237</v>
      </c>
      <c r="B20" s="10" t="s">
        <v>1239</v>
      </c>
      <c r="C20" s="10" t="s">
        <v>1240</v>
      </c>
    </row>
    <row r="21" customFormat="false" ht="15" hidden="false" customHeight="false" outlineLevel="0" collapsed="false">
      <c r="A21" s="10" t="s">
        <v>1241</v>
      </c>
      <c r="B21" s="10" t="s">
        <v>1242</v>
      </c>
      <c r="C21" s="10" t="s">
        <v>1243</v>
      </c>
    </row>
    <row r="22" customFormat="false" ht="15" hidden="false" customHeight="false" outlineLevel="0" collapsed="false">
      <c r="A22" s="10" t="s">
        <v>1244</v>
      </c>
      <c r="B22" s="10" t="s">
        <v>1245</v>
      </c>
      <c r="C22" s="10" t="s">
        <v>1246</v>
      </c>
    </row>
    <row r="23" customFormat="false" ht="15" hidden="false" customHeight="false" outlineLevel="0" collapsed="false">
      <c r="A23" s="10" t="s">
        <v>1244</v>
      </c>
      <c r="B23" s="10" t="s">
        <v>1247</v>
      </c>
      <c r="C23" s="10" t="s">
        <v>1248</v>
      </c>
    </row>
    <row r="24" customFormat="false" ht="15" hidden="false" customHeight="false" outlineLevel="0" collapsed="false">
      <c r="A24" s="10" t="s">
        <v>1249</v>
      </c>
      <c r="B24" s="10" t="s">
        <v>1250</v>
      </c>
      <c r="C24" s="10" t="s">
        <v>1251</v>
      </c>
    </row>
    <row r="25" customFormat="false" ht="15" hidden="false" customHeight="false" outlineLevel="0" collapsed="false">
      <c r="A25" s="10" t="s">
        <v>1249</v>
      </c>
      <c r="B25" s="10" t="s">
        <v>1252</v>
      </c>
      <c r="C25" s="10" t="s">
        <v>1253</v>
      </c>
    </row>
    <row r="26" customFormat="false" ht="15" hidden="false" customHeight="false" outlineLevel="0" collapsed="false">
      <c r="A26" s="10" t="s">
        <v>1249</v>
      </c>
      <c r="B26" s="10" t="s">
        <v>1254</v>
      </c>
      <c r="C26" s="10" t="s">
        <v>1255</v>
      </c>
    </row>
    <row r="27" customFormat="false" ht="15" hidden="false" customHeight="false" outlineLevel="0" collapsed="false">
      <c r="A27" s="10" t="s">
        <v>1249</v>
      </c>
      <c r="B27" s="10" t="s">
        <v>1256</v>
      </c>
      <c r="C27" s="10" t="s">
        <v>1257</v>
      </c>
    </row>
    <row r="28" customFormat="false" ht="15" hidden="false" customHeight="false" outlineLevel="0" collapsed="false">
      <c r="A28" s="10" t="s">
        <v>1258</v>
      </c>
      <c r="B28" s="10" t="s">
        <v>1259</v>
      </c>
      <c r="C28" s="10" t="s">
        <v>1260</v>
      </c>
    </row>
    <row r="29" customFormat="false" ht="15" hidden="false" customHeight="false" outlineLevel="0" collapsed="false">
      <c r="A29" s="10" t="s">
        <v>1258</v>
      </c>
      <c r="B29" s="10" t="s">
        <v>1261</v>
      </c>
      <c r="C29" s="10" t="s">
        <v>1262</v>
      </c>
    </row>
    <row r="30" customFormat="false" ht="15" hidden="false" customHeight="false" outlineLevel="0" collapsed="false">
      <c r="A30" s="10" t="s">
        <v>1258</v>
      </c>
      <c r="B30" s="10" t="s">
        <v>1263</v>
      </c>
      <c r="C30" s="10" t="s">
        <v>1264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2026-09-29T11:48:20Z</dcterms:created>
  <dc:creator>openpyxl</dc:creator>
  <dc:description/>
  <dc:language>en-US</dc:language>
  <cp:lastModifiedBy/>
  <dcterms:modified xsi:type="dcterms:W3CDTF">2026-09-29T11:48:21Z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